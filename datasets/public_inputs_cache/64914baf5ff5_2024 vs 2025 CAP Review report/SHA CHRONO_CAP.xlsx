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novasepps.sharepoint.com/sites/NPS_SHA/Common/CAP review/2024/"/>
    </mc:Choice>
  </mc:AlternateContent>
  <xr:revisionPtr revIDLastSave="33" documentId="13_ncr:1_{3674FD25-4E9A-4DFE-BAB8-B290CE0D7C96}" xr6:coauthVersionLast="47" xr6:coauthVersionMax="47" xr10:uidLastSave="{03FF9730-93F5-4889-8701-47A1F8F902BA}"/>
  <bookViews>
    <workbookView xWindow="28680" yWindow="-120" windowWidth="29040" windowHeight="15720" firstSheet="1" activeTab="1" xr2:uid="{00000000-000D-0000-FFFF-FFFF00000000}"/>
  </bookViews>
  <sheets>
    <sheet name="Chrono CAP" sheetId="25234" state="hidden" r:id="rId1"/>
    <sheet name="2024" sheetId="25248" r:id="rId2"/>
    <sheet name="AutoList" sheetId="25229" state="hidden" r:id="rId3"/>
    <sheet name="SHA IER" sheetId="25246" state="hidden" r:id="rId4"/>
    <sheet name="SHA CS" sheetId="25247" state="hidden" r:id="rId5"/>
  </sheets>
  <definedNames>
    <definedName name="_1Sans_nom">#REF!</definedName>
    <definedName name="_xlnm._FilterDatabase" localSheetId="2" hidden="1">AutoList!#REF!</definedName>
    <definedName name="_xlnm._FilterDatabase" localSheetId="0" hidden="1">'Chrono CAP'!$A$6:$AN$314</definedName>
    <definedName name="_GoBack" localSheetId="0">'Chrono CAP'!$H$349</definedName>
    <definedName name="BuiltIn_Database">#REF!</definedName>
    <definedName name="BuiltIn_Print_Area">#REF!</definedName>
    <definedName name="CAPTYPE">AutoList!$C$2:$C$6</definedName>
    <definedName name="Ecart_réduit">#REF!</definedName>
    <definedName name="Ecred">#REF!</definedName>
    <definedName name="lamb">#REF!</definedName>
    <definedName name="Lambda">#REF!</definedName>
    <definedName name="MMMMM">AutoList!$G$2:$G$9</definedName>
    <definedName name="OLE_LINK2" localSheetId="0">'Chrono CAP'!$L$537</definedName>
    <definedName name="_xlnm.Print_Area" localSheetId="0">'Chrono CAP'!$B$6:$R$598</definedName>
    <definedName name="SCOPE">AutoList!$I$2:$I$4</definedName>
    <definedName name="SITE">AutoList!$A$3:$A$5</definedName>
    <definedName name="TECHNO">AutoList!$E$2:$E$11</definedName>
    <definedName name="YNC">AutoList!$K$2:$K$4</definedName>
    <definedName name="中" localSheetId="0">'Chrono CAP'!$B$6:$R$598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25248" l="1"/>
  <c r="AJ3" i="25248" s="1"/>
  <c r="R34" i="25246"/>
  <c r="R33" i="25246"/>
  <c r="R32" i="25246"/>
  <c r="R31" i="25246"/>
  <c r="AI594" i="25234"/>
  <c r="AI593" i="25234"/>
  <c r="AI592" i="25234"/>
  <c r="AI591" i="25234"/>
  <c r="Y598" i="25234"/>
  <c r="AA598" i="25234" s="1"/>
  <c r="AF598" i="25234"/>
  <c r="AI598" i="25234"/>
  <c r="AM598" i="25234"/>
  <c r="AN598" i="25234"/>
  <c r="Y597" i="25234"/>
  <c r="AA597" i="25234" s="1"/>
  <c r="AF597" i="25234"/>
  <c r="AI597" i="25234"/>
  <c r="AM597" i="25234"/>
  <c r="AN597" i="25234"/>
  <c r="Y596" i="25234"/>
  <c r="AA596" i="25234" s="1"/>
  <c r="AF596" i="25234"/>
  <c r="AI596" i="25234"/>
  <c r="AM596" i="25234"/>
  <c r="AN596" i="25234"/>
  <c r="Y588" i="25234"/>
  <c r="AA588" i="25234" s="1"/>
  <c r="AN595" i="25234"/>
  <c r="AM595" i="25234"/>
  <c r="AI595" i="25234"/>
  <c r="AF595" i="25234"/>
  <c r="Y595" i="25234"/>
  <c r="AA595" i="25234" s="1"/>
  <c r="Y594" i="25234"/>
  <c r="AA594" i="25234" s="1"/>
  <c r="AF594" i="25234"/>
  <c r="AM594" i="25234"/>
  <c r="AN594" i="25234"/>
  <c r="Y593" i="25234"/>
  <c r="AA593" i="25234" s="1"/>
  <c r="AF593" i="25234"/>
  <c r="AM593" i="25234"/>
  <c r="AN593" i="25234"/>
  <c r="Y592" i="25234"/>
  <c r="AA592" i="25234" s="1"/>
  <c r="AF592" i="25234"/>
  <c r="AM592" i="25234"/>
  <c r="AN592" i="25234"/>
  <c r="Y591" i="25234"/>
  <c r="AA591" i="25234" s="1"/>
  <c r="AF591" i="25234"/>
  <c r="AM591" i="25234"/>
  <c r="AN591" i="25234"/>
  <c r="Y590" i="25234"/>
  <c r="AA590" i="25234" s="1"/>
  <c r="AF590" i="25234"/>
  <c r="AI590" i="25234"/>
  <c r="AM590" i="25234"/>
  <c r="AN590" i="25234"/>
  <c r="AI588" i="25234"/>
  <c r="Y589" i="25234"/>
  <c r="AA589" i="25234" s="1"/>
  <c r="AF589" i="25234"/>
  <c r="AI589" i="25234"/>
  <c r="AM589" i="25234"/>
  <c r="AN589" i="25234"/>
  <c r="AF588" i="25234"/>
  <c r="AM588" i="25234"/>
  <c r="AN588" i="25234"/>
  <c r="Y587" i="25234"/>
  <c r="AA587" i="25234" s="1"/>
  <c r="AF587" i="25234"/>
  <c r="AI587" i="25234"/>
  <c r="AM587" i="25234"/>
  <c r="AN587" i="25234"/>
  <c r="Y586" i="25234"/>
  <c r="AA586" i="25234" s="1"/>
  <c r="AF586" i="25234"/>
  <c r="AI586" i="25234"/>
  <c r="AM586" i="25234"/>
  <c r="AN586" i="25234"/>
  <c r="Y585" i="25234"/>
  <c r="AA585" i="25234" s="1"/>
  <c r="AF585" i="25234"/>
  <c r="AI585" i="25234"/>
  <c r="AM585" i="25234"/>
  <c r="AN585" i="25234"/>
  <c r="Y584" i="25234"/>
  <c r="AA584" i="25234" s="1"/>
  <c r="AF584" i="25234"/>
  <c r="AI584" i="25234"/>
  <c r="AM584" i="25234"/>
  <c r="AN584" i="25234"/>
  <c r="Y583" i="25234"/>
  <c r="AA583" i="25234" s="1"/>
  <c r="AF583" i="25234"/>
  <c r="AI583" i="25234"/>
  <c r="AM583" i="25234"/>
  <c r="AN583" i="25234"/>
  <c r="Y582" i="25234"/>
  <c r="AA582" i="25234" s="1"/>
  <c r="AF582" i="25234"/>
  <c r="AI582" i="25234"/>
  <c r="AM582" i="25234"/>
  <c r="AN582" i="25234"/>
  <c r="AN581" i="25234"/>
  <c r="AM581" i="25234"/>
  <c r="AI581" i="25234"/>
  <c r="AF581" i="25234"/>
  <c r="Y581" i="25234"/>
  <c r="AA581" i="25234" s="1"/>
  <c r="Y580" i="25234"/>
  <c r="AA580" i="25234" s="1"/>
  <c r="AF580" i="25234"/>
  <c r="AI580" i="25234"/>
  <c r="AM580" i="25234"/>
  <c r="AN580" i="25234"/>
  <c r="Y579" i="25234"/>
  <c r="AA579" i="25234" s="1"/>
  <c r="AF579" i="25234"/>
  <c r="AI579" i="25234"/>
  <c r="AM579" i="25234"/>
  <c r="AN579" i="25234"/>
  <c r="Y578" i="25234"/>
  <c r="AA578" i="25234" s="1"/>
  <c r="AF578" i="25234"/>
  <c r="AI578" i="25234"/>
  <c r="AM578" i="25234"/>
  <c r="AN578" i="25234"/>
  <c r="Y577" i="25234"/>
  <c r="AA577" i="25234" s="1"/>
  <c r="AF577" i="25234"/>
  <c r="AI577" i="25234"/>
  <c r="AM577" i="25234"/>
  <c r="AN577" i="25234"/>
  <c r="Y576" i="25234"/>
  <c r="AA576" i="25234" s="1"/>
  <c r="AF576" i="25234"/>
  <c r="AI576" i="25234"/>
  <c r="AM576" i="25234"/>
  <c r="AN576" i="25234"/>
  <c r="Y575" i="25234"/>
  <c r="AA575" i="25234" s="1"/>
  <c r="AF575" i="25234"/>
  <c r="AI575" i="25234"/>
  <c r="AM575" i="25234"/>
  <c r="AN575" i="25234"/>
  <c r="Y574" i="25234"/>
  <c r="AA574" i="25234" s="1"/>
  <c r="AF574" i="25234"/>
  <c r="AI574" i="25234"/>
  <c r="AM574" i="25234"/>
  <c r="AN574" i="25234"/>
  <c r="AH561" i="25234"/>
  <c r="Y573" i="25234"/>
  <c r="AA573" i="25234" s="1"/>
  <c r="AF573" i="25234"/>
  <c r="AI573" i="25234"/>
  <c r="AM573" i="25234"/>
  <c r="AN573" i="25234"/>
  <c r="Y572" i="25234" l="1"/>
  <c r="AA572" i="25234" s="1"/>
  <c r="AF572" i="25234"/>
  <c r="AI572" i="25234"/>
  <c r="AM572" i="25234"/>
  <c r="AN572" i="25234"/>
  <c r="Y571" i="25234"/>
  <c r="AA571" i="25234" s="1"/>
  <c r="AF571" i="25234"/>
  <c r="AI571" i="25234"/>
  <c r="AM571" i="25234"/>
  <c r="AN571" i="25234"/>
  <c r="Y570" i="25234"/>
  <c r="AA570" i="25234" s="1"/>
  <c r="AF570" i="25234"/>
  <c r="AI570" i="25234"/>
  <c r="AM570" i="25234"/>
  <c r="AN570" i="25234"/>
  <c r="AF551" i="25234"/>
  <c r="Y569" i="25234"/>
  <c r="AA569" i="25234" s="1"/>
  <c r="AF569" i="25234"/>
  <c r="AI569" i="25234"/>
  <c r="AM569" i="25234"/>
  <c r="AN569" i="25234"/>
  <c r="Y568" i="25234"/>
  <c r="AA568" i="25234" s="1"/>
  <c r="AF568" i="25234"/>
  <c r="AI568" i="25234"/>
  <c r="AM568" i="25234"/>
  <c r="AN568" i="25234"/>
  <c r="Y567" i="25234"/>
  <c r="AA567" i="25234" s="1"/>
  <c r="AF567" i="25234"/>
  <c r="AI567" i="25234"/>
  <c r="AM567" i="25234"/>
  <c r="AN567" i="25234"/>
  <c r="Y554" i="25234"/>
  <c r="AA554" i="25234" s="1"/>
  <c r="Y566" i="25234"/>
  <c r="AA566" i="25234" s="1"/>
  <c r="AF566" i="25234"/>
  <c r="AI566" i="25234"/>
  <c r="AM566" i="25234"/>
  <c r="AN566" i="25234"/>
  <c r="Y565" i="25234"/>
  <c r="AA565" i="25234" s="1"/>
  <c r="AF565" i="25234"/>
  <c r="AI565" i="25234"/>
  <c r="AM565" i="25234"/>
  <c r="AN565" i="25234"/>
  <c r="Y564" i="25234"/>
  <c r="AA564" i="25234" s="1"/>
  <c r="AF564" i="25234"/>
  <c r="AI564" i="25234"/>
  <c r="AM564" i="25234"/>
  <c r="AN564" i="25234"/>
  <c r="Y563" i="25234"/>
  <c r="AA563" i="25234" s="1"/>
  <c r="AF563" i="25234"/>
  <c r="AI563" i="25234"/>
  <c r="AM563" i="25234"/>
  <c r="AN563" i="25234"/>
  <c r="Y562" i="25234"/>
  <c r="AA562" i="25234" s="1"/>
  <c r="AF562" i="25234"/>
  <c r="AI562" i="25234"/>
  <c r="AM562" i="25234"/>
  <c r="AN562" i="25234"/>
  <c r="Y561" i="25234"/>
  <c r="AA561" i="25234" s="1"/>
  <c r="AF561" i="25234"/>
  <c r="AI561" i="25234"/>
  <c r="AM561" i="25234"/>
  <c r="AN561" i="25234"/>
  <c r="Y560" i="25234"/>
  <c r="AA560" i="25234" s="1"/>
  <c r="AF560" i="25234"/>
  <c r="AI560" i="25234"/>
  <c r="AM560" i="25234"/>
  <c r="AN560" i="25234"/>
  <c r="Y559" i="25234"/>
  <c r="AA559" i="25234" s="1"/>
  <c r="AF559" i="25234"/>
  <c r="AI559" i="25234"/>
  <c r="AM559" i="25234"/>
  <c r="AN559" i="25234"/>
  <c r="AN558" i="25234"/>
  <c r="AM558" i="25234"/>
  <c r="AI558" i="25234"/>
  <c r="AF558" i="25234"/>
  <c r="Y558" i="25234"/>
  <c r="AA558" i="25234" s="1"/>
  <c r="Y557" i="25234"/>
  <c r="AA557" i="25234" s="1"/>
  <c r="AF557" i="25234"/>
  <c r="AI557" i="25234"/>
  <c r="AM557" i="25234"/>
  <c r="AN557" i="25234"/>
  <c r="Y556" i="25234"/>
  <c r="AA556" i="25234" s="1"/>
  <c r="AF556" i="25234"/>
  <c r="AI556" i="25234"/>
  <c r="AM556" i="25234"/>
  <c r="AN556" i="25234"/>
  <c r="Y555" i="25234"/>
  <c r="AA555" i="25234" s="1"/>
  <c r="AF555" i="25234"/>
  <c r="AI555" i="25234"/>
  <c r="AM555" i="25234"/>
  <c r="AN555" i="25234"/>
  <c r="AF554" i="25234"/>
  <c r="AI554" i="25234"/>
  <c r="AM554" i="25234"/>
  <c r="AN554" i="25234"/>
  <c r="Y553" i="25234"/>
  <c r="AA553" i="25234" s="1"/>
  <c r="AF553" i="25234"/>
  <c r="AI553" i="25234"/>
  <c r="AM553" i="25234"/>
  <c r="AN553" i="25234"/>
  <c r="Y552" i="25234"/>
  <c r="AA552" i="25234" s="1"/>
  <c r="AF552" i="25234"/>
  <c r="AI552" i="25234"/>
  <c r="AM552" i="25234"/>
  <c r="AN552" i="25234"/>
  <c r="Y550" i="25234"/>
  <c r="AA550" i="25234" s="1"/>
  <c r="Y551" i="25234"/>
  <c r="AA551" i="25234" s="1"/>
  <c r="AI551" i="25234"/>
  <c r="AM551" i="25234"/>
  <c r="AN551" i="25234"/>
  <c r="AF550" i="25234"/>
  <c r="AI550" i="25234"/>
  <c r="AM550" i="25234"/>
  <c r="AN550" i="25234"/>
  <c r="Y549" i="25234"/>
  <c r="AA549" i="25234" s="1"/>
  <c r="AF549" i="25234"/>
  <c r="AI549" i="25234"/>
  <c r="AM549" i="25234"/>
  <c r="AN549" i="25234"/>
  <c r="Y548" i="25234"/>
  <c r="AA548" i="25234" s="1"/>
  <c r="AF548" i="25234"/>
  <c r="AI548" i="25234"/>
  <c r="AM548" i="25234"/>
  <c r="AN548" i="25234"/>
  <c r="Y547" i="25234"/>
  <c r="AA547" i="25234" s="1"/>
  <c r="AF547" i="25234"/>
  <c r="AI547" i="25234"/>
  <c r="AM547" i="25234"/>
  <c r="AN547" i="25234"/>
  <c r="Y546" i="25234"/>
  <c r="AA546" i="25234" s="1"/>
  <c r="AF546" i="25234"/>
  <c r="AI546" i="25234"/>
  <c r="AM546" i="25234"/>
  <c r="AN546" i="25234"/>
  <c r="Y545" i="25234"/>
  <c r="AA545" i="25234" s="1"/>
  <c r="AF545" i="25234"/>
  <c r="AI545" i="25234"/>
  <c r="AM545" i="25234"/>
  <c r="AN545" i="25234"/>
  <c r="Y544" i="25234"/>
  <c r="AA544" i="25234" s="1"/>
  <c r="AF544" i="25234"/>
  <c r="AI544" i="25234"/>
  <c r="AM544" i="25234"/>
  <c r="AN544" i="25234"/>
  <c r="Y543" i="25234"/>
  <c r="AA543" i="25234" s="1"/>
  <c r="AF543" i="25234"/>
  <c r="AI543" i="25234"/>
  <c r="AM543" i="25234"/>
  <c r="AN543" i="25234"/>
  <c r="Y542" i="25234"/>
  <c r="AA542" i="25234" s="1"/>
  <c r="AF542" i="25234"/>
  <c r="AI542" i="25234"/>
  <c r="AM542" i="25234"/>
  <c r="AN542" i="25234"/>
  <c r="Y541" i="25234"/>
  <c r="AA541" i="25234" s="1"/>
  <c r="AF541" i="25234"/>
  <c r="AI541" i="25234"/>
  <c r="AM541" i="25234"/>
  <c r="AN541" i="25234"/>
  <c r="Y540" i="25234"/>
  <c r="AA540" i="25234" s="1"/>
  <c r="AF540" i="25234"/>
  <c r="AI540" i="25234"/>
  <c r="AM540" i="25234"/>
  <c r="AN540" i="25234"/>
  <c r="Y539" i="25234"/>
  <c r="AA539" i="25234" s="1"/>
  <c r="AF539" i="25234"/>
  <c r="AI539" i="25234"/>
  <c r="AM539" i="25234"/>
  <c r="AN539" i="25234"/>
  <c r="Y538" i="25234"/>
  <c r="AA538" i="25234" s="1"/>
  <c r="AF538" i="25234"/>
  <c r="AI538" i="25234"/>
  <c r="AM538" i="25234"/>
  <c r="AN538" i="25234"/>
  <c r="Y537" i="25234"/>
  <c r="AA537" i="25234" s="1"/>
  <c r="AF537" i="25234"/>
  <c r="AI537" i="25234"/>
  <c r="AM537" i="25234"/>
  <c r="AN537" i="25234"/>
  <c r="Y536" i="25234"/>
  <c r="AA536" i="25234" s="1"/>
  <c r="AF536" i="25234"/>
  <c r="AI536" i="25234"/>
  <c r="AM536" i="25234"/>
  <c r="AN536" i="25234"/>
  <c r="Y535" i="25234"/>
  <c r="AA535" i="25234" s="1"/>
  <c r="AF535" i="25234"/>
  <c r="AI535" i="25234"/>
  <c r="AM535" i="25234"/>
  <c r="AN535" i="25234"/>
  <c r="Y534" i="25234"/>
  <c r="AA534" i="25234" s="1"/>
  <c r="AF534" i="25234"/>
  <c r="AI534" i="25234"/>
  <c r="AM534" i="25234"/>
  <c r="AN534" i="25234"/>
  <c r="Y533" i="25234"/>
  <c r="AA533" i="25234" s="1"/>
  <c r="AF533" i="25234"/>
  <c r="AI533" i="25234"/>
  <c r="AM533" i="25234"/>
  <c r="AN533" i="25234"/>
  <c r="Y532" i="25234"/>
  <c r="AA532" i="25234" s="1"/>
  <c r="AF532" i="25234"/>
  <c r="AI532" i="25234"/>
  <c r="AM532" i="25234"/>
  <c r="AN532" i="25234"/>
  <c r="Y531" i="25234"/>
  <c r="AA531" i="25234" s="1"/>
  <c r="AF531" i="25234"/>
  <c r="AI531" i="25234"/>
  <c r="AM531" i="25234"/>
  <c r="AN531" i="25234"/>
  <c r="Y530" i="25234"/>
  <c r="AA530" i="25234" s="1"/>
  <c r="AF530" i="25234"/>
  <c r="AI530" i="25234"/>
  <c r="AM530" i="25234"/>
  <c r="AN530" i="25234"/>
  <c r="Y529" i="25234"/>
  <c r="AA529" i="25234" s="1"/>
  <c r="AF529" i="25234"/>
  <c r="AI529" i="25234"/>
  <c r="AM529" i="25234"/>
  <c r="AN529" i="25234"/>
  <c r="Y528" i="25234"/>
  <c r="AA528" i="25234" s="1"/>
  <c r="AF528" i="25234"/>
  <c r="AI528" i="25234"/>
  <c r="AM528" i="25234"/>
  <c r="AN528" i="25234"/>
  <c r="Y527" i="25234"/>
  <c r="AA527" i="25234" s="1"/>
  <c r="AF527" i="25234"/>
  <c r="AI527" i="25234"/>
  <c r="AM527" i="25234"/>
  <c r="AN527" i="25234"/>
  <c r="Y526" i="25234"/>
  <c r="AA526" i="25234" s="1"/>
  <c r="AF526" i="25234"/>
  <c r="AI526" i="25234"/>
  <c r="AM526" i="25234"/>
  <c r="AN526" i="25234"/>
  <c r="Y525" i="25234"/>
  <c r="AA525" i="25234" s="1"/>
  <c r="AF525" i="25234"/>
  <c r="AI525" i="25234"/>
  <c r="AM525" i="25234"/>
  <c r="AN525" i="25234"/>
  <c r="Y524" i="25234"/>
  <c r="AA524" i="25234" s="1"/>
  <c r="AF524" i="25234"/>
  <c r="AI524" i="25234"/>
  <c r="AM524" i="25234"/>
  <c r="AN524" i="25234"/>
  <c r="Y523" i="25234"/>
  <c r="AA523" i="25234" s="1"/>
  <c r="AF523" i="25234"/>
  <c r="AI523" i="25234"/>
  <c r="AM523" i="25234"/>
  <c r="AN523" i="25234"/>
  <c r="Y522" i="25234"/>
  <c r="AA522" i="25234" s="1"/>
  <c r="AF522" i="25234"/>
  <c r="AI522" i="25234"/>
  <c r="AM522" i="25234"/>
  <c r="AN522" i="25234"/>
  <c r="Y521" i="25234"/>
  <c r="AA521" i="25234" s="1"/>
  <c r="AF521" i="25234"/>
  <c r="AI521" i="25234"/>
  <c r="AM521" i="25234"/>
  <c r="AN521" i="25234"/>
  <c r="Y520" i="25234"/>
  <c r="AA520" i="25234" s="1"/>
  <c r="AF520" i="25234"/>
  <c r="AI520" i="25234"/>
  <c r="AM520" i="25234"/>
  <c r="AN520" i="25234"/>
  <c r="Y519" i="25234"/>
  <c r="AA519" i="25234" s="1"/>
  <c r="AF519" i="25234"/>
  <c r="AI519" i="25234"/>
  <c r="AM519" i="25234"/>
  <c r="AN519" i="25234"/>
  <c r="Y518" i="25234"/>
  <c r="AA518" i="25234" s="1"/>
  <c r="AF518" i="25234"/>
  <c r="AI518" i="25234"/>
  <c r="AM518" i="25234"/>
  <c r="AN518" i="25234"/>
  <c r="Y517" i="25234"/>
  <c r="AA517" i="25234" s="1"/>
  <c r="AF517" i="25234"/>
  <c r="AI517" i="25234"/>
  <c r="AM517" i="25234"/>
  <c r="AN517" i="25234"/>
  <c r="Y516" i="25234"/>
  <c r="AA516" i="25234" s="1"/>
  <c r="AF516" i="25234"/>
  <c r="AI516" i="25234"/>
  <c r="AM516" i="25234"/>
  <c r="AN516" i="25234"/>
  <c r="Y515" i="25234"/>
  <c r="AA515" i="25234" s="1"/>
  <c r="AF515" i="25234"/>
  <c r="AI515" i="25234"/>
  <c r="AM515" i="25234"/>
  <c r="AN515" i="25234"/>
  <c r="Y514" i="25234"/>
  <c r="AA514" i="25234" s="1"/>
  <c r="AF514" i="25234"/>
  <c r="AI514" i="25234"/>
  <c r="AM514" i="25234"/>
  <c r="AN514" i="25234"/>
  <c r="Y513" i="25234"/>
  <c r="AA513" i="25234" s="1"/>
  <c r="AF513" i="25234"/>
  <c r="AI513" i="25234"/>
  <c r="AM513" i="25234"/>
  <c r="AN513" i="25234"/>
  <c r="Y512" i="25234"/>
  <c r="AA512" i="25234" s="1"/>
  <c r="AF512" i="25234"/>
  <c r="AI512" i="25234"/>
  <c r="AM512" i="25234"/>
  <c r="AN512" i="25234"/>
  <c r="Y511" i="25234"/>
  <c r="AA511" i="25234" s="1"/>
  <c r="AF511" i="25234"/>
  <c r="AI511" i="25234"/>
  <c r="AM511" i="25234"/>
  <c r="AN511" i="25234"/>
  <c r="Y510" i="25234"/>
  <c r="AA510" i="25234" s="1"/>
  <c r="AF510" i="25234"/>
  <c r="AI510" i="25234"/>
  <c r="AM510" i="25234"/>
  <c r="AN510" i="25234"/>
  <c r="Y500" i="25234"/>
  <c r="AA500" i="25234" s="1"/>
  <c r="Y509" i="25234"/>
  <c r="AA509" i="25234" s="1"/>
  <c r="AF509" i="25234"/>
  <c r="AI509" i="25234"/>
  <c r="AM509" i="25234"/>
  <c r="AN509" i="25234"/>
  <c r="Y508" i="25234"/>
  <c r="AA508" i="25234" s="1"/>
  <c r="AF508" i="25234"/>
  <c r="AI508" i="25234"/>
  <c r="AM508" i="25234"/>
  <c r="AN508" i="25234"/>
  <c r="Y507" i="25234"/>
  <c r="AA507" i="25234" s="1"/>
  <c r="AF507" i="25234"/>
  <c r="AI507" i="25234"/>
  <c r="AM507" i="25234"/>
  <c r="AN507" i="25234"/>
  <c r="Y506" i="25234"/>
  <c r="AA506" i="25234" s="1"/>
  <c r="AF506" i="25234"/>
  <c r="AI506" i="25234"/>
  <c r="AM506" i="25234"/>
  <c r="AN506" i="25234"/>
  <c r="Y505" i="25234"/>
  <c r="AA505" i="25234" s="1"/>
  <c r="AF505" i="25234"/>
  <c r="AI505" i="25234"/>
  <c r="AM505" i="25234"/>
  <c r="AN505" i="25234"/>
  <c r="Y504" i="25234"/>
  <c r="AA504" i="25234" s="1"/>
  <c r="AF504" i="25234"/>
  <c r="AI504" i="25234"/>
  <c r="AM504" i="25234"/>
  <c r="AN504" i="25234"/>
  <c r="Y503" i="25234"/>
  <c r="AA503" i="25234" s="1"/>
  <c r="AF503" i="25234"/>
  <c r="AI503" i="25234"/>
  <c r="AM503" i="25234"/>
  <c r="AN503" i="25234"/>
  <c r="Y502" i="25234"/>
  <c r="AA502" i="25234" s="1"/>
  <c r="AF502" i="25234"/>
  <c r="AI502" i="25234"/>
  <c r="AM502" i="25234"/>
  <c r="AN502" i="25234"/>
  <c r="Y501" i="25234"/>
  <c r="AA501" i="25234" s="1"/>
  <c r="AF501" i="25234"/>
  <c r="AI501" i="25234"/>
  <c r="AM501" i="25234"/>
  <c r="AN501" i="25234"/>
  <c r="AN500" i="25234"/>
  <c r="AF500" i="25234"/>
  <c r="AI500" i="25234"/>
  <c r="AM500" i="25234"/>
  <c r="AI491" i="25234"/>
  <c r="AI492" i="25234"/>
  <c r="Y499" i="25234"/>
  <c r="AA499" i="25234" s="1"/>
  <c r="AF499" i="25234"/>
  <c r="AI499" i="25234"/>
  <c r="AM499" i="25234"/>
  <c r="AN499" i="25234"/>
  <c r="Y498" i="25234"/>
  <c r="AA498" i="25234" s="1"/>
  <c r="AF498" i="25234"/>
  <c r="AI498" i="25234"/>
  <c r="AM498" i="25234"/>
  <c r="AN498" i="25234"/>
  <c r="Y497" i="25234"/>
  <c r="AA497" i="25234" s="1"/>
  <c r="AF497" i="25234"/>
  <c r="AI497" i="25234"/>
  <c r="AM497" i="25234"/>
  <c r="AN497" i="25234"/>
  <c r="Y496" i="25234"/>
  <c r="AA496" i="25234" s="1"/>
  <c r="AF496" i="25234"/>
  <c r="AI496" i="25234"/>
  <c r="AM496" i="25234"/>
  <c r="AN496" i="25234"/>
  <c r="AI481" i="25234"/>
  <c r="Y495" i="25234"/>
  <c r="AA495" i="25234" s="1"/>
  <c r="AF495" i="25234"/>
  <c r="AI495" i="25234"/>
  <c r="AM495" i="25234"/>
  <c r="AN495" i="25234"/>
  <c r="Y494" i="25234"/>
  <c r="AA494" i="25234" s="1"/>
  <c r="AF494" i="25234"/>
  <c r="AI494" i="25234"/>
  <c r="AM494" i="25234"/>
  <c r="AN494" i="25234"/>
  <c r="AF490" i="25234"/>
  <c r="AF491" i="25234"/>
  <c r="Y493" i="25234"/>
  <c r="AA493" i="25234" s="1"/>
  <c r="AF493" i="25234"/>
  <c r="AI493" i="25234"/>
  <c r="AM493" i="25234"/>
  <c r="AN493" i="25234"/>
  <c r="Y492" i="25234"/>
  <c r="AA492" i="25234" s="1"/>
  <c r="AM492" i="25234"/>
  <c r="AN492" i="25234"/>
  <c r="Y491" i="25234"/>
  <c r="AA491" i="25234" s="1"/>
  <c r="AM491" i="25234"/>
  <c r="AN491" i="25234"/>
  <c r="Y490" i="25234"/>
  <c r="AA490" i="25234" s="1"/>
  <c r="AI490" i="25234"/>
  <c r="AM490" i="25234"/>
  <c r="AN490" i="25234"/>
  <c r="Y471" i="25234"/>
  <c r="AA471" i="25234" s="1"/>
  <c r="Y489" i="25234"/>
  <c r="AA489" i="25234" s="1"/>
  <c r="AF489" i="25234"/>
  <c r="AI489" i="25234"/>
  <c r="AM489" i="25234"/>
  <c r="AN489" i="25234"/>
  <c r="Y488" i="25234"/>
  <c r="AA488" i="25234" s="1"/>
  <c r="AF488" i="25234"/>
  <c r="AI488" i="25234"/>
  <c r="AM488" i="25234"/>
  <c r="AN488" i="25234"/>
  <c r="Y487" i="25234"/>
  <c r="AA487" i="25234" s="1"/>
  <c r="AF487" i="25234"/>
  <c r="AI487" i="25234"/>
  <c r="AM487" i="25234"/>
  <c r="AN487" i="25234"/>
  <c r="Y486" i="25234"/>
  <c r="AA486" i="25234" s="1"/>
  <c r="AF486" i="25234"/>
  <c r="AI486" i="25234"/>
  <c r="AM486" i="25234"/>
  <c r="AN486" i="25234"/>
  <c r="Y485" i="25234"/>
  <c r="AA485" i="25234" s="1"/>
  <c r="AF485" i="25234"/>
  <c r="AI485" i="25234"/>
  <c r="AM485" i="25234"/>
  <c r="AN485" i="25234"/>
  <c r="Y484" i="25234"/>
  <c r="AA484" i="25234" s="1"/>
  <c r="AF484" i="25234"/>
  <c r="AI484" i="25234"/>
  <c r="AM484" i="25234"/>
  <c r="AN484" i="25234"/>
  <c r="Y483" i="25234"/>
  <c r="AA483" i="25234" s="1"/>
  <c r="AF483" i="25234"/>
  <c r="AI483" i="25234"/>
  <c r="AM483" i="25234"/>
  <c r="AN483" i="25234"/>
  <c r="Y482" i="25234"/>
  <c r="AA482" i="25234" s="1"/>
  <c r="AF482" i="25234"/>
  <c r="AI482" i="25234"/>
  <c r="AM482" i="25234"/>
  <c r="AN482" i="25234"/>
  <c r="Y481" i="25234"/>
  <c r="AA481" i="25234" s="1"/>
  <c r="AF481" i="25234"/>
  <c r="AM481" i="25234"/>
  <c r="AN481" i="25234"/>
  <c r="Y480" i="25234"/>
  <c r="AA480" i="25234" s="1"/>
  <c r="AF480" i="25234"/>
  <c r="AI480" i="25234"/>
  <c r="AM480" i="25234"/>
  <c r="AN480" i="25234"/>
  <c r="Y479" i="25234"/>
  <c r="AA479" i="25234" s="1"/>
  <c r="AF479" i="25234"/>
  <c r="AI479" i="25234"/>
  <c r="AM479" i="25234"/>
  <c r="AN479" i="25234"/>
  <c r="Y7" i="25234"/>
  <c r="AA7" i="25234" s="1"/>
  <c r="Y8" i="25234"/>
  <c r="AA8" i="25234" s="1"/>
  <c r="Y9" i="25234"/>
  <c r="AA9" i="25234" s="1"/>
  <c r="Y10" i="25234"/>
  <c r="AA10" i="25234" s="1"/>
  <c r="Y11" i="25234"/>
  <c r="AA11" i="25234" s="1"/>
  <c r="Y12" i="25234"/>
  <c r="AA12" i="25234" s="1"/>
  <c r="Y13" i="25234"/>
  <c r="AA13" i="25234" s="1"/>
  <c r="Y14" i="25234"/>
  <c r="AA14" i="25234" s="1"/>
  <c r="Y15" i="25234"/>
  <c r="AA15" i="25234" s="1"/>
  <c r="Y16" i="25234"/>
  <c r="AA16" i="25234" s="1"/>
  <c r="Y17" i="25234"/>
  <c r="AA17" i="25234" s="1"/>
  <c r="Y18" i="25234"/>
  <c r="AA18" i="25234" s="1"/>
  <c r="Y19" i="25234"/>
  <c r="AA19" i="25234" s="1"/>
  <c r="Y20" i="25234"/>
  <c r="AA20" i="25234" s="1"/>
  <c r="Y21" i="25234"/>
  <c r="AA21" i="25234" s="1"/>
  <c r="Y22" i="25234"/>
  <c r="AA22" i="25234" s="1"/>
  <c r="Y23" i="25234"/>
  <c r="AA23" i="25234" s="1"/>
  <c r="Y24" i="25234"/>
  <c r="AA24" i="25234" s="1"/>
  <c r="Y25" i="25234"/>
  <c r="AA25" i="25234" s="1"/>
  <c r="Y26" i="25234"/>
  <c r="AA26" i="25234" s="1"/>
  <c r="Y27" i="25234"/>
  <c r="AA27" i="25234" s="1"/>
  <c r="Y28" i="25234"/>
  <c r="AA28" i="25234" s="1"/>
  <c r="Y29" i="25234"/>
  <c r="AA29" i="25234" s="1"/>
  <c r="Y30" i="25234"/>
  <c r="AA30" i="25234" s="1"/>
  <c r="Y31" i="25234"/>
  <c r="AA31" i="25234" s="1"/>
  <c r="Y32" i="25234"/>
  <c r="AA32" i="25234" s="1"/>
  <c r="Y33" i="25234"/>
  <c r="AA33" i="25234" s="1"/>
  <c r="Y34" i="25234"/>
  <c r="AA34" i="25234" s="1"/>
  <c r="Y35" i="25234"/>
  <c r="AA35" i="25234" s="1"/>
  <c r="Y36" i="25234"/>
  <c r="AA36" i="25234" s="1"/>
  <c r="Y37" i="25234"/>
  <c r="AA37" i="25234" s="1"/>
  <c r="Y38" i="25234"/>
  <c r="AA38" i="25234" s="1"/>
  <c r="Y39" i="25234"/>
  <c r="AA39" i="25234" s="1"/>
  <c r="Y40" i="25234"/>
  <c r="AA40" i="25234" s="1"/>
  <c r="Y41" i="25234"/>
  <c r="AA41" i="25234" s="1"/>
  <c r="Y42" i="25234"/>
  <c r="AA42" i="25234" s="1"/>
  <c r="Y43" i="25234"/>
  <c r="AA43" i="25234" s="1"/>
  <c r="Y44" i="25234"/>
  <c r="AA44" i="25234" s="1"/>
  <c r="Y45" i="25234"/>
  <c r="AA45" i="25234" s="1"/>
  <c r="Y46" i="25234"/>
  <c r="AA46" i="25234" s="1"/>
  <c r="Y47" i="25234"/>
  <c r="AA47" i="25234" s="1"/>
  <c r="Y48" i="25234"/>
  <c r="AA48" i="25234" s="1"/>
  <c r="Y49" i="25234"/>
  <c r="AA49" i="25234" s="1"/>
  <c r="Y50" i="25234"/>
  <c r="AA50" i="25234" s="1"/>
  <c r="Y51" i="25234"/>
  <c r="AA51" i="25234" s="1"/>
  <c r="Y52" i="25234"/>
  <c r="AA52" i="25234" s="1"/>
  <c r="Y53" i="25234"/>
  <c r="AA53" i="25234" s="1"/>
  <c r="Y54" i="25234"/>
  <c r="AA54" i="25234" s="1"/>
  <c r="Y55" i="25234"/>
  <c r="AA55" i="25234" s="1"/>
  <c r="Y56" i="25234"/>
  <c r="AA56" i="25234" s="1"/>
  <c r="Y57" i="25234"/>
  <c r="AA57" i="25234" s="1"/>
  <c r="Y58" i="25234"/>
  <c r="AA58" i="25234" s="1"/>
  <c r="Y59" i="25234"/>
  <c r="AA59" i="25234" s="1"/>
  <c r="Y60" i="25234"/>
  <c r="AA60" i="25234" s="1"/>
  <c r="Y61" i="25234"/>
  <c r="AA61" i="25234" s="1"/>
  <c r="Y62" i="25234"/>
  <c r="AA62" i="25234" s="1"/>
  <c r="Y63" i="25234"/>
  <c r="AA63" i="25234" s="1"/>
  <c r="Y64" i="25234"/>
  <c r="AA64" i="25234" s="1"/>
  <c r="Y65" i="25234"/>
  <c r="AA65" i="25234" s="1"/>
  <c r="Y66" i="25234"/>
  <c r="AA66" i="25234" s="1"/>
  <c r="Y67" i="25234"/>
  <c r="AA67" i="25234" s="1"/>
  <c r="Y68" i="25234"/>
  <c r="AA68" i="25234" s="1"/>
  <c r="Y69" i="25234"/>
  <c r="AA69" i="25234" s="1"/>
  <c r="Y70" i="25234"/>
  <c r="AA70" i="25234" s="1"/>
  <c r="Y71" i="25234"/>
  <c r="AA71" i="25234" s="1"/>
  <c r="Y72" i="25234"/>
  <c r="AA72" i="25234" s="1"/>
  <c r="Y73" i="25234"/>
  <c r="AA73" i="25234" s="1"/>
  <c r="Y74" i="25234"/>
  <c r="AA74" i="25234" s="1"/>
  <c r="Y75" i="25234"/>
  <c r="AA75" i="25234" s="1"/>
  <c r="Y76" i="25234"/>
  <c r="AA76" i="25234" s="1"/>
  <c r="Y77" i="25234"/>
  <c r="AA77" i="25234" s="1"/>
  <c r="Y78" i="25234"/>
  <c r="AA78" i="25234" s="1"/>
  <c r="Y79" i="25234"/>
  <c r="AA79" i="25234" s="1"/>
  <c r="Y80" i="25234"/>
  <c r="AA80" i="25234" s="1"/>
  <c r="Y81" i="25234"/>
  <c r="AA81" i="25234" s="1"/>
  <c r="Y82" i="25234"/>
  <c r="AA82" i="25234" s="1"/>
  <c r="Y83" i="25234"/>
  <c r="AA83" i="25234" s="1"/>
  <c r="Y84" i="25234"/>
  <c r="AA84" i="25234" s="1"/>
  <c r="Y85" i="25234"/>
  <c r="AA85" i="25234" s="1"/>
  <c r="Y86" i="25234"/>
  <c r="AA86" i="25234" s="1"/>
  <c r="Y87" i="25234"/>
  <c r="AA87" i="25234" s="1"/>
  <c r="Y88" i="25234"/>
  <c r="AA88" i="25234" s="1"/>
  <c r="Y89" i="25234"/>
  <c r="AA89" i="25234" s="1"/>
  <c r="Y90" i="25234"/>
  <c r="AA90" i="25234" s="1"/>
  <c r="Y91" i="25234"/>
  <c r="AA91" i="25234" s="1"/>
  <c r="Y92" i="25234"/>
  <c r="AA92" i="25234" s="1"/>
  <c r="Y93" i="25234"/>
  <c r="AA93" i="25234" s="1"/>
  <c r="Y94" i="25234"/>
  <c r="AA94" i="25234" s="1"/>
  <c r="Y95" i="25234"/>
  <c r="AA95" i="25234" s="1"/>
  <c r="Y96" i="25234"/>
  <c r="AA96" i="25234" s="1"/>
  <c r="Y97" i="25234"/>
  <c r="AA97" i="25234" s="1"/>
  <c r="Y98" i="25234"/>
  <c r="AA98" i="25234" s="1"/>
  <c r="Y99" i="25234"/>
  <c r="AA99" i="25234" s="1"/>
  <c r="Y100" i="25234"/>
  <c r="AA100" i="25234" s="1"/>
  <c r="Y101" i="25234"/>
  <c r="AA101" i="25234" s="1"/>
  <c r="Y102" i="25234"/>
  <c r="AA102" i="25234" s="1"/>
  <c r="Y103" i="25234"/>
  <c r="AA103" i="25234" s="1"/>
  <c r="Y104" i="25234"/>
  <c r="AA104" i="25234" s="1"/>
  <c r="Y105" i="25234"/>
  <c r="AA105" i="25234" s="1"/>
  <c r="Y106" i="25234"/>
  <c r="AA106" i="25234" s="1"/>
  <c r="Y107" i="25234"/>
  <c r="AA107" i="25234" s="1"/>
  <c r="Y108" i="25234"/>
  <c r="AA108" i="25234" s="1"/>
  <c r="Y109" i="25234"/>
  <c r="AA109" i="25234" s="1"/>
  <c r="Y110" i="25234"/>
  <c r="AA110" i="25234" s="1"/>
  <c r="Y111" i="25234"/>
  <c r="AA111" i="25234" s="1"/>
  <c r="Y112" i="25234"/>
  <c r="AA112" i="25234" s="1"/>
  <c r="Y113" i="25234"/>
  <c r="AA113" i="25234" s="1"/>
  <c r="Y114" i="25234"/>
  <c r="AA114" i="25234" s="1"/>
  <c r="Y115" i="25234"/>
  <c r="AA115" i="25234" s="1"/>
  <c r="Y116" i="25234"/>
  <c r="AA116" i="25234" s="1"/>
  <c r="Y117" i="25234"/>
  <c r="AA117" i="25234" s="1"/>
  <c r="Y118" i="25234"/>
  <c r="AA118" i="25234" s="1"/>
  <c r="Y119" i="25234"/>
  <c r="AA119" i="25234" s="1"/>
  <c r="Y120" i="25234"/>
  <c r="AA120" i="25234" s="1"/>
  <c r="Y121" i="25234"/>
  <c r="AA121" i="25234" s="1"/>
  <c r="Y122" i="25234"/>
  <c r="AA122" i="25234" s="1"/>
  <c r="Y123" i="25234"/>
  <c r="AA123" i="25234" s="1"/>
  <c r="Y124" i="25234"/>
  <c r="AA124" i="25234" s="1"/>
  <c r="Y125" i="25234"/>
  <c r="AA125" i="25234" s="1"/>
  <c r="Y126" i="25234"/>
  <c r="AA126" i="25234" s="1"/>
  <c r="Y127" i="25234"/>
  <c r="AA127" i="25234" s="1"/>
  <c r="Y128" i="25234"/>
  <c r="AA128" i="25234" s="1"/>
  <c r="Y129" i="25234"/>
  <c r="AA129" i="25234" s="1"/>
  <c r="Y130" i="25234"/>
  <c r="AA130" i="25234" s="1"/>
  <c r="Y131" i="25234"/>
  <c r="AA131" i="25234" s="1"/>
  <c r="Y132" i="25234"/>
  <c r="AA132" i="25234" s="1"/>
  <c r="Y133" i="25234"/>
  <c r="AA133" i="25234" s="1"/>
  <c r="Y134" i="25234"/>
  <c r="AA134" i="25234" s="1"/>
  <c r="Y135" i="25234"/>
  <c r="AA135" i="25234" s="1"/>
  <c r="Y136" i="25234"/>
  <c r="AA136" i="25234" s="1"/>
  <c r="Y137" i="25234"/>
  <c r="AA137" i="25234" s="1"/>
  <c r="Y138" i="25234"/>
  <c r="AA138" i="25234" s="1"/>
  <c r="Y139" i="25234"/>
  <c r="AA139" i="25234" s="1"/>
  <c r="Y140" i="25234"/>
  <c r="AA140" i="25234" s="1"/>
  <c r="Y141" i="25234"/>
  <c r="AA141" i="25234" s="1"/>
  <c r="Y142" i="25234"/>
  <c r="AA142" i="25234" s="1"/>
  <c r="Y143" i="25234"/>
  <c r="AA143" i="25234" s="1"/>
  <c r="Y144" i="25234"/>
  <c r="AA144" i="25234" s="1"/>
  <c r="Y145" i="25234"/>
  <c r="AA145" i="25234" s="1"/>
  <c r="Y146" i="25234"/>
  <c r="AA146" i="25234" s="1"/>
  <c r="Y147" i="25234"/>
  <c r="AA147" i="25234" s="1"/>
  <c r="Y148" i="25234"/>
  <c r="AA148" i="25234" s="1"/>
  <c r="Y149" i="25234"/>
  <c r="AA149" i="25234" s="1"/>
  <c r="Y150" i="25234"/>
  <c r="AA150" i="25234" s="1"/>
  <c r="Y151" i="25234"/>
  <c r="AA151" i="25234" s="1"/>
  <c r="Y152" i="25234"/>
  <c r="AA152" i="25234" s="1"/>
  <c r="Y153" i="25234"/>
  <c r="AA153" i="25234" s="1"/>
  <c r="Y154" i="25234"/>
  <c r="AA154" i="25234" s="1"/>
  <c r="Y155" i="25234"/>
  <c r="AA155" i="25234" s="1"/>
  <c r="Y156" i="25234"/>
  <c r="AA156" i="25234" s="1"/>
  <c r="Y157" i="25234"/>
  <c r="AA157" i="25234" s="1"/>
  <c r="Y158" i="25234"/>
  <c r="AA158" i="25234" s="1"/>
  <c r="Y159" i="25234"/>
  <c r="AA159" i="25234" s="1"/>
  <c r="Y160" i="25234"/>
  <c r="AA160" i="25234" s="1"/>
  <c r="Y161" i="25234"/>
  <c r="AA161" i="25234" s="1"/>
  <c r="Y162" i="25234"/>
  <c r="AA162" i="25234" s="1"/>
  <c r="Y163" i="25234"/>
  <c r="AA163" i="25234" s="1"/>
  <c r="Y164" i="25234"/>
  <c r="AA164" i="25234" s="1"/>
  <c r="Y165" i="25234"/>
  <c r="AA165" i="25234" s="1"/>
  <c r="Y166" i="25234"/>
  <c r="AA166" i="25234" s="1"/>
  <c r="Y167" i="25234"/>
  <c r="AA167" i="25234" s="1"/>
  <c r="Y168" i="25234"/>
  <c r="AA168" i="25234" s="1"/>
  <c r="Y169" i="25234"/>
  <c r="AA169" i="25234" s="1"/>
  <c r="Y170" i="25234"/>
  <c r="AA170" i="25234" s="1"/>
  <c r="Y171" i="25234"/>
  <c r="AA171" i="25234" s="1"/>
  <c r="Y172" i="25234"/>
  <c r="AA172" i="25234" s="1"/>
  <c r="Y173" i="25234"/>
  <c r="AA173" i="25234" s="1"/>
  <c r="Y174" i="25234"/>
  <c r="AA174" i="25234" s="1"/>
  <c r="Y175" i="25234"/>
  <c r="AA175" i="25234" s="1"/>
  <c r="Y176" i="25234"/>
  <c r="AA176" i="25234" s="1"/>
  <c r="Y177" i="25234"/>
  <c r="AA177" i="25234" s="1"/>
  <c r="Y178" i="25234"/>
  <c r="AA178" i="25234" s="1"/>
  <c r="Y179" i="25234"/>
  <c r="AA179" i="25234" s="1"/>
  <c r="Y180" i="25234"/>
  <c r="AA180" i="25234" s="1"/>
  <c r="Y181" i="25234"/>
  <c r="AA181" i="25234" s="1"/>
  <c r="Y182" i="25234"/>
  <c r="AA182" i="25234" s="1"/>
  <c r="Y183" i="25234"/>
  <c r="AA183" i="25234" s="1"/>
  <c r="Y184" i="25234"/>
  <c r="AA184" i="25234" s="1"/>
  <c r="Y185" i="25234"/>
  <c r="AA185" i="25234" s="1"/>
  <c r="Y186" i="25234"/>
  <c r="AA186" i="25234" s="1"/>
  <c r="Y187" i="25234"/>
  <c r="AA187" i="25234" s="1"/>
  <c r="Y188" i="25234"/>
  <c r="AA188" i="25234" s="1"/>
  <c r="Y189" i="25234"/>
  <c r="AA189" i="25234" s="1"/>
  <c r="Y190" i="25234"/>
  <c r="AA190" i="25234" s="1"/>
  <c r="Y191" i="25234"/>
  <c r="AA191" i="25234" s="1"/>
  <c r="Y192" i="25234"/>
  <c r="AA192" i="25234" s="1"/>
  <c r="Y193" i="25234"/>
  <c r="AA193" i="25234" s="1"/>
  <c r="Y194" i="25234"/>
  <c r="AA194" i="25234" s="1"/>
  <c r="Y195" i="25234"/>
  <c r="AA195" i="25234" s="1"/>
  <c r="Y196" i="25234"/>
  <c r="AA196" i="25234" s="1"/>
  <c r="Y197" i="25234"/>
  <c r="AA197" i="25234" s="1"/>
  <c r="Y198" i="25234"/>
  <c r="AA198" i="25234" s="1"/>
  <c r="Y199" i="25234"/>
  <c r="AA199" i="25234" s="1"/>
  <c r="Y200" i="25234"/>
  <c r="AA200" i="25234" s="1"/>
  <c r="Y201" i="25234"/>
  <c r="AA201" i="25234" s="1"/>
  <c r="Y202" i="25234"/>
  <c r="AA202" i="25234" s="1"/>
  <c r="Y203" i="25234"/>
  <c r="AA203" i="25234" s="1"/>
  <c r="Y204" i="25234"/>
  <c r="AA204" i="25234" s="1"/>
  <c r="Y205" i="25234"/>
  <c r="AA205" i="25234" s="1"/>
  <c r="Y206" i="25234"/>
  <c r="AA206" i="25234" s="1"/>
  <c r="Y207" i="25234"/>
  <c r="AA207" i="25234" s="1"/>
  <c r="Y208" i="25234"/>
  <c r="AA208" i="25234" s="1"/>
  <c r="Y209" i="25234"/>
  <c r="AA209" i="25234" s="1"/>
  <c r="Y210" i="25234"/>
  <c r="AA210" i="25234" s="1"/>
  <c r="Y211" i="25234"/>
  <c r="AA211" i="25234" s="1"/>
  <c r="Y212" i="25234"/>
  <c r="AA212" i="25234" s="1"/>
  <c r="Y213" i="25234"/>
  <c r="AA213" i="25234" s="1"/>
  <c r="Y214" i="25234"/>
  <c r="AA214" i="25234" s="1"/>
  <c r="Y215" i="25234"/>
  <c r="AA215" i="25234" s="1"/>
  <c r="Y216" i="25234"/>
  <c r="AA216" i="25234" s="1"/>
  <c r="Y217" i="25234"/>
  <c r="AA217" i="25234" s="1"/>
  <c r="Y218" i="25234"/>
  <c r="AA218" i="25234" s="1"/>
  <c r="Y219" i="25234"/>
  <c r="AA219" i="25234" s="1"/>
  <c r="Y220" i="25234"/>
  <c r="AA220" i="25234" s="1"/>
  <c r="Y221" i="25234"/>
  <c r="AA221" i="25234" s="1"/>
  <c r="Y222" i="25234"/>
  <c r="AA222" i="25234" s="1"/>
  <c r="Y223" i="25234"/>
  <c r="AA223" i="25234" s="1"/>
  <c r="Y224" i="25234"/>
  <c r="AA224" i="25234" s="1"/>
  <c r="Y225" i="25234"/>
  <c r="AA225" i="25234" s="1"/>
  <c r="Y226" i="25234"/>
  <c r="AA226" i="25234" s="1"/>
  <c r="Y227" i="25234"/>
  <c r="AA227" i="25234" s="1"/>
  <c r="Y228" i="25234"/>
  <c r="AA228" i="25234" s="1"/>
  <c r="Y229" i="25234"/>
  <c r="AA229" i="25234" s="1"/>
  <c r="Y230" i="25234"/>
  <c r="AA230" i="25234" s="1"/>
  <c r="Y231" i="25234"/>
  <c r="AA231" i="25234" s="1"/>
  <c r="Y232" i="25234"/>
  <c r="AA232" i="25234" s="1"/>
  <c r="Y233" i="25234"/>
  <c r="AA233" i="25234" s="1"/>
  <c r="Y234" i="25234"/>
  <c r="AA234" i="25234" s="1"/>
  <c r="Y235" i="25234"/>
  <c r="AA235" i="25234" s="1"/>
  <c r="Y236" i="25234"/>
  <c r="AA236" i="25234" s="1"/>
  <c r="Y237" i="25234"/>
  <c r="AA237" i="25234" s="1"/>
  <c r="Y238" i="25234"/>
  <c r="AA238" i="25234" s="1"/>
  <c r="Y239" i="25234"/>
  <c r="AA239" i="25234" s="1"/>
  <c r="Y240" i="25234"/>
  <c r="AA240" i="25234" s="1"/>
  <c r="Y241" i="25234"/>
  <c r="AA241" i="25234" s="1"/>
  <c r="Y242" i="25234"/>
  <c r="AA242" i="25234" s="1"/>
  <c r="Y243" i="25234"/>
  <c r="AA243" i="25234" s="1"/>
  <c r="Y244" i="25234"/>
  <c r="AA244" i="25234" s="1"/>
  <c r="Y245" i="25234"/>
  <c r="AA245" i="25234" s="1"/>
  <c r="Y246" i="25234"/>
  <c r="AA246" i="25234" s="1"/>
  <c r="Y247" i="25234"/>
  <c r="AA247" i="25234" s="1"/>
  <c r="Y248" i="25234"/>
  <c r="AA248" i="25234" s="1"/>
  <c r="Y249" i="25234"/>
  <c r="AA249" i="25234" s="1"/>
  <c r="Y250" i="25234"/>
  <c r="AA250" i="25234" s="1"/>
  <c r="Y251" i="25234"/>
  <c r="AA251" i="25234" s="1"/>
  <c r="Y252" i="25234"/>
  <c r="AA252" i="25234" s="1"/>
  <c r="Y253" i="25234"/>
  <c r="AA253" i="25234" s="1"/>
  <c r="Y254" i="25234"/>
  <c r="AA254" i="25234" s="1"/>
  <c r="Y255" i="25234"/>
  <c r="AA255" i="25234" s="1"/>
  <c r="Y256" i="25234"/>
  <c r="AA256" i="25234" s="1"/>
  <c r="Y257" i="25234"/>
  <c r="AA257" i="25234" s="1"/>
  <c r="Y258" i="25234"/>
  <c r="AA258" i="25234" s="1"/>
  <c r="Y259" i="25234"/>
  <c r="AA259" i="25234" s="1"/>
  <c r="Y260" i="25234"/>
  <c r="AA260" i="25234" s="1"/>
  <c r="Y261" i="25234"/>
  <c r="AA261" i="25234" s="1"/>
  <c r="Y262" i="25234"/>
  <c r="AA262" i="25234" s="1"/>
  <c r="Y263" i="25234"/>
  <c r="AA263" i="25234" s="1"/>
  <c r="Y264" i="25234"/>
  <c r="AA264" i="25234" s="1"/>
  <c r="Y265" i="25234"/>
  <c r="AA265" i="25234" s="1"/>
  <c r="Y266" i="25234"/>
  <c r="AA266" i="25234" s="1"/>
  <c r="Y267" i="25234"/>
  <c r="AA267" i="25234" s="1"/>
  <c r="Y268" i="25234"/>
  <c r="AA268" i="25234" s="1"/>
  <c r="Y269" i="25234"/>
  <c r="AA269" i="25234" s="1"/>
  <c r="Y270" i="25234"/>
  <c r="AA270" i="25234" s="1"/>
  <c r="Y271" i="25234"/>
  <c r="AA271" i="25234" s="1"/>
  <c r="Y272" i="25234"/>
  <c r="AA272" i="25234" s="1"/>
  <c r="Y273" i="25234"/>
  <c r="Y274" i="25234"/>
  <c r="AA274" i="25234" s="1"/>
  <c r="Y275" i="25234"/>
  <c r="AA275" i="25234" s="1"/>
  <c r="Y276" i="25234"/>
  <c r="AA276" i="25234" s="1"/>
  <c r="Y277" i="25234"/>
  <c r="AA277" i="25234" s="1"/>
  <c r="Y278" i="25234"/>
  <c r="AA278" i="25234" s="1"/>
  <c r="Y279" i="25234"/>
  <c r="AA279" i="25234" s="1"/>
  <c r="Y280" i="25234"/>
  <c r="AA280" i="25234" s="1"/>
  <c r="Y281" i="25234"/>
  <c r="AA281" i="25234" s="1"/>
  <c r="Y282" i="25234"/>
  <c r="AA282" i="25234" s="1"/>
  <c r="Y283" i="25234"/>
  <c r="AA283" i="25234" s="1"/>
  <c r="Y284" i="25234"/>
  <c r="AA284" i="25234" s="1"/>
  <c r="Y285" i="25234"/>
  <c r="AA285" i="25234" s="1"/>
  <c r="Y286" i="25234"/>
  <c r="AA286" i="25234" s="1"/>
  <c r="Y287" i="25234"/>
  <c r="AA287" i="25234" s="1"/>
  <c r="Y288" i="25234"/>
  <c r="AA288" i="25234" s="1"/>
  <c r="Y289" i="25234"/>
  <c r="AA289" i="25234" s="1"/>
  <c r="Y290" i="25234"/>
  <c r="AA290" i="25234" s="1"/>
  <c r="Y291" i="25234"/>
  <c r="AA291" i="25234" s="1"/>
  <c r="Y292" i="25234"/>
  <c r="AA292" i="25234" s="1"/>
  <c r="Y293" i="25234"/>
  <c r="AA293" i="25234" s="1"/>
  <c r="Y294" i="25234"/>
  <c r="AA294" i="25234" s="1"/>
  <c r="Y295" i="25234"/>
  <c r="AA295" i="25234" s="1"/>
  <c r="Y296" i="25234"/>
  <c r="AA296" i="25234" s="1"/>
  <c r="Y297" i="25234"/>
  <c r="AA297" i="25234" s="1"/>
  <c r="Y298" i="25234"/>
  <c r="AA298" i="25234" s="1"/>
  <c r="Y299" i="25234"/>
  <c r="AA299" i="25234" s="1"/>
  <c r="Y300" i="25234"/>
  <c r="AA300" i="25234" s="1"/>
  <c r="Y301" i="25234"/>
  <c r="AA301" i="25234" s="1"/>
  <c r="Y302" i="25234"/>
  <c r="AA302" i="25234" s="1"/>
  <c r="Y303" i="25234"/>
  <c r="AA303" i="25234" s="1"/>
  <c r="Y304" i="25234"/>
  <c r="AA304" i="25234" s="1"/>
  <c r="Y305" i="25234"/>
  <c r="AA305" i="25234" s="1"/>
  <c r="Y306" i="25234"/>
  <c r="AA306" i="25234" s="1"/>
  <c r="Y307" i="25234"/>
  <c r="AA307" i="25234" s="1"/>
  <c r="Y308" i="25234"/>
  <c r="AA308" i="25234" s="1"/>
  <c r="Y309" i="25234"/>
  <c r="AA309" i="25234" s="1"/>
  <c r="Y310" i="25234"/>
  <c r="AA310" i="25234" s="1"/>
  <c r="Y311" i="25234"/>
  <c r="AA311" i="25234" s="1"/>
  <c r="Y312" i="25234"/>
  <c r="AA312" i="25234" s="1"/>
  <c r="Y313" i="25234"/>
  <c r="AA313" i="25234" s="1"/>
  <c r="Y314" i="25234"/>
  <c r="AA314" i="25234" s="1"/>
  <c r="Y315" i="25234"/>
  <c r="AA315" i="25234" s="1"/>
  <c r="Y316" i="25234"/>
  <c r="AA316" i="25234" s="1"/>
  <c r="Y317" i="25234"/>
  <c r="AA317" i="25234" s="1"/>
  <c r="Y318" i="25234"/>
  <c r="AA318" i="25234" s="1"/>
  <c r="Y319" i="25234"/>
  <c r="AA319" i="25234" s="1"/>
  <c r="Y320" i="25234"/>
  <c r="AA320" i="25234" s="1"/>
  <c r="Y321" i="25234"/>
  <c r="AA321" i="25234" s="1"/>
  <c r="Y322" i="25234"/>
  <c r="AA322" i="25234" s="1"/>
  <c r="Y323" i="25234"/>
  <c r="AA323" i="25234" s="1"/>
  <c r="Y324" i="25234"/>
  <c r="AA324" i="25234" s="1"/>
  <c r="Y325" i="25234"/>
  <c r="AA325" i="25234" s="1"/>
  <c r="Y326" i="25234"/>
  <c r="AA326" i="25234" s="1"/>
  <c r="Y327" i="25234"/>
  <c r="AA327" i="25234" s="1"/>
  <c r="Y328" i="25234"/>
  <c r="AA328" i="25234" s="1"/>
  <c r="Y329" i="25234"/>
  <c r="AA329" i="25234" s="1"/>
  <c r="Y330" i="25234"/>
  <c r="AA330" i="25234" s="1"/>
  <c r="Y331" i="25234"/>
  <c r="AA331" i="25234" s="1"/>
  <c r="Y332" i="25234"/>
  <c r="AA332" i="25234" s="1"/>
  <c r="Y333" i="25234"/>
  <c r="AA333" i="25234" s="1"/>
  <c r="Y334" i="25234"/>
  <c r="AA334" i="25234" s="1"/>
  <c r="Y335" i="25234"/>
  <c r="AA335" i="25234" s="1"/>
  <c r="Y336" i="25234"/>
  <c r="AA336" i="25234" s="1"/>
  <c r="Y337" i="25234"/>
  <c r="AA337" i="25234" s="1"/>
  <c r="Y338" i="25234"/>
  <c r="AA338" i="25234" s="1"/>
  <c r="Y339" i="25234"/>
  <c r="AA339" i="25234" s="1"/>
  <c r="Y340" i="25234"/>
  <c r="AA340" i="25234" s="1"/>
  <c r="Y341" i="25234"/>
  <c r="AA341" i="25234" s="1"/>
  <c r="Y342" i="25234"/>
  <c r="AA342" i="25234" s="1"/>
  <c r="Y343" i="25234"/>
  <c r="AA343" i="25234" s="1"/>
  <c r="Y344" i="25234"/>
  <c r="AA344" i="25234" s="1"/>
  <c r="Y345" i="25234"/>
  <c r="AA345" i="25234" s="1"/>
  <c r="Y346" i="25234"/>
  <c r="AA346" i="25234" s="1"/>
  <c r="Y347" i="25234"/>
  <c r="AA347" i="25234" s="1"/>
  <c r="Y348" i="25234"/>
  <c r="AA348" i="25234" s="1"/>
  <c r="Y349" i="25234"/>
  <c r="AA349" i="25234" s="1"/>
  <c r="Y350" i="25234"/>
  <c r="AA350" i="25234" s="1"/>
  <c r="Y351" i="25234"/>
  <c r="AA351" i="25234" s="1"/>
  <c r="Y352" i="25234"/>
  <c r="AA352" i="25234" s="1"/>
  <c r="Y353" i="25234"/>
  <c r="AA353" i="25234" s="1"/>
  <c r="Y354" i="25234"/>
  <c r="AA354" i="25234" s="1"/>
  <c r="Y355" i="25234"/>
  <c r="AA355" i="25234" s="1"/>
  <c r="Y356" i="25234"/>
  <c r="AA356" i="25234" s="1"/>
  <c r="Y357" i="25234"/>
  <c r="AA357" i="25234" s="1"/>
  <c r="Y358" i="25234"/>
  <c r="AA358" i="25234" s="1"/>
  <c r="Y359" i="25234"/>
  <c r="AA359" i="25234" s="1"/>
  <c r="Y360" i="25234"/>
  <c r="AA360" i="25234" s="1"/>
  <c r="Y361" i="25234"/>
  <c r="AA361" i="25234" s="1"/>
  <c r="Y362" i="25234"/>
  <c r="AA362" i="25234" s="1"/>
  <c r="Y363" i="25234"/>
  <c r="AA363" i="25234" s="1"/>
  <c r="Y364" i="25234"/>
  <c r="AA364" i="25234" s="1"/>
  <c r="Y365" i="25234"/>
  <c r="AA365" i="25234" s="1"/>
  <c r="Y366" i="25234"/>
  <c r="AA366" i="25234" s="1"/>
  <c r="Y367" i="25234"/>
  <c r="AA367" i="25234" s="1"/>
  <c r="Y368" i="25234"/>
  <c r="AA368" i="25234" s="1"/>
  <c r="Y369" i="25234"/>
  <c r="AA369" i="25234" s="1"/>
  <c r="Y370" i="25234"/>
  <c r="AA370" i="25234" s="1"/>
  <c r="Y371" i="25234"/>
  <c r="AA371" i="25234" s="1"/>
  <c r="Y372" i="25234"/>
  <c r="AA372" i="25234" s="1"/>
  <c r="Y373" i="25234"/>
  <c r="AA373" i="25234" s="1"/>
  <c r="Y374" i="25234"/>
  <c r="AA374" i="25234" s="1"/>
  <c r="Y375" i="25234"/>
  <c r="AA375" i="25234" s="1"/>
  <c r="Y376" i="25234"/>
  <c r="AA376" i="25234" s="1"/>
  <c r="Y377" i="25234"/>
  <c r="AA377" i="25234" s="1"/>
  <c r="Y378" i="25234"/>
  <c r="AA378" i="25234" s="1"/>
  <c r="Y379" i="25234"/>
  <c r="AA379" i="25234" s="1"/>
  <c r="Y380" i="25234"/>
  <c r="AA380" i="25234" s="1"/>
  <c r="Y381" i="25234"/>
  <c r="AA381" i="25234" s="1"/>
  <c r="Y382" i="25234"/>
  <c r="AA382" i="25234" s="1"/>
  <c r="Y383" i="25234"/>
  <c r="AA383" i="25234" s="1"/>
  <c r="Y384" i="25234"/>
  <c r="AA384" i="25234" s="1"/>
  <c r="Y385" i="25234"/>
  <c r="AA385" i="25234" s="1"/>
  <c r="Y386" i="25234"/>
  <c r="AA386" i="25234" s="1"/>
  <c r="Y387" i="25234"/>
  <c r="AA387" i="25234" s="1"/>
  <c r="Y388" i="25234"/>
  <c r="AA388" i="25234" s="1"/>
  <c r="Y389" i="25234"/>
  <c r="AA389" i="25234" s="1"/>
  <c r="Y390" i="25234"/>
  <c r="AA390" i="25234" s="1"/>
  <c r="Y391" i="25234"/>
  <c r="AA391" i="25234" s="1"/>
  <c r="Y392" i="25234"/>
  <c r="AA392" i="25234" s="1"/>
  <c r="Y393" i="25234"/>
  <c r="AA393" i="25234" s="1"/>
  <c r="Y394" i="25234"/>
  <c r="AA394" i="25234" s="1"/>
  <c r="Y395" i="25234"/>
  <c r="AA395" i="25234" s="1"/>
  <c r="Y396" i="25234"/>
  <c r="AA396" i="25234" s="1"/>
  <c r="Y397" i="25234"/>
  <c r="AA397" i="25234" s="1"/>
  <c r="Y398" i="25234"/>
  <c r="AA398" i="25234" s="1"/>
  <c r="Y399" i="25234"/>
  <c r="AA399" i="25234" s="1"/>
  <c r="Y400" i="25234"/>
  <c r="AA400" i="25234" s="1"/>
  <c r="Y401" i="25234"/>
  <c r="AA401" i="25234" s="1"/>
  <c r="Y402" i="25234"/>
  <c r="AA402" i="25234" s="1"/>
  <c r="Y403" i="25234"/>
  <c r="AA403" i="25234" s="1"/>
  <c r="Y404" i="25234"/>
  <c r="AA404" i="25234" s="1"/>
  <c r="Y405" i="25234"/>
  <c r="AA405" i="25234" s="1"/>
  <c r="Y406" i="25234"/>
  <c r="AA406" i="25234" s="1"/>
  <c r="Y407" i="25234"/>
  <c r="AA407" i="25234" s="1"/>
  <c r="Y408" i="25234"/>
  <c r="AA408" i="25234" s="1"/>
  <c r="Y409" i="25234"/>
  <c r="AA409" i="25234" s="1"/>
  <c r="Y410" i="25234"/>
  <c r="AA410" i="25234" s="1"/>
  <c r="Y411" i="25234"/>
  <c r="AA411" i="25234" s="1"/>
  <c r="Y412" i="25234"/>
  <c r="AA412" i="25234" s="1"/>
  <c r="Y413" i="25234"/>
  <c r="AA413" i="25234" s="1"/>
  <c r="Y414" i="25234"/>
  <c r="AA414" i="25234" s="1"/>
  <c r="Y415" i="25234"/>
  <c r="AA415" i="25234" s="1"/>
  <c r="Y416" i="25234"/>
  <c r="AA416" i="25234" s="1"/>
  <c r="Y417" i="25234"/>
  <c r="AA417" i="25234" s="1"/>
  <c r="Y418" i="25234"/>
  <c r="AA418" i="25234" s="1"/>
  <c r="Y419" i="25234"/>
  <c r="AA419" i="25234" s="1"/>
  <c r="Y420" i="25234"/>
  <c r="AA420" i="25234" s="1"/>
  <c r="Y421" i="25234"/>
  <c r="AA421" i="25234" s="1"/>
  <c r="Y422" i="25234"/>
  <c r="AA422" i="25234" s="1"/>
  <c r="Y423" i="25234"/>
  <c r="AA423" i="25234" s="1"/>
  <c r="Y424" i="25234"/>
  <c r="AA424" i="25234" s="1"/>
  <c r="Y425" i="25234"/>
  <c r="AA425" i="25234" s="1"/>
  <c r="Y426" i="25234"/>
  <c r="AA426" i="25234" s="1"/>
  <c r="Y427" i="25234"/>
  <c r="AA427" i="25234" s="1"/>
  <c r="Y428" i="25234"/>
  <c r="AA428" i="25234" s="1"/>
  <c r="Y429" i="25234"/>
  <c r="AA429" i="25234" s="1"/>
  <c r="Y430" i="25234"/>
  <c r="AA430" i="25234" s="1"/>
  <c r="Y431" i="25234"/>
  <c r="AA431" i="25234" s="1"/>
  <c r="Y432" i="25234"/>
  <c r="AA432" i="25234" s="1"/>
  <c r="Y433" i="25234"/>
  <c r="AA433" i="25234" s="1"/>
  <c r="Y434" i="25234"/>
  <c r="AA434" i="25234" s="1"/>
  <c r="Y435" i="25234"/>
  <c r="AA435" i="25234" s="1"/>
  <c r="Y436" i="25234"/>
  <c r="AA436" i="25234" s="1"/>
  <c r="Y437" i="25234"/>
  <c r="AA437" i="25234" s="1"/>
  <c r="Y438" i="25234"/>
  <c r="AA438" i="25234" s="1"/>
  <c r="Y439" i="25234"/>
  <c r="AA439" i="25234" s="1"/>
  <c r="Y440" i="25234"/>
  <c r="AA440" i="25234" s="1"/>
  <c r="Y441" i="25234"/>
  <c r="AA441" i="25234" s="1"/>
  <c r="Y442" i="25234"/>
  <c r="AA442" i="25234" s="1"/>
  <c r="Y443" i="25234"/>
  <c r="AA443" i="25234" s="1"/>
  <c r="Y444" i="25234"/>
  <c r="AA444" i="25234" s="1"/>
  <c r="Y445" i="25234"/>
  <c r="AA445" i="25234" s="1"/>
  <c r="Y446" i="25234"/>
  <c r="AA446" i="25234" s="1"/>
  <c r="Y447" i="25234"/>
  <c r="AA447" i="25234" s="1"/>
  <c r="Y448" i="25234"/>
  <c r="AA448" i="25234" s="1"/>
  <c r="Y449" i="25234"/>
  <c r="AA449" i="25234" s="1"/>
  <c r="Y450" i="25234"/>
  <c r="AA450" i="25234" s="1"/>
  <c r="Y451" i="25234"/>
  <c r="AA451" i="25234" s="1"/>
  <c r="Y452" i="25234"/>
  <c r="AA452" i="25234" s="1"/>
  <c r="Y453" i="25234"/>
  <c r="AA453" i="25234" s="1"/>
  <c r="Y454" i="25234"/>
  <c r="AA454" i="25234" s="1"/>
  <c r="Y455" i="25234"/>
  <c r="AA455" i="25234" s="1"/>
  <c r="Y456" i="25234"/>
  <c r="AA456" i="25234" s="1"/>
  <c r="Y457" i="25234"/>
  <c r="AA457" i="25234" s="1"/>
  <c r="Y458" i="25234"/>
  <c r="AA458" i="25234" s="1"/>
  <c r="Y459" i="25234"/>
  <c r="AA459" i="25234" s="1"/>
  <c r="Y460" i="25234"/>
  <c r="AA460" i="25234" s="1"/>
  <c r="Y461" i="25234"/>
  <c r="AA461" i="25234" s="1"/>
  <c r="Y462" i="25234"/>
  <c r="AA462" i="25234" s="1"/>
  <c r="Y463" i="25234"/>
  <c r="AA463" i="25234" s="1"/>
  <c r="Y464" i="25234"/>
  <c r="AA464" i="25234" s="1"/>
  <c r="Y465" i="25234"/>
  <c r="AA465" i="25234" s="1"/>
  <c r="Y466" i="25234"/>
  <c r="AA466" i="25234" s="1"/>
  <c r="Y467" i="25234"/>
  <c r="AA467" i="25234" s="1"/>
  <c r="Y468" i="25234"/>
  <c r="AA468" i="25234" s="1"/>
  <c r="Y469" i="25234"/>
  <c r="AA469" i="25234" s="1"/>
  <c r="Y470" i="25234"/>
  <c r="AA470" i="25234" s="1"/>
  <c r="Y472" i="25234"/>
  <c r="AA472" i="25234" s="1"/>
  <c r="Y473" i="25234"/>
  <c r="AA473" i="25234" s="1"/>
  <c r="Y474" i="25234"/>
  <c r="AA474" i="25234" s="1"/>
  <c r="Y475" i="25234"/>
  <c r="AA475" i="25234" s="1"/>
  <c r="Y476" i="25234"/>
  <c r="AA476" i="25234" s="1"/>
  <c r="Y477" i="25234"/>
  <c r="AA477" i="25234" s="1"/>
  <c r="Y478" i="25234"/>
  <c r="AA478" i="25234" s="1"/>
  <c r="AF7" i="25234"/>
  <c r="AI7" i="25234"/>
  <c r="AM7" i="25234"/>
  <c r="AN7" i="25234"/>
  <c r="AF478" i="25234"/>
  <c r="AI478" i="25234"/>
  <c r="AM478" i="25234"/>
  <c r="AN478" i="25234"/>
  <c r="AF477" i="25234"/>
  <c r="AI477" i="25234"/>
  <c r="AM477" i="25234"/>
  <c r="AN477" i="25234"/>
  <c r="AF476" i="25234"/>
  <c r="AI476" i="25234"/>
  <c r="AM476" i="25234"/>
  <c r="AN476" i="25234"/>
  <c r="AF475" i="25234"/>
  <c r="AI475" i="25234"/>
  <c r="AM475" i="25234"/>
  <c r="AN475" i="25234"/>
  <c r="AF474" i="25234"/>
  <c r="AI474" i="25234"/>
  <c r="AM474" i="25234"/>
  <c r="AN474" i="25234"/>
  <c r="AF473" i="25234"/>
  <c r="AI473" i="25234"/>
  <c r="AM473" i="25234"/>
  <c r="AN473" i="25234"/>
  <c r="AF472" i="25234"/>
  <c r="AI472" i="25234"/>
  <c r="AM472" i="25234"/>
  <c r="AN472" i="25234"/>
  <c r="AF471" i="25234"/>
  <c r="AI471" i="25234"/>
  <c r="AM471" i="25234"/>
  <c r="AN471" i="25234"/>
  <c r="AF470" i="25234"/>
  <c r="AI470" i="25234"/>
  <c r="AM470" i="25234"/>
  <c r="AN470" i="25234"/>
  <c r="AF469" i="25234"/>
  <c r="AI469" i="25234"/>
  <c r="AM469" i="25234"/>
  <c r="AN469" i="25234"/>
  <c r="AF468" i="25234"/>
  <c r="AI468" i="25234"/>
  <c r="AM468" i="25234"/>
  <c r="AN468" i="25234"/>
  <c r="AF467" i="25234"/>
  <c r="AI467" i="25234"/>
  <c r="AM467" i="25234"/>
  <c r="AN467" i="25234"/>
  <c r="AF466" i="25234"/>
  <c r="AI466" i="25234"/>
  <c r="AM466" i="25234"/>
  <c r="AN466" i="25234"/>
  <c r="AF465" i="25234"/>
  <c r="AI465" i="25234"/>
  <c r="AM465" i="25234"/>
  <c r="AN465" i="25234"/>
  <c r="AF464" i="25234"/>
  <c r="AI464" i="25234"/>
  <c r="AM464" i="25234"/>
  <c r="AN464" i="25234"/>
  <c r="AF463" i="25234"/>
  <c r="AI463" i="25234"/>
  <c r="AM463" i="25234"/>
  <c r="AN463" i="25234"/>
  <c r="AF462" i="25234"/>
  <c r="AI462" i="25234"/>
  <c r="AM462" i="25234"/>
  <c r="AN462" i="25234"/>
  <c r="AF461" i="25234"/>
  <c r="AI461" i="25234"/>
  <c r="AM461" i="25234"/>
  <c r="AN461" i="25234"/>
  <c r="AF460" i="25234"/>
  <c r="AI460" i="25234"/>
  <c r="AM460" i="25234"/>
  <c r="AN460" i="25234"/>
  <c r="AF459" i="25234"/>
  <c r="AI459" i="25234"/>
  <c r="AM459" i="25234"/>
  <c r="AN459" i="25234"/>
  <c r="AF458" i="25234"/>
  <c r="AI458" i="25234"/>
  <c r="AM458" i="25234"/>
  <c r="AN458" i="25234"/>
  <c r="AF457" i="25234"/>
  <c r="AI457" i="25234"/>
  <c r="AM457" i="25234"/>
  <c r="AN457" i="25234"/>
  <c r="AF456" i="25234"/>
  <c r="AI456" i="25234"/>
  <c r="AM456" i="25234"/>
  <c r="AN456" i="25234"/>
  <c r="AF455" i="25234"/>
  <c r="AI455" i="25234"/>
  <c r="AM455" i="25234"/>
  <c r="AN455" i="25234"/>
  <c r="AF454" i="25234"/>
  <c r="AI454" i="25234"/>
  <c r="AM454" i="25234"/>
  <c r="AN454" i="25234"/>
  <c r="AF453" i="25234"/>
  <c r="AI453" i="25234"/>
  <c r="AM453" i="25234"/>
  <c r="AN453" i="25234"/>
  <c r="AF452" i="25234"/>
  <c r="AI452" i="25234"/>
  <c r="AM452" i="25234"/>
  <c r="AN452" i="25234"/>
  <c r="AF451" i="25234"/>
  <c r="AI451" i="25234"/>
  <c r="AM451" i="25234"/>
  <c r="AN451" i="25234"/>
  <c r="AF450" i="25234"/>
  <c r="AI450" i="25234"/>
  <c r="AM450" i="25234"/>
  <c r="AN450" i="25234"/>
  <c r="AI449" i="25234"/>
  <c r="AF449" i="25234"/>
  <c r="AM449" i="25234"/>
  <c r="AN449" i="25234"/>
  <c r="AF448" i="25234"/>
  <c r="AI448" i="25234"/>
  <c r="AM448" i="25234"/>
  <c r="AN448" i="25234"/>
  <c r="AF447" i="25234"/>
  <c r="AI447" i="25234"/>
  <c r="AM447" i="25234"/>
  <c r="AN447" i="25234"/>
  <c r="AF446" i="25234"/>
  <c r="AI446" i="25234"/>
  <c r="AM446" i="25234"/>
  <c r="AN446" i="25234"/>
  <c r="AI431" i="25234"/>
  <c r="AF445" i="25234"/>
  <c r="AI445" i="25234"/>
  <c r="AM445" i="25234"/>
  <c r="AN445" i="25234"/>
  <c r="AF444" i="25234"/>
  <c r="AI444" i="25234"/>
  <c r="AM444" i="25234"/>
  <c r="AN444" i="25234"/>
  <c r="AF443" i="25234"/>
  <c r="AI443" i="25234"/>
  <c r="AM443" i="25234"/>
  <c r="AN443" i="25234"/>
  <c r="AM436" i="25234"/>
  <c r="AM8" i="25234"/>
  <c r="AM9" i="25234"/>
  <c r="AM10" i="25234"/>
  <c r="AM11" i="25234"/>
  <c r="AM12" i="25234"/>
  <c r="AM13" i="25234"/>
  <c r="AM14" i="25234"/>
  <c r="AM15" i="25234"/>
  <c r="AM16" i="25234"/>
  <c r="AM17" i="25234"/>
  <c r="AM18" i="25234"/>
  <c r="AM19" i="25234"/>
  <c r="AM20" i="25234"/>
  <c r="AM21" i="25234"/>
  <c r="AM22" i="25234"/>
  <c r="AM23" i="25234"/>
  <c r="AM24" i="25234"/>
  <c r="AM25" i="25234"/>
  <c r="AM26" i="25234"/>
  <c r="AM27" i="25234"/>
  <c r="AM28" i="25234"/>
  <c r="AM29" i="25234"/>
  <c r="AM30" i="25234"/>
  <c r="AM31" i="25234"/>
  <c r="AM32" i="25234"/>
  <c r="AM33" i="25234"/>
  <c r="AM34" i="25234"/>
  <c r="AM35" i="25234"/>
  <c r="AM36" i="25234"/>
  <c r="AM37" i="25234"/>
  <c r="AM38" i="25234"/>
  <c r="AM39" i="25234"/>
  <c r="AM40" i="25234"/>
  <c r="AM41" i="25234"/>
  <c r="AM42" i="25234"/>
  <c r="AM43" i="25234"/>
  <c r="AM44" i="25234"/>
  <c r="AM45" i="25234"/>
  <c r="AM46" i="25234"/>
  <c r="AM47" i="25234"/>
  <c r="AM48" i="25234"/>
  <c r="AM49" i="25234"/>
  <c r="AM50" i="25234"/>
  <c r="AM51" i="25234"/>
  <c r="AM52" i="25234"/>
  <c r="AM53" i="25234"/>
  <c r="AM54" i="25234"/>
  <c r="AM55" i="25234"/>
  <c r="AM56" i="25234"/>
  <c r="AM57" i="25234"/>
  <c r="AM58" i="25234"/>
  <c r="AM59" i="25234"/>
  <c r="AM60" i="25234"/>
  <c r="AM61" i="25234"/>
  <c r="AM62" i="25234"/>
  <c r="AM63" i="25234"/>
  <c r="AM64" i="25234"/>
  <c r="AM65" i="25234"/>
  <c r="AM66" i="25234"/>
  <c r="AM67" i="25234"/>
  <c r="AM68" i="25234"/>
  <c r="AM69" i="25234"/>
  <c r="AM70" i="25234"/>
  <c r="AM71" i="25234"/>
  <c r="AM72" i="25234"/>
  <c r="AM73" i="25234"/>
  <c r="AM74" i="25234"/>
  <c r="AM75" i="25234"/>
  <c r="AM76" i="25234"/>
  <c r="AM77" i="25234"/>
  <c r="AM78" i="25234"/>
  <c r="AM79" i="25234"/>
  <c r="AM80" i="25234"/>
  <c r="AM81" i="25234"/>
  <c r="AM82" i="25234"/>
  <c r="AM83" i="25234"/>
  <c r="AM84" i="25234"/>
  <c r="AM85" i="25234"/>
  <c r="AM86" i="25234"/>
  <c r="AM87" i="25234"/>
  <c r="AM88" i="25234"/>
  <c r="AM89" i="25234"/>
  <c r="AM90" i="25234"/>
  <c r="AM91" i="25234"/>
  <c r="AM92" i="25234"/>
  <c r="AM93" i="25234"/>
  <c r="AM94" i="25234"/>
  <c r="AM95" i="25234"/>
  <c r="AM96" i="25234"/>
  <c r="AM97" i="25234"/>
  <c r="AM98" i="25234"/>
  <c r="AM99" i="25234"/>
  <c r="AM100" i="25234"/>
  <c r="AM101" i="25234"/>
  <c r="AM102" i="25234"/>
  <c r="AM103" i="25234"/>
  <c r="AM104" i="25234"/>
  <c r="AM105" i="25234"/>
  <c r="AM106" i="25234"/>
  <c r="AM107" i="25234"/>
  <c r="AM108" i="25234"/>
  <c r="AM109" i="25234"/>
  <c r="AM110" i="25234"/>
  <c r="AM111" i="25234"/>
  <c r="AM112" i="25234"/>
  <c r="AM113" i="25234"/>
  <c r="AM114" i="25234"/>
  <c r="AM115" i="25234"/>
  <c r="AM116" i="25234"/>
  <c r="AM117" i="25234"/>
  <c r="AM118" i="25234"/>
  <c r="AM119" i="25234"/>
  <c r="AM120" i="25234"/>
  <c r="AM121" i="25234"/>
  <c r="AM122" i="25234"/>
  <c r="AM123" i="25234"/>
  <c r="AM124" i="25234"/>
  <c r="AM125" i="25234"/>
  <c r="AM126" i="25234"/>
  <c r="AM127" i="25234"/>
  <c r="AM128" i="25234"/>
  <c r="AM129" i="25234"/>
  <c r="AM130" i="25234"/>
  <c r="AM131" i="25234"/>
  <c r="AM132" i="25234"/>
  <c r="AM133" i="25234"/>
  <c r="AM134" i="25234"/>
  <c r="AM135" i="25234"/>
  <c r="AM136" i="25234"/>
  <c r="AM137" i="25234"/>
  <c r="AM138" i="25234"/>
  <c r="AM139" i="25234"/>
  <c r="AM140" i="25234"/>
  <c r="AM141" i="25234"/>
  <c r="AM142" i="25234"/>
  <c r="AM143" i="25234"/>
  <c r="AM144" i="25234"/>
  <c r="AM145" i="25234"/>
  <c r="AM146" i="25234"/>
  <c r="AM147" i="25234"/>
  <c r="AM148" i="25234"/>
  <c r="AM149" i="25234"/>
  <c r="AM150" i="25234"/>
  <c r="AM151" i="25234"/>
  <c r="AM152" i="25234"/>
  <c r="AM153" i="25234"/>
  <c r="AM154" i="25234"/>
  <c r="AM155" i="25234"/>
  <c r="AM156" i="25234"/>
  <c r="AM157" i="25234"/>
  <c r="AM158" i="25234"/>
  <c r="AM159" i="25234"/>
  <c r="AM160" i="25234"/>
  <c r="AM161" i="25234"/>
  <c r="AM162" i="25234"/>
  <c r="AM163" i="25234"/>
  <c r="AM164" i="25234"/>
  <c r="AM165" i="25234"/>
  <c r="AM166" i="25234"/>
  <c r="AM167" i="25234"/>
  <c r="AM168" i="25234"/>
  <c r="AM169" i="25234"/>
  <c r="AM170" i="25234"/>
  <c r="AM171" i="25234"/>
  <c r="AM172" i="25234"/>
  <c r="AM173" i="25234"/>
  <c r="AM174" i="25234"/>
  <c r="AM175" i="25234"/>
  <c r="AM176" i="25234"/>
  <c r="AM177" i="25234"/>
  <c r="AM178" i="25234"/>
  <c r="AM179" i="25234"/>
  <c r="AM180" i="25234"/>
  <c r="AM181" i="25234"/>
  <c r="AM182" i="25234"/>
  <c r="AM183" i="25234"/>
  <c r="AM184" i="25234"/>
  <c r="AM185" i="25234"/>
  <c r="AM186" i="25234"/>
  <c r="AM187" i="25234"/>
  <c r="AM188" i="25234"/>
  <c r="AM189" i="25234"/>
  <c r="AM190" i="25234"/>
  <c r="AM191" i="25234"/>
  <c r="AM192" i="25234"/>
  <c r="AM193" i="25234"/>
  <c r="AM194" i="25234"/>
  <c r="AM195" i="25234"/>
  <c r="AM196" i="25234"/>
  <c r="AM197" i="25234"/>
  <c r="AM198" i="25234"/>
  <c r="AM199" i="25234"/>
  <c r="AM200" i="25234"/>
  <c r="AM201" i="25234"/>
  <c r="AM202" i="25234"/>
  <c r="AM203" i="25234"/>
  <c r="AM204" i="25234"/>
  <c r="AM205" i="25234"/>
  <c r="AM206" i="25234"/>
  <c r="AM207" i="25234"/>
  <c r="AM208" i="25234"/>
  <c r="AM209" i="25234"/>
  <c r="AM210" i="25234"/>
  <c r="AM211" i="25234"/>
  <c r="AM212" i="25234"/>
  <c r="AM213" i="25234"/>
  <c r="AM214" i="25234"/>
  <c r="AM215" i="25234"/>
  <c r="AM216" i="25234"/>
  <c r="AM217" i="25234"/>
  <c r="AM218" i="25234"/>
  <c r="AM219" i="25234"/>
  <c r="AM220" i="25234"/>
  <c r="AM221" i="25234"/>
  <c r="AM222" i="25234"/>
  <c r="AM223" i="25234"/>
  <c r="AM224" i="25234"/>
  <c r="AM225" i="25234"/>
  <c r="AM226" i="25234"/>
  <c r="AM227" i="25234"/>
  <c r="AM228" i="25234"/>
  <c r="AM229" i="25234"/>
  <c r="AM230" i="25234"/>
  <c r="AM231" i="25234"/>
  <c r="AM232" i="25234"/>
  <c r="AM233" i="25234"/>
  <c r="AM234" i="25234"/>
  <c r="AM235" i="25234"/>
  <c r="AM236" i="25234"/>
  <c r="AM237" i="25234"/>
  <c r="AM238" i="25234"/>
  <c r="AM239" i="25234"/>
  <c r="AM240" i="25234"/>
  <c r="AM241" i="25234"/>
  <c r="AM242" i="25234"/>
  <c r="AM243" i="25234"/>
  <c r="AM244" i="25234"/>
  <c r="AM245" i="25234"/>
  <c r="AM246" i="25234"/>
  <c r="AM247" i="25234"/>
  <c r="AM248" i="25234"/>
  <c r="AM249" i="25234"/>
  <c r="AM250" i="25234"/>
  <c r="AM251" i="25234"/>
  <c r="AM252" i="25234"/>
  <c r="AM253" i="25234"/>
  <c r="AM254" i="25234"/>
  <c r="AM255" i="25234"/>
  <c r="AM256" i="25234"/>
  <c r="AM257" i="25234"/>
  <c r="AM258" i="25234"/>
  <c r="AM259" i="25234"/>
  <c r="AM260" i="25234"/>
  <c r="AM261" i="25234"/>
  <c r="AM262" i="25234"/>
  <c r="AM263" i="25234"/>
  <c r="AM264" i="25234"/>
  <c r="AM265" i="25234"/>
  <c r="AM266" i="25234"/>
  <c r="AM267" i="25234"/>
  <c r="AM268" i="25234"/>
  <c r="AM269" i="25234"/>
  <c r="AM270" i="25234"/>
  <c r="AM271" i="25234"/>
  <c r="AM272" i="25234"/>
  <c r="AM273" i="25234"/>
  <c r="AM274" i="25234"/>
  <c r="AM275" i="25234"/>
  <c r="AM276" i="25234"/>
  <c r="AM277" i="25234"/>
  <c r="AM278" i="25234"/>
  <c r="AM279" i="25234"/>
  <c r="AM280" i="25234"/>
  <c r="AM281" i="25234"/>
  <c r="AM282" i="25234"/>
  <c r="AM283" i="25234"/>
  <c r="AM284" i="25234"/>
  <c r="AM285" i="25234"/>
  <c r="AM286" i="25234"/>
  <c r="AM287" i="25234"/>
  <c r="AM288" i="25234"/>
  <c r="AM289" i="25234"/>
  <c r="AM290" i="25234"/>
  <c r="AM291" i="25234"/>
  <c r="AM292" i="25234"/>
  <c r="AM293" i="25234"/>
  <c r="AM294" i="25234"/>
  <c r="AM295" i="25234"/>
  <c r="AM296" i="25234"/>
  <c r="AM297" i="25234"/>
  <c r="AM298" i="25234"/>
  <c r="AM299" i="25234"/>
  <c r="AM300" i="25234"/>
  <c r="AM301" i="25234"/>
  <c r="AM302" i="25234"/>
  <c r="AM303" i="25234"/>
  <c r="AM304" i="25234"/>
  <c r="AM305" i="25234"/>
  <c r="AM306" i="25234"/>
  <c r="AM307" i="25234"/>
  <c r="AM308" i="25234"/>
  <c r="AM309" i="25234"/>
  <c r="AM310" i="25234"/>
  <c r="AM311" i="25234"/>
  <c r="AM312" i="25234"/>
  <c r="AM313" i="25234"/>
  <c r="AM314" i="25234"/>
  <c r="AM315" i="25234"/>
  <c r="AM316" i="25234"/>
  <c r="AM317" i="25234"/>
  <c r="AM318" i="25234"/>
  <c r="AM319" i="25234"/>
  <c r="AM320" i="25234"/>
  <c r="AM321" i="25234"/>
  <c r="AM322" i="25234"/>
  <c r="AM323" i="25234"/>
  <c r="AM324" i="25234"/>
  <c r="AM325" i="25234"/>
  <c r="AM326" i="25234"/>
  <c r="AM327" i="25234"/>
  <c r="AM328" i="25234"/>
  <c r="AM329" i="25234"/>
  <c r="AM330" i="25234"/>
  <c r="AM331" i="25234"/>
  <c r="AM332" i="25234"/>
  <c r="AM333" i="25234"/>
  <c r="AM334" i="25234"/>
  <c r="AM335" i="25234"/>
  <c r="AM336" i="25234"/>
  <c r="AM337" i="25234"/>
  <c r="AM338" i="25234"/>
  <c r="AM339" i="25234"/>
  <c r="AM340" i="25234"/>
  <c r="AM341" i="25234"/>
  <c r="AM342" i="25234"/>
  <c r="AM343" i="25234"/>
  <c r="AM344" i="25234"/>
  <c r="AM345" i="25234"/>
  <c r="AM346" i="25234"/>
  <c r="AM347" i="25234"/>
  <c r="AM348" i="25234"/>
  <c r="AM349" i="25234"/>
  <c r="AM350" i="25234"/>
  <c r="AM351" i="25234"/>
  <c r="AM352" i="25234"/>
  <c r="AM353" i="25234"/>
  <c r="AM354" i="25234"/>
  <c r="AM355" i="25234"/>
  <c r="AM356" i="25234"/>
  <c r="AM357" i="25234"/>
  <c r="AM358" i="25234"/>
  <c r="AM359" i="25234"/>
  <c r="AM360" i="25234"/>
  <c r="AM361" i="25234"/>
  <c r="AM362" i="25234"/>
  <c r="AM363" i="25234"/>
  <c r="AM364" i="25234"/>
  <c r="AM365" i="25234"/>
  <c r="AM366" i="25234"/>
  <c r="AM367" i="25234"/>
  <c r="AM368" i="25234"/>
  <c r="AM369" i="25234"/>
  <c r="AM370" i="25234"/>
  <c r="AM371" i="25234"/>
  <c r="AM372" i="25234"/>
  <c r="AM373" i="25234"/>
  <c r="AM374" i="25234"/>
  <c r="AM375" i="25234"/>
  <c r="AM376" i="25234"/>
  <c r="AM377" i="25234"/>
  <c r="AM378" i="25234"/>
  <c r="AM379" i="25234"/>
  <c r="AM380" i="25234"/>
  <c r="AM381" i="25234"/>
  <c r="AM382" i="25234"/>
  <c r="AM383" i="25234"/>
  <c r="AM384" i="25234"/>
  <c r="AM385" i="25234"/>
  <c r="AM386" i="25234"/>
  <c r="AM387" i="25234"/>
  <c r="AM388" i="25234"/>
  <c r="AM389" i="25234"/>
  <c r="AM390" i="25234"/>
  <c r="AM391" i="25234"/>
  <c r="AM392" i="25234"/>
  <c r="AM393" i="25234"/>
  <c r="AM394" i="25234"/>
  <c r="AM395" i="25234"/>
  <c r="AM396" i="25234"/>
  <c r="AM397" i="25234"/>
  <c r="AM398" i="25234"/>
  <c r="AM399" i="25234"/>
  <c r="AM400" i="25234"/>
  <c r="AM401" i="25234"/>
  <c r="AM402" i="25234"/>
  <c r="AM403" i="25234"/>
  <c r="AM404" i="25234"/>
  <c r="AM405" i="25234"/>
  <c r="AM406" i="25234"/>
  <c r="AM407" i="25234"/>
  <c r="AM408" i="25234"/>
  <c r="AM409" i="25234"/>
  <c r="AM410" i="25234"/>
  <c r="AM411" i="25234"/>
  <c r="AM412" i="25234"/>
  <c r="AM413" i="25234"/>
  <c r="AM414" i="25234"/>
  <c r="AM415" i="25234"/>
  <c r="AM416" i="25234"/>
  <c r="AM417" i="25234"/>
  <c r="AM418" i="25234"/>
  <c r="AM419" i="25234"/>
  <c r="AM420" i="25234"/>
  <c r="AM421" i="25234"/>
  <c r="AM422" i="25234"/>
  <c r="AM423" i="25234"/>
  <c r="AM424" i="25234"/>
  <c r="AM425" i="25234"/>
  <c r="AM426" i="25234"/>
  <c r="AM427" i="25234"/>
  <c r="AM428" i="25234"/>
  <c r="AM429" i="25234"/>
  <c r="AM430" i="25234"/>
  <c r="AM431" i="25234"/>
  <c r="AM432" i="25234"/>
  <c r="AM433" i="25234"/>
  <c r="AM434" i="25234"/>
  <c r="AM435" i="25234"/>
  <c r="AM437" i="25234"/>
  <c r="AM438" i="25234"/>
  <c r="AM439" i="25234"/>
  <c r="AM440" i="25234"/>
  <c r="AM441" i="25234"/>
  <c r="AM442" i="25234"/>
  <c r="AF442" i="25234"/>
  <c r="AI442" i="25234"/>
  <c r="AN442" i="25234"/>
  <c r="AF441" i="25234"/>
  <c r="AI441" i="25234"/>
  <c r="AN441" i="25234"/>
  <c r="AF440" i="25234"/>
  <c r="AI440" i="25234"/>
  <c r="AN440" i="25234"/>
  <c r="AF439" i="25234"/>
  <c r="AI439" i="25234"/>
  <c r="AN439" i="25234"/>
  <c r="AF438" i="25234"/>
  <c r="AI438" i="25234"/>
  <c r="AN438" i="25234"/>
  <c r="AF437" i="25234"/>
  <c r="AI437" i="25234"/>
  <c r="AN437" i="25234"/>
  <c r="AF436" i="25234"/>
  <c r="AN436" i="25234"/>
  <c r="AF435" i="25234"/>
  <c r="AI435" i="25234"/>
  <c r="AN435" i="25234"/>
  <c r="AF434" i="25234"/>
  <c r="AI434" i="25234"/>
  <c r="AN434" i="25234"/>
  <c r="AF433" i="25234"/>
  <c r="AI433" i="25234"/>
  <c r="AN433" i="25234"/>
  <c r="AF432" i="25234"/>
  <c r="AI432" i="25234"/>
  <c r="AN432" i="25234"/>
  <c r="AF431" i="25234"/>
  <c r="AN431" i="25234"/>
  <c r="AF430" i="25234"/>
  <c r="AI430" i="25234"/>
  <c r="AN430" i="25234"/>
  <c r="AF429" i="25234"/>
  <c r="AI429" i="25234"/>
  <c r="AN429" i="25234"/>
  <c r="AI428" i="25234"/>
  <c r="AN428" i="25234"/>
  <c r="AF427" i="25234"/>
  <c r="AI427" i="25234"/>
  <c r="AN427" i="25234"/>
  <c r="AF426" i="25234"/>
  <c r="AI426" i="25234"/>
  <c r="AN426" i="25234"/>
  <c r="AF425" i="25234"/>
  <c r="AI425" i="25234"/>
  <c r="AN425" i="25234"/>
  <c r="AF424" i="25234"/>
  <c r="AI424" i="25234"/>
  <c r="AN424" i="25234"/>
  <c r="AF423" i="25234"/>
  <c r="AI423" i="25234"/>
  <c r="AN423" i="25234"/>
  <c r="AF422" i="25234"/>
  <c r="AI422" i="25234"/>
  <c r="AN422" i="25234"/>
  <c r="AF421" i="25234"/>
  <c r="AI421" i="25234"/>
  <c r="AN421" i="25234"/>
  <c r="AF420" i="25234"/>
  <c r="AI420" i="25234"/>
  <c r="AN420" i="25234"/>
  <c r="AF419" i="25234"/>
  <c r="AI419" i="25234"/>
  <c r="AN419" i="25234"/>
  <c r="AF418" i="25234"/>
  <c r="AI418" i="25234"/>
  <c r="AN418" i="25234"/>
  <c r="AF417" i="25234"/>
  <c r="AI417" i="25234"/>
  <c r="AN417" i="25234"/>
  <c r="AF416" i="25234"/>
  <c r="AI416" i="25234"/>
  <c r="AN416" i="25234"/>
  <c r="AF415" i="25234"/>
  <c r="AI415" i="25234"/>
  <c r="AN415" i="25234"/>
  <c r="AF414" i="25234"/>
  <c r="AI414" i="25234"/>
  <c r="AN414" i="25234"/>
  <c r="AF413" i="25234"/>
  <c r="AI413" i="25234"/>
  <c r="AN413" i="25234"/>
  <c r="AF412" i="25234"/>
  <c r="AI412" i="25234"/>
  <c r="AN412" i="25234"/>
  <c r="AF411" i="25234"/>
  <c r="AI411" i="25234"/>
  <c r="AN411" i="25234"/>
  <c r="AF410" i="25234"/>
  <c r="AI410" i="25234"/>
  <c r="AN410" i="25234"/>
  <c r="AF409" i="25234"/>
  <c r="AI409" i="25234"/>
  <c r="AN409" i="25234"/>
  <c r="AF408" i="25234"/>
  <c r="AI408" i="25234"/>
  <c r="AN408" i="25234"/>
  <c r="AF407" i="25234"/>
  <c r="AI407" i="25234"/>
  <c r="AN407" i="25234"/>
  <c r="A261" i="25234"/>
  <c r="A262" i="25234"/>
  <c r="A263" i="25234"/>
  <c r="A264" i="25234"/>
  <c r="A265" i="25234"/>
  <c r="A266" i="25234"/>
  <c r="A267" i="25234"/>
  <c r="A268" i="25234"/>
  <c r="A269" i="25234"/>
  <c r="A270" i="25234"/>
  <c r="A271" i="25234"/>
  <c r="A272" i="25234"/>
  <c r="A273" i="25234"/>
  <c r="A274" i="25234"/>
  <c r="A275" i="25234"/>
  <c r="A276" i="25234"/>
  <c r="A277" i="25234"/>
  <c r="A278" i="25234"/>
  <c r="A279" i="25234"/>
  <c r="A280" i="25234"/>
  <c r="A281" i="25234"/>
  <c r="A282" i="25234"/>
  <c r="A283" i="25234"/>
  <c r="A284" i="25234"/>
  <c r="A285" i="25234"/>
  <c r="A286" i="25234"/>
  <c r="A287" i="25234"/>
  <c r="A288" i="25234"/>
  <c r="A289" i="25234"/>
  <c r="A290" i="25234"/>
  <c r="A291" i="25234"/>
  <c r="A292" i="25234"/>
  <c r="A293" i="25234"/>
  <c r="A294" i="25234"/>
  <c r="A295" i="25234"/>
  <c r="A296" i="25234"/>
  <c r="A297" i="25234"/>
  <c r="A298" i="25234"/>
  <c r="A299" i="25234"/>
  <c r="A300" i="25234"/>
  <c r="A301" i="25234"/>
  <c r="A302" i="25234"/>
  <c r="A303" i="25234"/>
  <c r="A304" i="25234"/>
  <c r="A305" i="25234"/>
  <c r="A306" i="25234"/>
  <c r="A307" i="25234"/>
  <c r="A308" i="25234"/>
  <c r="A309" i="25234"/>
  <c r="A310" i="25234"/>
  <c r="A311" i="25234"/>
  <c r="A312" i="25234"/>
  <c r="A313" i="25234"/>
  <c r="A314" i="25234"/>
  <c r="A315" i="25234"/>
  <c r="A316" i="25234"/>
  <c r="A317" i="25234"/>
  <c r="AI8" i="25234"/>
  <c r="AI9" i="25234"/>
  <c r="AI10" i="25234"/>
  <c r="AI11" i="25234"/>
  <c r="AI12" i="25234"/>
  <c r="AI13" i="25234"/>
  <c r="AI14" i="25234"/>
  <c r="AI15" i="25234"/>
  <c r="AI16" i="25234"/>
  <c r="AI17" i="25234"/>
  <c r="AI18" i="25234"/>
  <c r="AI19" i="25234"/>
  <c r="AI20" i="25234"/>
  <c r="AI21" i="25234"/>
  <c r="AI22" i="25234"/>
  <c r="AI23" i="25234"/>
  <c r="AI24" i="25234"/>
  <c r="AI25" i="25234"/>
  <c r="AI26" i="25234"/>
  <c r="AI27" i="25234"/>
  <c r="AI28" i="25234"/>
  <c r="AI29" i="25234"/>
  <c r="AI30" i="25234"/>
  <c r="AI31" i="25234"/>
  <c r="AI32" i="25234"/>
  <c r="AI33" i="25234"/>
  <c r="AI34" i="25234"/>
  <c r="AI35" i="25234"/>
  <c r="AI36" i="25234"/>
  <c r="AI37" i="25234"/>
  <c r="AI38" i="25234"/>
  <c r="AI39" i="25234"/>
  <c r="AI40" i="25234"/>
  <c r="AI41" i="25234"/>
  <c r="AI42" i="25234"/>
  <c r="AI43" i="25234"/>
  <c r="AI44" i="25234"/>
  <c r="AI45" i="25234"/>
  <c r="AI46" i="25234"/>
  <c r="AI47" i="25234"/>
  <c r="AI48" i="25234"/>
  <c r="AI49" i="25234"/>
  <c r="AI50" i="25234"/>
  <c r="AI51" i="25234"/>
  <c r="AI52" i="25234"/>
  <c r="AI53" i="25234"/>
  <c r="AI54" i="25234"/>
  <c r="AI55" i="25234"/>
  <c r="AI56" i="25234"/>
  <c r="AI57" i="25234"/>
  <c r="AI58" i="25234"/>
  <c r="AI59" i="25234"/>
  <c r="AI60" i="25234"/>
  <c r="AI61" i="25234"/>
  <c r="AI62" i="25234"/>
  <c r="AI63" i="25234"/>
  <c r="AI64" i="25234"/>
  <c r="AI65" i="25234"/>
  <c r="AI66" i="25234"/>
  <c r="AI67" i="25234"/>
  <c r="AI68" i="25234"/>
  <c r="AI69" i="25234"/>
  <c r="AI70" i="25234"/>
  <c r="AI71" i="25234"/>
  <c r="AI72" i="25234"/>
  <c r="AI73" i="25234"/>
  <c r="AI74" i="25234"/>
  <c r="AI75" i="25234"/>
  <c r="AI76" i="25234"/>
  <c r="AI77" i="25234"/>
  <c r="AI78" i="25234"/>
  <c r="AI79" i="25234"/>
  <c r="AI80" i="25234"/>
  <c r="AI81" i="25234"/>
  <c r="AI82" i="25234"/>
  <c r="AI83" i="25234"/>
  <c r="AI84" i="25234"/>
  <c r="AI85" i="25234"/>
  <c r="AI86" i="25234"/>
  <c r="AI87" i="25234"/>
  <c r="AI88" i="25234"/>
  <c r="AI89" i="25234"/>
  <c r="AI90" i="25234"/>
  <c r="AI91" i="25234"/>
  <c r="AI92" i="25234"/>
  <c r="AI93" i="25234"/>
  <c r="AI94" i="25234"/>
  <c r="AI95" i="25234"/>
  <c r="AI96" i="25234"/>
  <c r="AI97" i="25234"/>
  <c r="AI98" i="25234"/>
  <c r="AI99" i="25234"/>
  <c r="AI100" i="25234"/>
  <c r="AI101" i="25234"/>
  <c r="AI102" i="25234"/>
  <c r="AI103" i="25234"/>
  <c r="AI104" i="25234"/>
  <c r="AI105" i="25234"/>
  <c r="AI106" i="25234"/>
  <c r="AI107" i="25234"/>
  <c r="AI108" i="25234"/>
  <c r="AI109" i="25234"/>
  <c r="AI110" i="25234"/>
  <c r="AI111" i="25234"/>
  <c r="AI112" i="25234"/>
  <c r="AI113" i="25234"/>
  <c r="AI114" i="25234"/>
  <c r="AI115" i="25234"/>
  <c r="AI116" i="25234"/>
  <c r="AI117" i="25234"/>
  <c r="AI118" i="25234"/>
  <c r="AI119" i="25234"/>
  <c r="AI120" i="25234"/>
  <c r="AI121" i="25234"/>
  <c r="AI122" i="25234"/>
  <c r="AI123" i="25234"/>
  <c r="AI124" i="25234"/>
  <c r="AI125" i="25234"/>
  <c r="AI126" i="25234"/>
  <c r="AI127" i="25234"/>
  <c r="AI128" i="25234"/>
  <c r="AI129" i="25234"/>
  <c r="AI130" i="25234"/>
  <c r="AI131" i="25234"/>
  <c r="AI132" i="25234"/>
  <c r="AI133" i="25234"/>
  <c r="AI134" i="25234"/>
  <c r="AI135" i="25234"/>
  <c r="AI136" i="25234"/>
  <c r="AI137" i="25234"/>
  <c r="AI138" i="25234"/>
  <c r="AI139" i="25234"/>
  <c r="AI140" i="25234"/>
  <c r="AI141" i="25234"/>
  <c r="AI142" i="25234"/>
  <c r="AI143" i="25234"/>
  <c r="AI144" i="25234"/>
  <c r="AI145" i="25234"/>
  <c r="AI146" i="25234"/>
  <c r="AI147" i="25234"/>
  <c r="AI148" i="25234"/>
  <c r="AI149" i="25234"/>
  <c r="AI150" i="25234"/>
  <c r="AI151" i="25234"/>
  <c r="AI152" i="25234"/>
  <c r="AI153" i="25234"/>
  <c r="AI154" i="25234"/>
  <c r="AI155" i="25234"/>
  <c r="AI156" i="25234"/>
  <c r="AI157" i="25234"/>
  <c r="AI158" i="25234"/>
  <c r="AI159" i="25234"/>
  <c r="AI160" i="25234"/>
  <c r="AI161" i="25234"/>
  <c r="AI162" i="25234"/>
  <c r="AI163" i="25234"/>
  <c r="AI164" i="25234"/>
  <c r="AI165" i="25234"/>
  <c r="AI166" i="25234"/>
  <c r="AI167" i="25234"/>
  <c r="AI168" i="25234"/>
  <c r="AI169" i="25234"/>
  <c r="AI170" i="25234"/>
  <c r="AI171" i="25234"/>
  <c r="AI172" i="25234"/>
  <c r="AI173" i="25234"/>
  <c r="AI174" i="25234"/>
  <c r="AI175" i="25234"/>
  <c r="AI176" i="25234"/>
  <c r="AI177" i="25234"/>
  <c r="AI178" i="25234"/>
  <c r="AI179" i="25234"/>
  <c r="AI180" i="25234"/>
  <c r="AI181" i="25234"/>
  <c r="AI182" i="25234"/>
  <c r="AI183" i="25234"/>
  <c r="AI184" i="25234"/>
  <c r="AI185" i="25234"/>
  <c r="AI186" i="25234"/>
  <c r="AI187" i="25234"/>
  <c r="AI188" i="25234"/>
  <c r="AI189" i="25234"/>
  <c r="AI190" i="25234"/>
  <c r="AI191" i="25234"/>
  <c r="AI192" i="25234"/>
  <c r="AI193" i="25234"/>
  <c r="AI194" i="25234"/>
  <c r="AI195" i="25234"/>
  <c r="AI196" i="25234"/>
  <c r="AI197" i="25234"/>
  <c r="AI198" i="25234"/>
  <c r="AI199" i="25234"/>
  <c r="AI200" i="25234"/>
  <c r="AI201" i="25234"/>
  <c r="AI202" i="25234"/>
  <c r="AI203" i="25234"/>
  <c r="AI204" i="25234"/>
  <c r="AI205" i="25234"/>
  <c r="AI206" i="25234"/>
  <c r="AI207" i="25234"/>
  <c r="AI208" i="25234"/>
  <c r="AI209" i="25234"/>
  <c r="AI210" i="25234"/>
  <c r="AI211" i="25234"/>
  <c r="AI212" i="25234"/>
  <c r="AI213" i="25234"/>
  <c r="AI214" i="25234"/>
  <c r="AI215" i="25234"/>
  <c r="AI216" i="25234"/>
  <c r="AI217" i="25234"/>
  <c r="AI218" i="25234"/>
  <c r="AI219" i="25234"/>
  <c r="AI220" i="25234"/>
  <c r="AI221" i="25234"/>
  <c r="AI222" i="25234"/>
  <c r="AI223" i="25234"/>
  <c r="AI224" i="25234"/>
  <c r="AI225" i="25234"/>
  <c r="AI226" i="25234"/>
  <c r="AI227" i="25234"/>
  <c r="AI228" i="25234"/>
  <c r="AI229" i="25234"/>
  <c r="AI230" i="25234"/>
  <c r="AI231" i="25234"/>
  <c r="AI232" i="25234"/>
  <c r="AI233" i="25234"/>
  <c r="AI234" i="25234"/>
  <c r="AI235" i="25234"/>
  <c r="AI236" i="25234"/>
  <c r="AI237" i="25234"/>
  <c r="AI238" i="25234"/>
  <c r="AI239" i="25234"/>
  <c r="AI240" i="25234"/>
  <c r="AI241" i="25234"/>
  <c r="AI242" i="25234"/>
  <c r="AI243" i="25234"/>
  <c r="AI244" i="25234"/>
  <c r="AI245" i="25234"/>
  <c r="AI246" i="25234"/>
  <c r="AI247" i="25234"/>
  <c r="AI248" i="25234"/>
  <c r="AI249" i="25234"/>
  <c r="AI250" i="25234"/>
  <c r="AI251" i="25234"/>
  <c r="AI252" i="25234"/>
  <c r="AI253" i="25234"/>
  <c r="AI254" i="25234"/>
  <c r="AI255" i="25234"/>
  <c r="AI256" i="25234"/>
  <c r="AI257" i="25234"/>
  <c r="AI258" i="25234"/>
  <c r="AI259" i="25234"/>
  <c r="AI260" i="25234"/>
  <c r="AI261" i="25234"/>
  <c r="AI262" i="25234"/>
  <c r="AI263" i="25234"/>
  <c r="AI264" i="25234"/>
  <c r="AI265" i="25234"/>
  <c r="AI266" i="25234"/>
  <c r="AI267" i="25234"/>
  <c r="AI268" i="25234"/>
  <c r="AI269" i="25234"/>
  <c r="AI270" i="25234"/>
  <c r="AI271" i="25234"/>
  <c r="AI272" i="25234"/>
  <c r="AI273" i="25234"/>
  <c r="AI274" i="25234"/>
  <c r="AI275" i="25234"/>
  <c r="AI276" i="25234"/>
  <c r="AI277" i="25234"/>
  <c r="AI278" i="25234"/>
  <c r="AI279" i="25234"/>
  <c r="AI280" i="25234"/>
  <c r="AI281" i="25234"/>
  <c r="AI282" i="25234"/>
  <c r="AI283" i="25234"/>
  <c r="AI284" i="25234"/>
  <c r="AI285" i="25234"/>
  <c r="AI286" i="25234"/>
  <c r="AI287" i="25234"/>
  <c r="AI288" i="25234"/>
  <c r="AI289" i="25234"/>
  <c r="AI290" i="25234"/>
  <c r="AI291" i="25234"/>
  <c r="AI292" i="25234"/>
  <c r="AI293" i="25234"/>
  <c r="AI294" i="25234"/>
  <c r="AI295" i="25234"/>
  <c r="AI296" i="25234"/>
  <c r="AI297" i="25234"/>
  <c r="AI298" i="25234"/>
  <c r="AI299" i="25234"/>
  <c r="AI300" i="25234"/>
  <c r="AI301" i="25234"/>
  <c r="AI302" i="25234"/>
  <c r="AI303" i="25234"/>
  <c r="AI304" i="25234"/>
  <c r="AI305" i="25234"/>
  <c r="AI306" i="25234"/>
  <c r="AI307" i="25234"/>
  <c r="AI308" i="25234"/>
  <c r="AI309" i="25234"/>
  <c r="AI310" i="25234"/>
  <c r="AI311" i="25234"/>
  <c r="AI312" i="25234"/>
  <c r="AI313" i="25234"/>
  <c r="AI314" i="25234"/>
  <c r="AI315" i="25234"/>
  <c r="AI316" i="25234"/>
  <c r="AI317" i="25234"/>
  <c r="AI318" i="25234"/>
  <c r="AI319" i="25234"/>
  <c r="AI320" i="25234"/>
  <c r="AI321" i="25234"/>
  <c r="AI322" i="25234"/>
  <c r="AI323" i="25234"/>
  <c r="AI324" i="25234"/>
  <c r="AI325" i="25234"/>
  <c r="AI326" i="25234"/>
  <c r="AI327" i="25234"/>
  <c r="AI328" i="25234"/>
  <c r="AI329" i="25234"/>
  <c r="AI330" i="25234"/>
  <c r="AI331" i="25234"/>
  <c r="AI332" i="25234"/>
  <c r="AI333" i="25234"/>
  <c r="AI334" i="25234"/>
  <c r="AI335" i="25234"/>
  <c r="AI336" i="25234"/>
  <c r="AI337" i="25234"/>
  <c r="AI338" i="25234"/>
  <c r="AI339" i="25234"/>
  <c r="AI340" i="25234"/>
  <c r="AI341" i="25234"/>
  <c r="AI342" i="25234"/>
  <c r="AI343" i="25234"/>
  <c r="AI344" i="25234"/>
  <c r="AI345" i="25234"/>
  <c r="AI346" i="25234"/>
  <c r="AI347" i="25234"/>
  <c r="AI348" i="25234"/>
  <c r="AI349" i="25234"/>
  <c r="AI350" i="25234"/>
  <c r="AI351" i="25234"/>
  <c r="AI352" i="25234"/>
  <c r="AI353" i="25234"/>
  <c r="AI354" i="25234"/>
  <c r="AI355" i="25234"/>
  <c r="AI356" i="25234"/>
  <c r="AI357" i="25234"/>
  <c r="AI358" i="25234"/>
  <c r="AI359" i="25234"/>
  <c r="AI360" i="25234"/>
  <c r="AI361" i="25234"/>
  <c r="AI362" i="25234"/>
  <c r="AI363" i="25234"/>
  <c r="AI364" i="25234"/>
  <c r="AI365" i="25234"/>
  <c r="AI366" i="25234"/>
  <c r="AI367" i="25234"/>
  <c r="AI368" i="25234"/>
  <c r="AI369" i="25234"/>
  <c r="AI370" i="25234"/>
  <c r="AI371" i="25234"/>
  <c r="AI372" i="25234"/>
  <c r="AI373" i="25234"/>
  <c r="AI374" i="25234"/>
  <c r="AI375" i="25234"/>
  <c r="AI376" i="25234"/>
  <c r="AI377" i="25234"/>
  <c r="AI378" i="25234"/>
  <c r="AI379" i="25234"/>
  <c r="AI380" i="25234"/>
  <c r="AI381" i="25234"/>
  <c r="AI382" i="25234"/>
  <c r="AI383" i="25234"/>
  <c r="AI384" i="25234"/>
  <c r="AI385" i="25234"/>
  <c r="AI386" i="25234"/>
  <c r="AI387" i="25234"/>
  <c r="AI388" i="25234"/>
  <c r="AI389" i="25234"/>
  <c r="AI390" i="25234"/>
  <c r="AI391" i="25234"/>
  <c r="AI392" i="25234"/>
  <c r="AI393" i="25234"/>
  <c r="AI394" i="25234"/>
  <c r="AI395" i="25234"/>
  <c r="AI396" i="25234"/>
  <c r="AI397" i="25234"/>
  <c r="AI398" i="25234"/>
  <c r="AI399" i="25234"/>
  <c r="AI400" i="25234"/>
  <c r="AI401" i="25234"/>
  <c r="AI402" i="25234"/>
  <c r="AI403" i="25234"/>
  <c r="AI404" i="25234"/>
  <c r="AI405" i="25234"/>
  <c r="AI406" i="25234"/>
  <c r="AF406" i="25234"/>
  <c r="AN406" i="25234"/>
  <c r="AF405" i="25234"/>
  <c r="AN405" i="25234"/>
  <c r="AF404" i="25234"/>
  <c r="AN404" i="25234"/>
  <c r="AF403" i="25234"/>
  <c r="AN403" i="25234"/>
  <c r="AF402" i="25234"/>
  <c r="AN402" i="25234"/>
  <c r="AF401" i="25234"/>
  <c r="AN401" i="25234"/>
  <c r="AF400" i="25234"/>
  <c r="AN400" i="25234"/>
  <c r="AF399" i="25234"/>
  <c r="AN399" i="25234"/>
  <c r="AF398" i="25234"/>
  <c r="AN398" i="25234"/>
  <c r="AF397" i="25234"/>
  <c r="AN397" i="25234"/>
  <c r="AF396" i="25234"/>
  <c r="AN396" i="25234"/>
  <c r="AF395" i="25234"/>
  <c r="AN395" i="25234"/>
  <c r="AJ3" i="25234"/>
  <c r="AJ2" i="25234" s="1"/>
  <c r="AF8" i="25234"/>
  <c r="AN8" i="25234"/>
  <c r="AF9" i="25234"/>
  <c r="AN9" i="25234"/>
  <c r="AF10" i="25234"/>
  <c r="AN10" i="25234"/>
  <c r="AF11" i="25234"/>
  <c r="AN11" i="25234"/>
  <c r="AF12" i="25234"/>
  <c r="AN12" i="25234"/>
  <c r="AF13" i="25234"/>
  <c r="AN13" i="25234"/>
  <c r="AF14" i="25234"/>
  <c r="AN14" i="25234"/>
  <c r="AF15" i="25234"/>
  <c r="AN15" i="25234"/>
  <c r="AF16" i="25234"/>
  <c r="AN16" i="25234"/>
  <c r="AF17" i="25234"/>
  <c r="AN17" i="25234"/>
  <c r="AF18" i="25234"/>
  <c r="AN18" i="25234"/>
  <c r="AF19" i="25234"/>
  <c r="AN19" i="25234"/>
  <c r="AF20" i="25234"/>
  <c r="AN20" i="25234"/>
  <c r="AF21" i="25234"/>
  <c r="AN21" i="25234"/>
  <c r="AF22" i="25234"/>
  <c r="AN22" i="25234"/>
  <c r="AF23" i="25234"/>
  <c r="AN23" i="25234"/>
  <c r="AF24" i="25234"/>
  <c r="AN24" i="25234"/>
  <c r="AF25" i="25234"/>
  <c r="AN25" i="25234"/>
  <c r="AF26" i="25234"/>
  <c r="AN26" i="25234"/>
  <c r="AF27" i="25234"/>
  <c r="AN27" i="25234"/>
  <c r="AF28" i="25234"/>
  <c r="AN28" i="25234"/>
  <c r="AF29" i="25234"/>
  <c r="AN29" i="25234"/>
  <c r="AF30" i="25234"/>
  <c r="AN30" i="25234"/>
  <c r="AF31" i="25234"/>
  <c r="AN31" i="25234"/>
  <c r="AF32" i="25234"/>
  <c r="AN32" i="25234"/>
  <c r="AF33" i="25234"/>
  <c r="AN33" i="25234"/>
  <c r="AF34" i="25234"/>
  <c r="AN34" i="25234"/>
  <c r="AF35" i="25234"/>
  <c r="AN35" i="25234"/>
  <c r="AF36" i="25234"/>
  <c r="AN36" i="25234"/>
  <c r="AF37" i="25234"/>
  <c r="AN37" i="25234"/>
  <c r="AF38" i="25234"/>
  <c r="AN38" i="25234"/>
  <c r="AF39" i="25234"/>
  <c r="AN39" i="25234"/>
  <c r="AF40" i="25234"/>
  <c r="AN40" i="25234"/>
  <c r="AF41" i="25234"/>
  <c r="AN41" i="25234"/>
  <c r="AF42" i="25234"/>
  <c r="AN42" i="25234"/>
  <c r="AF43" i="25234"/>
  <c r="AN43" i="25234"/>
  <c r="AF44" i="25234"/>
  <c r="AN44" i="25234"/>
  <c r="AF45" i="25234"/>
  <c r="AN45" i="25234"/>
  <c r="AF46" i="25234"/>
  <c r="AN46" i="25234"/>
  <c r="AF47" i="25234"/>
  <c r="AN47" i="25234"/>
  <c r="AF48" i="25234"/>
  <c r="AN48" i="25234"/>
  <c r="AF49" i="25234"/>
  <c r="AN49" i="25234"/>
  <c r="AF50" i="25234"/>
  <c r="AN50" i="25234"/>
  <c r="AF51" i="25234"/>
  <c r="AN51" i="25234"/>
  <c r="AF52" i="25234"/>
  <c r="AN52" i="25234"/>
  <c r="AF53" i="25234"/>
  <c r="AN53" i="25234"/>
  <c r="AF54" i="25234"/>
  <c r="AN54" i="25234"/>
  <c r="AF55" i="25234"/>
  <c r="AN55" i="25234"/>
  <c r="AF56" i="25234"/>
  <c r="AN56" i="25234"/>
  <c r="AF57" i="25234"/>
  <c r="AN57" i="25234"/>
  <c r="AF58" i="25234"/>
  <c r="AN58" i="25234"/>
  <c r="AF59" i="25234"/>
  <c r="AN59" i="25234"/>
  <c r="AF60" i="25234"/>
  <c r="AN60" i="25234"/>
  <c r="AF61" i="25234"/>
  <c r="AN61" i="25234"/>
  <c r="AF62" i="25234"/>
  <c r="AN62" i="25234"/>
  <c r="AF63" i="25234"/>
  <c r="AN63" i="25234"/>
  <c r="AF64" i="25234"/>
  <c r="AN64" i="25234"/>
  <c r="AF65" i="25234"/>
  <c r="AN65" i="25234"/>
  <c r="AF66" i="25234"/>
  <c r="AN66" i="25234"/>
  <c r="AF67" i="25234"/>
  <c r="AN67" i="25234"/>
  <c r="AF68" i="25234"/>
  <c r="AN68" i="25234"/>
  <c r="AF69" i="25234"/>
  <c r="AN69" i="25234"/>
  <c r="AF70" i="25234"/>
  <c r="AN70" i="25234"/>
  <c r="AF71" i="25234"/>
  <c r="AN71" i="25234"/>
  <c r="AF72" i="25234"/>
  <c r="AN72" i="25234"/>
  <c r="AF73" i="25234"/>
  <c r="AN73" i="25234"/>
  <c r="AF74" i="25234"/>
  <c r="AN74" i="25234"/>
  <c r="AF75" i="25234"/>
  <c r="AN75" i="25234"/>
  <c r="AF76" i="25234"/>
  <c r="AN76" i="25234"/>
  <c r="AF77" i="25234"/>
  <c r="AN77" i="25234"/>
  <c r="AF78" i="25234"/>
  <c r="AN78" i="25234"/>
  <c r="AF79" i="25234"/>
  <c r="AN79" i="25234"/>
  <c r="AF80" i="25234"/>
  <c r="AN80" i="25234"/>
  <c r="AF81" i="25234"/>
  <c r="AN81" i="25234"/>
  <c r="AF82" i="25234"/>
  <c r="AN82" i="25234"/>
  <c r="AF83" i="25234"/>
  <c r="AN83" i="25234"/>
  <c r="AF84" i="25234"/>
  <c r="AN84" i="25234"/>
  <c r="AF85" i="25234"/>
  <c r="AN85" i="25234"/>
  <c r="AF86" i="25234"/>
  <c r="AN86" i="25234"/>
  <c r="AF87" i="25234"/>
  <c r="AN87" i="25234"/>
  <c r="AF88" i="25234"/>
  <c r="AN88" i="25234"/>
  <c r="AF89" i="25234"/>
  <c r="AN89" i="25234"/>
  <c r="AF90" i="25234"/>
  <c r="AN90" i="25234"/>
  <c r="AF91" i="25234"/>
  <c r="AN91" i="25234"/>
  <c r="AF92" i="25234"/>
  <c r="AN92" i="25234"/>
  <c r="AF93" i="25234"/>
  <c r="AN93" i="25234"/>
  <c r="AF94" i="25234"/>
  <c r="AN94" i="25234"/>
  <c r="AF95" i="25234"/>
  <c r="AN95" i="25234"/>
  <c r="AF96" i="25234"/>
  <c r="AN96" i="25234"/>
  <c r="AF97" i="25234"/>
  <c r="AN97" i="25234"/>
  <c r="AF98" i="25234"/>
  <c r="AN98" i="25234"/>
  <c r="AF99" i="25234"/>
  <c r="AN99" i="25234"/>
  <c r="AF100" i="25234"/>
  <c r="AN100" i="25234"/>
  <c r="AF101" i="25234"/>
  <c r="AN101" i="25234"/>
  <c r="AF102" i="25234"/>
  <c r="AN102" i="25234"/>
  <c r="AF103" i="25234"/>
  <c r="AN103" i="25234"/>
  <c r="AF104" i="25234"/>
  <c r="AN104" i="25234"/>
  <c r="AF105" i="25234"/>
  <c r="AN105" i="25234"/>
  <c r="AF106" i="25234"/>
  <c r="AN106" i="25234"/>
  <c r="AF107" i="25234"/>
  <c r="AN107" i="25234"/>
  <c r="AF108" i="25234"/>
  <c r="AN108" i="25234"/>
  <c r="AF109" i="25234"/>
  <c r="AN109" i="25234"/>
  <c r="AF110" i="25234"/>
  <c r="AN110" i="25234"/>
  <c r="AF111" i="25234"/>
  <c r="AN111" i="25234"/>
  <c r="AF112" i="25234"/>
  <c r="AN112" i="25234"/>
  <c r="AF113" i="25234"/>
  <c r="AN113" i="25234"/>
  <c r="AF114" i="25234"/>
  <c r="AN114" i="25234"/>
  <c r="AF115" i="25234"/>
  <c r="AN115" i="25234"/>
  <c r="AF116" i="25234"/>
  <c r="AN116" i="25234"/>
  <c r="AF117" i="25234"/>
  <c r="AN117" i="25234"/>
  <c r="AF118" i="25234"/>
  <c r="AN118" i="25234"/>
  <c r="AF119" i="25234"/>
  <c r="AN119" i="25234"/>
  <c r="AF120" i="25234"/>
  <c r="AN120" i="25234"/>
  <c r="AF121" i="25234"/>
  <c r="AN121" i="25234"/>
  <c r="AF122" i="25234"/>
  <c r="AN122" i="25234"/>
  <c r="AF123" i="25234"/>
  <c r="AN123" i="25234"/>
  <c r="AF124" i="25234"/>
  <c r="AN124" i="25234"/>
  <c r="AF125" i="25234"/>
  <c r="AN125" i="25234"/>
  <c r="AF126" i="25234"/>
  <c r="AN126" i="25234"/>
  <c r="AF127" i="25234"/>
  <c r="AN127" i="25234"/>
  <c r="AF128" i="25234"/>
  <c r="AN128" i="25234"/>
  <c r="AF129" i="25234"/>
  <c r="AN129" i="25234"/>
  <c r="AF130" i="25234"/>
  <c r="AN130" i="25234"/>
  <c r="AF131" i="25234"/>
  <c r="AN131" i="25234"/>
  <c r="AF132" i="25234"/>
  <c r="AN132" i="25234"/>
  <c r="AF133" i="25234"/>
  <c r="AN133" i="25234"/>
  <c r="AF134" i="25234"/>
  <c r="AN134" i="25234"/>
  <c r="AF135" i="25234"/>
  <c r="AN135" i="25234"/>
  <c r="AF136" i="25234"/>
  <c r="AN136" i="25234"/>
  <c r="AF137" i="25234"/>
  <c r="AN137" i="25234"/>
  <c r="AF138" i="25234"/>
  <c r="AN138" i="25234"/>
  <c r="AF139" i="25234"/>
  <c r="AN139" i="25234"/>
  <c r="AF140" i="25234"/>
  <c r="AN140" i="25234"/>
  <c r="AF141" i="25234"/>
  <c r="AN141" i="25234"/>
  <c r="AF142" i="25234"/>
  <c r="AN142" i="25234"/>
  <c r="AF143" i="25234"/>
  <c r="AN143" i="25234"/>
  <c r="AF144" i="25234"/>
  <c r="AN144" i="25234"/>
  <c r="AF145" i="25234"/>
  <c r="AN145" i="25234"/>
  <c r="AF146" i="25234"/>
  <c r="AN146" i="25234"/>
  <c r="AF147" i="25234"/>
  <c r="AN147" i="25234"/>
  <c r="AF148" i="25234"/>
  <c r="AN148" i="25234"/>
  <c r="AF149" i="25234"/>
  <c r="AN149" i="25234"/>
  <c r="AF150" i="25234"/>
  <c r="AN150" i="25234"/>
  <c r="AF151" i="25234"/>
  <c r="AN151" i="25234"/>
  <c r="AF152" i="25234"/>
  <c r="AN152" i="25234"/>
  <c r="AF153" i="25234"/>
  <c r="AN153" i="25234"/>
  <c r="AF154" i="25234"/>
  <c r="AN154" i="25234"/>
  <c r="AF155" i="25234"/>
  <c r="AN155" i="25234"/>
  <c r="AF156" i="25234"/>
  <c r="AN156" i="25234"/>
  <c r="AF157" i="25234"/>
  <c r="AN157" i="25234"/>
  <c r="AF158" i="25234"/>
  <c r="AN158" i="25234"/>
  <c r="AF159" i="25234"/>
  <c r="AN159" i="25234"/>
  <c r="AF160" i="25234"/>
  <c r="AN160" i="25234"/>
  <c r="AF161" i="25234"/>
  <c r="AN161" i="25234"/>
  <c r="AF162" i="25234"/>
  <c r="AN162" i="25234"/>
  <c r="AF163" i="25234"/>
  <c r="AN163" i="25234"/>
  <c r="AF164" i="25234"/>
  <c r="AN164" i="25234"/>
  <c r="AF165" i="25234"/>
  <c r="AN165" i="25234"/>
  <c r="AF166" i="25234"/>
  <c r="AN166" i="25234"/>
  <c r="AF167" i="25234"/>
  <c r="AN167" i="25234"/>
  <c r="AF168" i="25234"/>
  <c r="AN168" i="25234"/>
  <c r="AF169" i="25234"/>
  <c r="AN169" i="25234"/>
  <c r="AF170" i="25234"/>
  <c r="AN170" i="25234"/>
  <c r="AF171" i="25234"/>
  <c r="AN171" i="25234"/>
  <c r="AF172" i="25234"/>
  <c r="AN172" i="25234"/>
  <c r="AF173" i="25234"/>
  <c r="AN173" i="25234"/>
  <c r="AF174" i="25234"/>
  <c r="AN174" i="25234"/>
  <c r="AF175" i="25234"/>
  <c r="AN175" i="25234"/>
  <c r="AF176" i="25234"/>
  <c r="AN176" i="25234"/>
  <c r="AF177" i="25234"/>
  <c r="AN177" i="25234"/>
  <c r="AF178" i="25234"/>
  <c r="AN178" i="25234"/>
  <c r="AF179" i="25234"/>
  <c r="AN179" i="25234"/>
  <c r="AF180" i="25234"/>
  <c r="AN180" i="25234"/>
  <c r="AF181" i="25234"/>
  <c r="AN181" i="25234"/>
  <c r="AF182" i="25234"/>
  <c r="AN182" i="25234"/>
  <c r="AF183" i="25234"/>
  <c r="AN183" i="25234"/>
  <c r="AF184" i="25234"/>
  <c r="AN184" i="25234"/>
  <c r="AF185" i="25234"/>
  <c r="AN185" i="25234"/>
  <c r="AF186" i="25234"/>
  <c r="AN186" i="25234"/>
  <c r="AF187" i="25234"/>
  <c r="AN187" i="25234"/>
  <c r="AF188" i="25234"/>
  <c r="AN188" i="25234"/>
  <c r="AF189" i="25234"/>
  <c r="AN189" i="25234"/>
  <c r="AF190" i="25234"/>
  <c r="AN190" i="25234"/>
  <c r="AF191" i="25234"/>
  <c r="AN191" i="25234"/>
  <c r="AF192" i="25234"/>
  <c r="AN192" i="25234"/>
  <c r="AF193" i="25234"/>
  <c r="AN193" i="25234"/>
  <c r="AF194" i="25234"/>
  <c r="AN194" i="25234"/>
  <c r="AF195" i="25234"/>
  <c r="AN195" i="25234"/>
  <c r="AF196" i="25234"/>
  <c r="AN196" i="25234"/>
  <c r="AF197" i="25234"/>
  <c r="AN197" i="25234"/>
  <c r="AF198" i="25234"/>
  <c r="AN198" i="25234"/>
  <c r="AF199" i="25234"/>
  <c r="AN199" i="25234"/>
  <c r="AF200" i="25234"/>
  <c r="AN200" i="25234"/>
  <c r="AF201" i="25234"/>
  <c r="AN201" i="25234"/>
  <c r="AF202" i="25234"/>
  <c r="AN202" i="25234"/>
  <c r="AF203" i="25234"/>
  <c r="AN203" i="25234"/>
  <c r="AF204" i="25234"/>
  <c r="AN204" i="25234"/>
  <c r="AF205" i="25234"/>
  <c r="AN205" i="25234"/>
  <c r="AF206" i="25234"/>
  <c r="AN206" i="25234"/>
  <c r="AF207" i="25234"/>
  <c r="AN207" i="25234"/>
  <c r="AF208" i="25234"/>
  <c r="AN208" i="25234"/>
  <c r="AF209" i="25234"/>
  <c r="AN209" i="25234"/>
  <c r="AF210" i="25234"/>
  <c r="AN210" i="25234"/>
  <c r="AF211" i="25234"/>
  <c r="AN211" i="25234"/>
  <c r="AF212" i="25234"/>
  <c r="AN212" i="25234"/>
  <c r="AF213" i="25234"/>
  <c r="AN213" i="25234"/>
  <c r="AF214" i="25234"/>
  <c r="AN214" i="25234"/>
  <c r="AF215" i="25234"/>
  <c r="AN215" i="25234"/>
  <c r="AF216" i="25234"/>
  <c r="AN216" i="25234"/>
  <c r="AF217" i="25234"/>
  <c r="AN217" i="25234"/>
  <c r="AF218" i="25234"/>
  <c r="AN218" i="25234"/>
  <c r="AF219" i="25234"/>
  <c r="AN219" i="25234"/>
  <c r="AF220" i="25234"/>
  <c r="AN220" i="25234"/>
  <c r="AF221" i="25234"/>
  <c r="AN221" i="25234"/>
  <c r="AF222" i="25234"/>
  <c r="AN222" i="25234"/>
  <c r="AF223" i="25234"/>
  <c r="AN223" i="25234"/>
  <c r="AF224" i="25234"/>
  <c r="AN224" i="25234"/>
  <c r="AF225" i="25234"/>
  <c r="AN225" i="25234"/>
  <c r="AF226" i="25234"/>
  <c r="AN226" i="25234"/>
  <c r="AF227" i="25234"/>
  <c r="AN227" i="25234"/>
  <c r="AF228" i="25234"/>
  <c r="AN228" i="25234"/>
  <c r="AF229" i="25234"/>
  <c r="AN229" i="25234"/>
  <c r="AF230" i="25234"/>
  <c r="AN230" i="25234"/>
  <c r="AF231" i="25234"/>
  <c r="AN231" i="25234"/>
  <c r="AF232" i="25234"/>
  <c r="AN232" i="25234"/>
  <c r="AF233" i="25234"/>
  <c r="AN233" i="25234"/>
  <c r="AF234" i="25234"/>
  <c r="AN234" i="25234"/>
  <c r="AF235" i="25234"/>
  <c r="AN235" i="25234"/>
  <c r="AF236" i="25234"/>
  <c r="AN236" i="25234"/>
  <c r="AF237" i="25234"/>
  <c r="AN237" i="25234"/>
  <c r="AF238" i="25234"/>
  <c r="AN238" i="25234"/>
  <c r="AF239" i="25234"/>
  <c r="AN239" i="25234"/>
  <c r="AF240" i="25234"/>
  <c r="AN240" i="25234"/>
  <c r="AF241" i="25234"/>
  <c r="AN241" i="25234"/>
  <c r="AF242" i="25234"/>
  <c r="AN242" i="25234"/>
  <c r="AF243" i="25234"/>
  <c r="AN243" i="25234"/>
  <c r="AF244" i="25234"/>
  <c r="AN244" i="25234"/>
  <c r="AF245" i="25234"/>
  <c r="AN245" i="25234"/>
  <c r="AF246" i="25234"/>
  <c r="AN246" i="25234"/>
  <c r="AF247" i="25234"/>
  <c r="AN247" i="25234"/>
  <c r="AF248" i="25234"/>
  <c r="AN248" i="25234"/>
  <c r="AF249" i="25234"/>
  <c r="AN249" i="25234"/>
  <c r="AF250" i="25234"/>
  <c r="AN250" i="25234"/>
  <c r="AF251" i="25234"/>
  <c r="AN251" i="25234"/>
  <c r="AF252" i="25234"/>
  <c r="AN252" i="25234"/>
  <c r="AF253" i="25234"/>
  <c r="AN253" i="25234"/>
  <c r="AF254" i="25234"/>
  <c r="AN254" i="25234"/>
  <c r="AF255" i="25234"/>
  <c r="AN255" i="25234"/>
  <c r="AF256" i="25234"/>
  <c r="AN256" i="25234"/>
  <c r="AF257" i="25234"/>
  <c r="AN257" i="25234"/>
  <c r="AF258" i="25234"/>
  <c r="AN258" i="25234"/>
  <c r="AF259" i="25234"/>
  <c r="AN259" i="25234"/>
  <c r="AF260" i="25234"/>
  <c r="AN260" i="25234"/>
  <c r="AF261" i="25234"/>
  <c r="AN261" i="25234"/>
  <c r="AF262" i="25234"/>
  <c r="AN262" i="25234"/>
  <c r="AF263" i="25234"/>
  <c r="AN263" i="25234"/>
  <c r="AF264" i="25234"/>
  <c r="AN264" i="25234"/>
  <c r="AF265" i="25234"/>
  <c r="AN265" i="25234"/>
  <c r="AF266" i="25234"/>
  <c r="AN266" i="25234"/>
  <c r="AF267" i="25234"/>
  <c r="AN267" i="25234"/>
  <c r="AF268" i="25234"/>
  <c r="AN268" i="25234"/>
  <c r="AF269" i="25234"/>
  <c r="AN269" i="25234"/>
  <c r="AF270" i="25234"/>
  <c r="AN270" i="25234"/>
  <c r="AF271" i="25234"/>
  <c r="AN271" i="25234"/>
  <c r="AF272" i="25234"/>
  <c r="AN272" i="25234"/>
  <c r="AF273" i="25234"/>
  <c r="AN273" i="25234"/>
  <c r="AF274" i="25234"/>
  <c r="AN274" i="25234"/>
  <c r="AF275" i="25234"/>
  <c r="AN275" i="25234"/>
  <c r="AF276" i="25234"/>
  <c r="AN276" i="25234"/>
  <c r="AF277" i="25234"/>
  <c r="AN277" i="25234"/>
  <c r="AF278" i="25234"/>
  <c r="AN278" i="25234"/>
  <c r="AF279" i="25234"/>
  <c r="AN279" i="25234"/>
  <c r="AF280" i="25234"/>
  <c r="AN280" i="25234"/>
  <c r="AF281" i="25234"/>
  <c r="AN281" i="25234"/>
  <c r="AF282" i="25234"/>
  <c r="AN282" i="25234"/>
  <c r="AF283" i="25234"/>
  <c r="AN283" i="25234"/>
  <c r="AF284" i="25234"/>
  <c r="AN284" i="25234"/>
  <c r="AF285" i="25234"/>
  <c r="AN285" i="25234"/>
  <c r="AF286" i="25234"/>
  <c r="AN286" i="25234"/>
  <c r="AF287" i="25234"/>
  <c r="AN287" i="25234"/>
  <c r="AF288" i="25234"/>
  <c r="AN288" i="25234"/>
  <c r="AF289" i="25234"/>
  <c r="AN289" i="25234"/>
  <c r="AF290" i="25234"/>
  <c r="AN290" i="25234"/>
  <c r="AF291" i="25234"/>
  <c r="AN291" i="25234"/>
  <c r="AF292" i="25234"/>
  <c r="AN292" i="25234"/>
  <c r="AF293" i="25234"/>
  <c r="AN293" i="25234"/>
  <c r="AF294" i="25234"/>
  <c r="AN294" i="25234"/>
  <c r="AF295" i="25234"/>
  <c r="AN295" i="25234"/>
  <c r="AF296" i="25234"/>
  <c r="AN296" i="25234"/>
  <c r="AF297" i="25234"/>
  <c r="AN297" i="25234"/>
  <c r="AF298" i="25234"/>
  <c r="AN298" i="25234"/>
  <c r="AF299" i="25234"/>
  <c r="AN299" i="25234"/>
  <c r="AF300" i="25234"/>
  <c r="AN300" i="25234"/>
  <c r="AF301" i="25234"/>
  <c r="AN301" i="25234"/>
  <c r="AF302" i="25234"/>
  <c r="AN302" i="25234"/>
  <c r="AF303" i="25234"/>
  <c r="AN303" i="25234"/>
  <c r="AF304" i="25234"/>
  <c r="AN304" i="25234"/>
  <c r="AF305" i="25234"/>
  <c r="AN305" i="25234"/>
  <c r="AF306" i="25234"/>
  <c r="AN306" i="25234"/>
  <c r="AF307" i="25234"/>
  <c r="AN307" i="25234"/>
  <c r="AF308" i="25234"/>
  <c r="AN308" i="25234"/>
  <c r="AF309" i="25234"/>
  <c r="AN309" i="25234"/>
  <c r="AF310" i="25234"/>
  <c r="AN310" i="25234"/>
  <c r="AF311" i="25234"/>
  <c r="AN311" i="25234"/>
  <c r="AF312" i="25234"/>
  <c r="AN312" i="25234"/>
  <c r="AF313" i="25234"/>
  <c r="AN313" i="25234"/>
  <c r="AF314" i="25234"/>
  <c r="AN314" i="25234"/>
  <c r="AF315" i="25234"/>
  <c r="AN315" i="25234"/>
  <c r="AF316" i="25234"/>
  <c r="AN316" i="25234"/>
  <c r="AF317" i="25234"/>
  <c r="AN317" i="25234"/>
  <c r="AF318" i="25234"/>
  <c r="AN318" i="25234"/>
  <c r="AF319" i="25234"/>
  <c r="AN319" i="25234"/>
  <c r="AF320" i="25234"/>
  <c r="AN320" i="25234"/>
  <c r="AF321" i="25234"/>
  <c r="AN321" i="25234"/>
  <c r="AF322" i="25234"/>
  <c r="AN322" i="25234"/>
  <c r="AF323" i="25234"/>
  <c r="AN323" i="25234"/>
  <c r="AF324" i="25234"/>
  <c r="AN324" i="25234"/>
  <c r="AF325" i="25234"/>
  <c r="AN325" i="25234"/>
  <c r="AF326" i="25234"/>
  <c r="AN326" i="25234"/>
  <c r="AF327" i="25234"/>
  <c r="AN327" i="25234"/>
  <c r="AF328" i="25234"/>
  <c r="AN328" i="25234"/>
  <c r="AF329" i="25234"/>
  <c r="AN329" i="25234"/>
  <c r="AF330" i="25234"/>
  <c r="AN330" i="25234"/>
  <c r="AF331" i="25234"/>
  <c r="AN331" i="25234"/>
  <c r="AF332" i="25234"/>
  <c r="AN332" i="25234"/>
  <c r="AF333" i="25234"/>
  <c r="AN333" i="25234"/>
  <c r="AF334" i="25234"/>
  <c r="AN334" i="25234"/>
  <c r="AF335" i="25234"/>
  <c r="AN335" i="25234"/>
  <c r="AF336" i="25234"/>
  <c r="AN336" i="25234"/>
  <c r="AF337" i="25234"/>
  <c r="AN337" i="25234"/>
  <c r="AF338" i="25234"/>
  <c r="AN338" i="25234"/>
  <c r="AF339" i="25234"/>
  <c r="AN339" i="25234"/>
  <c r="AF340" i="25234"/>
  <c r="AN340" i="25234"/>
  <c r="AF341" i="25234"/>
  <c r="AN341" i="25234"/>
  <c r="AF342" i="25234"/>
  <c r="AN342" i="25234"/>
  <c r="AF343" i="25234"/>
  <c r="AN343" i="25234"/>
  <c r="AF344" i="25234"/>
  <c r="AN344" i="25234"/>
  <c r="AF345" i="25234"/>
  <c r="AN345" i="25234"/>
  <c r="AF346" i="25234"/>
  <c r="AN346" i="25234"/>
  <c r="AF347" i="25234"/>
  <c r="AN347" i="25234"/>
  <c r="AF348" i="25234"/>
  <c r="AN348" i="25234"/>
  <c r="AF349" i="25234"/>
  <c r="AN349" i="25234"/>
  <c r="AF350" i="25234"/>
  <c r="AN350" i="25234"/>
  <c r="AF351" i="25234"/>
  <c r="AN351" i="25234"/>
  <c r="AF352" i="25234"/>
  <c r="AN352" i="25234"/>
  <c r="AF353" i="25234"/>
  <c r="AN353" i="25234"/>
  <c r="AF354" i="25234"/>
  <c r="AN354" i="25234"/>
  <c r="AF355" i="25234"/>
  <c r="AN355" i="25234"/>
  <c r="AF356" i="25234"/>
  <c r="AN356" i="25234"/>
  <c r="AF357" i="25234"/>
  <c r="AN357" i="25234"/>
  <c r="AF358" i="25234"/>
  <c r="AN358" i="25234"/>
  <c r="AF359" i="25234"/>
  <c r="AN359" i="25234"/>
  <c r="AF360" i="25234"/>
  <c r="AN360" i="25234"/>
  <c r="AF361" i="25234"/>
  <c r="AN361" i="25234"/>
  <c r="AF362" i="25234"/>
  <c r="AN362" i="25234"/>
  <c r="AF363" i="25234"/>
  <c r="AN363" i="25234"/>
  <c r="AF364" i="25234"/>
  <c r="AN364" i="25234"/>
  <c r="AF365" i="25234"/>
  <c r="AN365" i="25234"/>
  <c r="AF366" i="25234"/>
  <c r="AN366" i="25234"/>
  <c r="AF367" i="25234"/>
  <c r="AN367" i="25234"/>
  <c r="AF368" i="25234"/>
  <c r="AN368" i="25234"/>
  <c r="AF369" i="25234"/>
  <c r="AN369" i="25234"/>
  <c r="AF370" i="25234"/>
  <c r="AN370" i="25234"/>
  <c r="AF371" i="25234"/>
  <c r="AN371" i="25234"/>
  <c r="AF372" i="25234"/>
  <c r="AN372" i="25234"/>
  <c r="AF373" i="25234"/>
  <c r="AN373" i="25234"/>
  <c r="AF374" i="25234"/>
  <c r="AN374" i="25234"/>
  <c r="AF375" i="25234"/>
  <c r="AN375" i="25234"/>
  <c r="AF376" i="25234"/>
  <c r="AN376" i="25234"/>
  <c r="AF377" i="25234"/>
  <c r="AN377" i="25234"/>
  <c r="AF378" i="25234"/>
  <c r="AN378" i="25234"/>
  <c r="AF379" i="25234"/>
  <c r="AN379" i="25234"/>
  <c r="AF380" i="25234"/>
  <c r="AN380" i="25234"/>
  <c r="AF381" i="25234"/>
  <c r="AN381" i="25234"/>
  <c r="AF382" i="25234"/>
  <c r="AN382" i="25234"/>
  <c r="AF383" i="25234"/>
  <c r="AN383" i="25234"/>
  <c r="AF384" i="25234"/>
  <c r="AN384" i="25234"/>
  <c r="AF385" i="25234"/>
  <c r="AN385" i="25234"/>
  <c r="AF386" i="25234"/>
  <c r="AN386" i="25234"/>
  <c r="AF387" i="25234"/>
  <c r="AN387" i="25234"/>
  <c r="AF388" i="25234"/>
  <c r="AN388" i="25234"/>
  <c r="AF389" i="25234"/>
  <c r="AN389" i="25234"/>
  <c r="AF390" i="25234"/>
  <c r="AN390" i="25234"/>
  <c r="AF391" i="25234"/>
  <c r="AN391" i="25234"/>
  <c r="AF392" i="25234"/>
  <c r="AN392" i="25234"/>
  <c r="AF393" i="25234"/>
  <c r="AN393" i="25234"/>
  <c r="AF394" i="25234"/>
  <c r="AN394" i="252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  <author>Christine POTIER</author>
    <author>tc={F1E55C4D-B8B9-43FD-9FE4-9A24696C8736}</author>
    <author>tc={FEBC486F-D6A0-44AE-8E6B-DE6E75DE30F5}</author>
    <author>tc={6310AB58-0D95-4E89-8642-BF398DFE40DD}</author>
    <author>tc={43532B8D-914C-44A9-AC5E-9D30B2101AD5}</author>
    <author>tc={00FEE4A7-4AEC-4E56-8169-582E3B543E6B}</author>
    <author>tc={27625149-4B13-476E-98CC-B64934752ECF}</author>
    <author>tc={7F71E3F4-074F-42E8-89BF-E436114A1FC0}</author>
    <author>tc={0D1E86E7-94D4-4FAF-8A81-B8F535F862B3}</author>
    <author>tc={F3700A54-9052-4D9D-AF9C-9099D277E22C}</author>
    <author>tc={BA839698-A3A0-4AA5-97BA-BE1E05B321C8}</author>
    <author>tc={03DF0EF2-ECDA-4CA4-ABC2-D8F3A709E47B}</author>
    <author>tc={5A2E8C82-A158-4640-8745-E51300C2F6D4}</author>
    <author>tc={7C35C6B2-9811-494D-9782-C863036D6704}</author>
    <author>tc={6B0E2C76-6272-41CA-8B93-14CC481C5CA0}</author>
    <author>tc={9C116FC1-167E-40C6-9025-8CE19033B6F1}</author>
    <author>tc={88894846-C256-423C-B9E6-225B3BB23971}</author>
    <author>tc={4404C4A1-77F9-4D73-8A2F-335C61245276}</author>
    <author>tc={002B8171-E250-4976-90F3-D423A3B6D75B}</author>
    <author>tc={3239A396-D21A-42AD-8FA8-D950C1C4793C}</author>
    <author>tc={FD8042F1-5FC7-4D14-B42F-950D3804B4E8}</author>
    <author>tc={6A5026BF-B724-49EB-BC0A-BA844A026A2C}</author>
    <author>tc={3EDB011C-6002-4599-B2FE-B4128B233AC3}</author>
    <author>tc={DADE7F2E-E779-4309-A302-D6423FCAC9F5}</author>
    <author>tc={8C300144-1BB9-4CCE-8749-391C07E0E540}</author>
    <author>tc={1FE73DBD-8C6B-4A32-89BF-23F15F3C41C1}</author>
  </authors>
  <commentList>
    <comment ref="M6" authorId="0" shapeId="0" xr:uid="{00000000-0006-0000-0100-000001000000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  <comment ref="I164" authorId="1" shapeId="0" xr:uid="{00000000-0006-0000-0100-000002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anomalie requalifiée en REC le 29/04/15</t>
        </r>
      </text>
    </comment>
    <comment ref="I183" authorId="1" shapeId="0" xr:uid="{00000000-0006-0000-0100-000003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Dysf fnr requalifié en REC le 9/10/15</t>
        </r>
      </text>
    </comment>
    <comment ref="R261" authorId="1" shapeId="0" xr:uid="{00000000-0006-0000-0100-000004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modifié suite réunion du 02/02/17
</t>
        </r>
      </text>
    </comment>
    <comment ref="AD263" authorId="1" shapeId="0" xr:uid="{00000000-0006-0000-0100-000005000000}">
      <text>
        <r>
          <rPr>
            <b/>
            <sz val="9"/>
            <rFont val="Tahoma"/>
            <family val="2"/>
          </rPr>
          <t>Christine POTIER: client a décalé visite expert.</t>
        </r>
        <r>
          <rPr>
            <sz val="9"/>
            <rFont val="Tahoma"/>
            <family val="2"/>
          </rPr>
          <t xml:space="preserve">
</t>
        </r>
      </text>
    </comment>
    <comment ref="G276" authorId="1" shapeId="0" xr:uid="{00000000-0006-0000-0100-000006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Dysfonctionnement Frn requalifié en réclamation le 22/03/17</t>
        </r>
      </text>
    </comment>
    <comment ref="H276" authorId="1" shapeId="0" xr:uid="{00000000-0006-0000-0100-000007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modification frn incriminé : Valorel en lieu et place de Grayel</t>
        </r>
      </text>
    </comment>
    <comment ref="R285" authorId="1" shapeId="0" xr:uid="{00000000-0006-0000-0100-000008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Method au lieu de Material suite analyse approfondie.</t>
        </r>
      </text>
    </comment>
    <comment ref="AD288" authorId="1" shapeId="0" xr:uid="{00000000-0006-0000-0100-000009000000}">
      <text>
        <r>
          <rPr>
            <b/>
            <sz val="9"/>
            <color indexed="81"/>
            <rFont val="Tahoma"/>
            <family val="2"/>
            <charset val="134"/>
          </rPr>
          <t>Christine POTIER:</t>
        </r>
        <r>
          <rPr>
            <sz val="9"/>
            <color indexed="81"/>
            <rFont val="Tahoma"/>
            <family val="2"/>
            <charset val="134"/>
          </rPr>
          <t xml:space="preserve">
report 01/18 pour statuer à la clôture du projet</t>
        </r>
      </text>
    </comment>
    <comment ref="AH293" authorId="2" shapeId="0" xr:uid="{00000000-0006-0000-01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MàJ le 05/07/21 avec bad debt de 166 K€ à la demande de DBR (2000 mbres)</t>
      </text>
    </comment>
    <comment ref="R300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 MO en matière </t>
        </r>
      </text>
    </comment>
    <comment ref="R301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CPT, méthode en matiere</t>
        </r>
      </text>
    </comment>
    <comment ref="R302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CPT, méthode en matière</t>
        </r>
      </text>
    </comment>
    <comment ref="I331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Anomalie requalifiée en REC le 14/05 suite FNC émise par GOI</t>
        </r>
      </text>
    </comment>
    <comment ref="I350" authorId="1" shapeId="0" xr:uid="{00000000-0006-0000-0100-00000F000000}">
      <text>
        <r>
          <rPr>
            <b/>
            <sz val="9"/>
            <color indexed="81"/>
            <rFont val="Tahoma"/>
            <family val="2"/>
            <charset val="134"/>
          </rPr>
          <t>Christine POTIER:</t>
        </r>
        <r>
          <rPr>
            <sz val="9"/>
            <color indexed="81"/>
            <rFont val="Tahoma"/>
            <family val="2"/>
            <charset val="134"/>
          </rPr>
          <t xml:space="preserve">
requalifié en claim le 23/10/18.</t>
        </r>
      </text>
    </comment>
    <comment ref="AD447" authorId="3" shapeId="0" xr:uid="{00000000-0006-0000-01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Attente date d'ouverture TP possible par Téréos et si nécessité d'expertise par SUEZ. Au 26/07 : Suez souhaite un retour mbre pour expertise, délai + long.</t>
      </text>
    </comment>
    <comment ref="X449" authorId="4" shapeId="0" xr:uid="{00000000-0006-0000-01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Vu avec Monica le 8/07</t>
      </text>
    </comment>
    <comment ref="AD451" authorId="5" shapeId="0" xr:uid="{43532B8D-914C-44A9-AC5E-9D30B2101AD5}">
      <text>
        <t>[Threaded comment]
Your version of Excel allows you to read this threaded comment; however, any edits to it will get removed if the file is opened in a newer version of Excel. Learn more: https://go.microsoft.com/fwlink/?linkid=870924
Comment:
    6 mois de fabrication des 3 colonnes à réception cde par Gree. Négociation prix en cours.</t>
      </text>
    </comment>
    <comment ref="G453" authorId="6" shapeId="0" xr:uid="{00000000-0006-0000-01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CNQ (bad debt 166 K€) already impute on CAP17033 the 05/07/2021.</t>
      </text>
    </comment>
    <comment ref="AD454" authorId="7" shapeId="0" xr:uid="{00000000-0006-0000-01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short to solve the pb.
Reply:
    i put 6 months</t>
      </text>
    </comment>
    <comment ref="AD469" authorId="8" shapeId="0" xr:uid="{7F71E3F4-074F-42E8-89BF-E436114A1FC0}">
      <text>
        <t>[Threaded comment]
Your version of Excel allows you to read this threaded comment; however, any edits to it will get removed if the file is opened in a newer version of Excel. Learn more: https://go.microsoft.com/fwlink/?linkid=870924
Comment:
    dépend si expertise par Suez des 2 élt NF</t>
      </text>
    </comment>
    <comment ref="I481" authorId="9" shapeId="0" xr:uid="{0D1E86E7-94D4-4FAF-8A81-B8F535F862B3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ouverte en NC prodt en Mars et requalifié en REC en Mai par NVSA
Reply:
    Maintien de la CAP ouverte (cf mail erratum du 13/06/22)</t>
      </text>
    </comment>
    <comment ref="AB490" authorId="10" shapeId="0" xr:uid="{F3700A54-9052-4D9D-AF9C-9099D277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Insatisfaction orale durant réunion CLE/CJ du 10/05/22</t>
      </text>
    </comment>
    <comment ref="AC490" authorId="11" shapeId="0" xr:uid="{BA839698-A3A0-4AA5-97BA-BE1E05B321C8}">
      <text>
        <t>[Threaded comment]
Your version of Excel allows you to read this threaded comment; however, any edits to it will get removed if the file is opened in a newer version of Excel. Learn more: https://go.microsoft.com/fwlink/?linkid=870924
Comment:
    AR/prise en compte de l'insatisfaction orale durant la réunion proprement dîte par CLE</t>
      </text>
    </comment>
    <comment ref="AD520" authorId="12" shapeId="0" xr:uid="{03DF0EF2-ECDA-4CA4-ABC2-D8F3A709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SGU</t>
      </text>
    </comment>
    <comment ref="AD526" authorId="13" shapeId="0" xr:uid="{5A2E8C82-A158-4640-8745-E51300C2F6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Pb client pour retour filtre poche abîmé </t>
      </text>
    </comment>
    <comment ref="AD535" authorId="14" shapeId="0" xr:uid="{7C35C6B2-9811-494D-9782-C863036D6704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SGU, pb complexe, dépend CTI, suite PA du 16/05/23 : 31/12/23</t>
      </text>
    </comment>
    <comment ref="AD543" authorId="15" shapeId="0" xr:uid="{6B0E2C76-6272-41CA-8B93-14CC481C5CA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semaines après cde vannes régul, devis tjrs en attente</t>
      </text>
    </comment>
    <comment ref="AD544" authorId="16" shapeId="0" xr:uid="{9C116FC1-167E-40C6-9025-8CE19033B6F1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Attente résultats des échantillons en cours de test dans colonne pour valider date de clôture</t>
      </text>
    </comment>
    <comment ref="AD551" authorId="17" shapeId="0" xr:uid="{88894846-C256-423C-B9E6-225B3BB239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Postpone from client : mail ALI "client haven’t asked us for delivery till now, probably will happen in one or two months"
</t>
      </text>
    </comment>
    <comment ref="AD553" authorId="18" shapeId="0" xr:uid="{4404C4A1-77F9-4D73-8A2F-335C61245276}">
      <text>
        <t>[Threaded comment]
Your version of Excel allows you to read this threaded comment; however, any edits to it will get removed if the file is opened in a newer version of Excel. Learn more: https://go.microsoft.com/fwlink/?linkid=870924
Comment:
    Dépendra du résultat des étapes 2 et 3 du plan d'action en cours, à redéfinir à l'issue</t>
      </text>
    </comment>
    <comment ref="AH561" authorId="19" shapeId="0" xr:uid="{002B8171-E250-4976-90F3-D423A3B6D7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Mail XRO du 17/06/24 : Sur Via separation, nous venons de faire une Credit Note au client de 46 kUSD, à rajouter aux coût NQ
</t>
      </text>
    </comment>
    <comment ref="AD572" authorId="20" shapeId="0" xr:uid="{3239A396-D21A-42AD-8FA8-D950C1C4793C}">
      <text>
        <t>[Threaded comment]
Your version of Excel allows you to read this threaded comment; however, any edits to it will get removed if the file is opened in a newer version of Excel. Learn more: https://go.microsoft.com/fwlink/?linkid=870924
Comment:
    Lié au fait que Prolactal passe une nouvelle cde, pourra être réajuster en fonction.</t>
      </text>
    </comment>
    <comment ref="AD576" authorId="21" shapeId="0" xr:uid="{FD8042F1-5FC7-4D14-B42F-950D3804B4E8}">
      <text>
        <t>[Threaded comment]
Your version of Excel allows you to read this threaded comment; however, any edits to it will get removed if the file is opened in a newer version of Excel. Learn more: https://go.microsoft.com/fwlink/?linkid=870924
Comment:
    Lié à la remise de doc EN manquante par CTI</t>
      </text>
    </comment>
    <comment ref="AD577" authorId="22" shapeId="0" xr:uid="{6A5026BF-B724-49EB-BC0A-BA844A026A2C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confirmer selon négo avec KSB.</t>
      </text>
    </comment>
    <comment ref="AD580" authorId="23" shapeId="0" xr:uid="{3EDB011C-6002-4599-B2FE-B4128B233AC3}">
      <text>
        <t>[Threaded comment]
Your version of Excel allows you to read this threaded comment; however, any edits to it will get removed if the file is opened in a newer version of Excel. Learn more: https://go.microsoft.com/fwlink/?linkid=870924
Comment:
    A réajuster en fonction info Casa Grande et retour résines pour analyse</t>
      </text>
    </comment>
    <comment ref="AK580" authorId="24" shapeId="0" xr:uid="{DADE7F2E-E779-4309-A302-D6423FCAC9F5}">
      <text>
        <t>[Threaded comment]
Your version of Excel allows you to read this threaded comment; however, any edits to it will get removed if the file is opened in a newer version of Excel. Learn more: https://go.microsoft.com/fwlink/?linkid=870924
Comment:
    Après réception et mise en service nvelle cde résine</t>
      </text>
    </comment>
    <comment ref="AD581" authorId="25" shapeId="0" xr:uid="{8C300144-1BB9-4CCE-8749-391C07E0E540}">
      <text>
        <t>[Threaded comment]
Your version of Excel allows you to read this threaded comment; however, any edits to it will get removed if the file is opened in a newer version of Excel. Learn more: https://go.microsoft.com/fwlink/?linkid=870924
Comment:
    A réajuster en fonction négo avec Bray et délai d'appro</t>
      </text>
    </comment>
    <comment ref="AD583" authorId="26" shapeId="0" xr:uid="{1FE73DBD-8C6B-4A32-89BF-23F15F3C41C1}">
      <text>
        <t>[Threaded comment]
Your version of Excel allows you to read this threaded comment; however, any edits to it will get removed if the file is opened in a newer version of Excel. Learn more: https://go.microsoft.com/fwlink/?linkid=870924
Comment:
    À valider selon retour CTI, besoin d'échantillon ou pas, et actions à engager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</authors>
  <commentList>
    <comment ref="M7" authorId="0" shapeId="0" xr:uid="{EE580CBE-DB63-4CD7-B60C-DCA1A1E480E0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  <author>tc={6ACB01E5-CF01-42E2-9D0B-05814DDBCA30}</author>
  </authors>
  <commentList>
    <comment ref="K2" authorId="0" shapeId="0" xr:uid="{1305422A-35DF-40E5-B935-CE8FB8BCE64F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  <comment ref="H5" authorId="1" shapeId="0" xr:uid="{6ACB01E5-CF01-42E2-9D0B-05814DDBCA3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ouverte en NC prodt en Mars et requalifié en REC en Mai par NVSA
Reply:
    Maintien de la CAP ouverte (cf mail erratum du 13/06/22)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</authors>
  <commentList>
    <comment ref="K2" authorId="0" shapeId="0" xr:uid="{457FB201-BAD0-446F-923A-F1BC74463FF0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</commentList>
</comments>
</file>

<file path=xl/sharedStrings.xml><?xml version="1.0" encoding="utf-8"?>
<sst xmlns="http://schemas.openxmlformats.org/spreadsheetml/2006/main" count="9731" uniqueCount="2253">
  <si>
    <t>SMB/ NVSA</t>
  </si>
  <si>
    <t>Scope</t>
  </si>
  <si>
    <t>5M</t>
  </si>
  <si>
    <t>YES/NO</t>
  </si>
  <si>
    <t>SMB</t>
  </si>
  <si>
    <t>Claim</t>
  </si>
  <si>
    <t>YES</t>
  </si>
  <si>
    <t>ED</t>
  </si>
  <si>
    <t>NVSA</t>
  </si>
  <si>
    <t>Method / Méthode</t>
  </si>
  <si>
    <t>NO</t>
  </si>
  <si>
    <t>SSMB</t>
  </si>
  <si>
    <t>Environment / Milieu</t>
  </si>
  <si>
    <t>IEX</t>
  </si>
  <si>
    <t>Pdt unconformity</t>
  </si>
  <si>
    <t>Manpower / Main d'œuvre</t>
  </si>
  <si>
    <t>MF/UF</t>
  </si>
  <si>
    <t>Prevent / improve</t>
  </si>
  <si>
    <t>NF</t>
  </si>
  <si>
    <t>OI</t>
  </si>
  <si>
    <t>EVAPO</t>
  </si>
  <si>
    <t>CA</t>
  </si>
  <si>
    <t>Project Nr</t>
  </si>
  <si>
    <t>Wrong choice of flowmeter technology</t>
  </si>
  <si>
    <t>Sheet pump quotation vs customer URS</t>
  </si>
  <si>
    <t>Rust on IEX columns</t>
  </si>
  <si>
    <t>CAP TYPE</t>
  </si>
  <si>
    <t>Recording
 Date</t>
  </si>
  <si>
    <t>Cust. Sce</t>
  </si>
  <si>
    <t>SYSTEMS</t>
  </si>
  <si>
    <t>Fichier</t>
  </si>
  <si>
    <t>CAP Nr</t>
  </si>
  <si>
    <t>Issuer</t>
  </si>
  <si>
    <t>Dpt</t>
  </si>
  <si>
    <t>Customer</t>
  </si>
  <si>
    <t>Supplier</t>
  </si>
  <si>
    <t>Recuring</t>
  </si>
  <si>
    <t>Compt Nr</t>
  </si>
  <si>
    <t>Techno*</t>
  </si>
  <si>
    <t>Description</t>
  </si>
  <si>
    <t>Process</t>
  </si>
  <si>
    <t>Step of Process</t>
  </si>
  <si>
    <t>7M</t>
  </si>
  <si>
    <t>OE Tool</t>
  </si>
  <si>
    <t>Supplier litigation</t>
  </si>
  <si>
    <t>Enlarged 
Treatment</t>
  </si>
  <si>
    <t>Leader</t>
  </si>
  <si>
    <t>Action plan definition date</t>
  </si>
  <si>
    <t>Est. 
closure date</t>
  </si>
  <si>
    <t>Closure Date</t>
  </si>
  <si>
    <t>Closed under
3 months</t>
  </si>
  <si>
    <t>Claim Date</t>
  </si>
  <si>
    <t>Cust. Information Date</t>
  </si>
  <si>
    <t>Acting Plan est. 
Closure date</t>
  </si>
  <si>
    <t>Date of acting 
plan closure</t>
  </si>
  <si>
    <t>closed 
in delay?</t>
  </si>
  <si>
    <t>Hours (€)</t>
  </si>
  <si>
    <t>Eqmt (€)</t>
  </si>
  <si>
    <t>TOTAL (€)</t>
  </si>
  <si>
    <t>Efficient
Action ?</t>
  </si>
  <si>
    <t>Date of effic. 
measure</t>
  </si>
  <si>
    <t>Comments</t>
  </si>
  <si>
    <t>CAP_label</t>
  </si>
  <si>
    <t>Label_CODIR</t>
  </si>
  <si>
    <t>CAP Sheets Follow up</t>
  </si>
  <si>
    <t>Project</t>
  </si>
  <si>
    <t>Cause Study</t>
  </si>
  <si>
    <t>Action Plan</t>
  </si>
  <si>
    <t>NQ Costs</t>
  </si>
  <si>
    <t>1st step</t>
  </si>
  <si>
    <t>ENLARGED TREATMENT</t>
  </si>
  <si>
    <t>CLOSURE</t>
  </si>
  <si>
    <t>CLAIM</t>
  </si>
  <si>
    <t>EFFICIENCY</t>
  </si>
  <si>
    <t>1st action 
planned date</t>
  </si>
  <si>
    <t>xxxxx</t>
  </si>
  <si>
    <t>JPV</t>
  </si>
  <si>
    <t xml:space="preserve">INDENA </t>
  </si>
  <si>
    <t>Pilote K07.04</t>
  </si>
  <si>
    <t>Commande</t>
  </si>
  <si>
    <t>PPD Process</t>
  </si>
  <si>
    <t>Pilot</t>
  </si>
  <si>
    <t>EWI</t>
  </si>
  <si>
    <t>Beldem</t>
  </si>
  <si>
    <t>10.7248</t>
  </si>
  <si>
    <t>Casses mécaniques / Performances</t>
  </si>
  <si>
    <t>I&amp;R process</t>
  </si>
  <si>
    <t>Equipment / Matériel</t>
  </si>
  <si>
    <t>CJ Liaocheng GMP</t>
  </si>
  <si>
    <t>10.7382</t>
  </si>
  <si>
    <t xml:space="preserve"> Performances</t>
  </si>
  <si>
    <t>LPR</t>
  </si>
  <si>
    <t>OTIME</t>
  </si>
  <si>
    <t>10.6903</t>
  </si>
  <si>
    <t>Mauvais positionnement des clarinettes skid UF/MF</t>
  </si>
  <si>
    <t>FCA</t>
  </si>
  <si>
    <t>Parry India</t>
  </si>
  <si>
    <t>10.6682</t>
  </si>
  <si>
    <t>Débit mètre diafiltration sous air, en défaut</t>
  </si>
  <si>
    <t>PBO</t>
  </si>
  <si>
    <t>Roquette Lestrem/CTI</t>
  </si>
  <si>
    <t>CV-1103-0008</t>
  </si>
  <si>
    <t>Diamètre membrane hors spec</t>
  </si>
  <si>
    <t>After sales process</t>
  </si>
  <si>
    <t>ARD</t>
  </si>
  <si>
    <t>Pilote O-01</t>
  </si>
  <si>
    <t>Oubli envoi pièces / Pilotage</t>
  </si>
  <si>
    <t>De Smet</t>
  </si>
  <si>
    <t>10.7410</t>
  </si>
  <si>
    <t>Oubli commande rotamètre</t>
  </si>
  <si>
    <t>GTH</t>
  </si>
  <si>
    <t>FACEO</t>
  </si>
  <si>
    <t>EN2683</t>
  </si>
  <si>
    <t>Coupure électricité/Arrêt gpe froid/Chambre froide</t>
  </si>
  <si>
    <t>FACEO / E2MI</t>
  </si>
  <si>
    <t>Perçage cuve par chariot élévateur</t>
  </si>
  <si>
    <t>SMR</t>
  </si>
  <si>
    <t>CJ Indonesia-PROSEL 2</t>
  </si>
  <si>
    <t>10.8042</t>
  </si>
  <si>
    <t xml:space="preserve">Griffes for modules have not been ordered </t>
  </si>
  <si>
    <t>SOV</t>
  </si>
  <si>
    <t>JOHNSON</t>
  </si>
  <si>
    <t>10.7748</t>
  </si>
  <si>
    <t>Diamètre crépines pas respecté / plans</t>
  </si>
  <si>
    <t>IANSA</t>
  </si>
  <si>
    <t>Vérif plans / Diamètre externe de tige</t>
  </si>
  <si>
    <t>Vérification plans / connexion des soupapes</t>
  </si>
  <si>
    <t>IANSA / VAPOR INDUSTRIAL</t>
  </si>
  <si>
    <t>Pb orientation axiale fond colonne / Tuyauterie</t>
  </si>
  <si>
    <t>DCI</t>
  </si>
  <si>
    <t>Mantequerias Arias</t>
  </si>
  <si>
    <t>CV-1107-0056</t>
  </si>
  <si>
    <t>Casse mbne nette longitudinale</t>
  </si>
  <si>
    <t>DBA/DCI</t>
  </si>
  <si>
    <t>GARDOVIAL</t>
  </si>
  <si>
    <t>10.6163</t>
  </si>
  <si>
    <t>Pb de coloration / moût de raisin</t>
  </si>
  <si>
    <t>FRIENDLINK</t>
  </si>
  <si>
    <t>CRANE valves sold to NVS by FRIENDLINK</t>
  </si>
  <si>
    <t>MERSEN XIANDA</t>
  </si>
  <si>
    <t>10.8166</t>
  </si>
  <si>
    <t>Wrong size of gaskets manhole</t>
  </si>
  <si>
    <t>CJ Liaocheng Lysine</t>
  </si>
  <si>
    <t>10.8121</t>
  </si>
  <si>
    <t>Flange corrosion</t>
  </si>
  <si>
    <t>Material / Matière</t>
  </si>
  <si>
    <t>HPI</t>
  </si>
  <si>
    <t>LIVIC</t>
  </si>
  <si>
    <t>Scrapped filter does not work</t>
  </si>
  <si>
    <t>ELO</t>
  </si>
  <si>
    <t>TEREOS SYRAL / GE WATER</t>
  </si>
  <si>
    <t>CV-1107-0012</t>
  </si>
  <si>
    <t>Retard livraison</t>
  </si>
  <si>
    <t>CHP</t>
  </si>
  <si>
    <t>Scecs internes SMB</t>
  </si>
  <si>
    <t>PTT</t>
  </si>
  <si>
    <t>Mise en œuvre PTT</t>
  </si>
  <si>
    <t>Order acquirement process</t>
  </si>
  <si>
    <t>CV-1103-0058</t>
  </si>
  <si>
    <t>performance rétention / Tube perméat hors spec</t>
  </si>
  <si>
    <t>DBA</t>
  </si>
  <si>
    <t>Great Ocean Ingredients</t>
  </si>
  <si>
    <t>10.6760</t>
  </si>
  <si>
    <t>Etanchéité ramification réseau / Déformation réseau</t>
  </si>
  <si>
    <t>IER</t>
  </si>
  <si>
    <t>SMR/DBA</t>
  </si>
  <si>
    <t>BENEO ORAFTI</t>
  </si>
  <si>
    <t>10.6954</t>
  </si>
  <si>
    <t>Déformation réseau</t>
  </si>
  <si>
    <t>Finorga</t>
  </si>
  <si>
    <t>Pilote NOI-02</t>
  </si>
  <si>
    <t>Pompe Pilote alimentation fuyarde</t>
  </si>
  <si>
    <t>FRU</t>
  </si>
  <si>
    <t>ILLOVO</t>
  </si>
  <si>
    <t>10.5815</t>
  </si>
  <si>
    <t>Cales pour mbres NF non commandées ou non livrées</t>
  </si>
  <si>
    <t>Purchase</t>
  </si>
  <si>
    <t>JNJ</t>
  </si>
  <si>
    <t>Doc AQ 6.1 rev 9</t>
  </si>
  <si>
    <t>OTIME / DANISCO</t>
  </si>
  <si>
    <t>10.6506</t>
  </si>
  <si>
    <t>Tenue en pression / note de calcul</t>
  </si>
  <si>
    <t>LDU</t>
  </si>
  <si>
    <t>DANISCO</t>
  </si>
  <si>
    <t>Mise à jour / plan guide PG06</t>
  </si>
  <si>
    <t>OTIME / ORAFTI CHILI</t>
  </si>
  <si>
    <t>10.7965</t>
  </si>
  <si>
    <t xml:space="preserve"> Oubli Fabrication pièces</t>
  </si>
  <si>
    <t>DONGYAO / CTI</t>
  </si>
  <si>
    <t>10.8041</t>
  </si>
  <si>
    <t>Extrémitées membranes ébréchées</t>
  </si>
  <si>
    <t>LTR</t>
  </si>
  <si>
    <t>TTCA / SPA</t>
  </si>
  <si>
    <t>Corrosion piping rubber-lining</t>
  </si>
  <si>
    <t>Material / Matière modifié  en matériel le 20/03/12 selon nvelle déf JCR</t>
  </si>
  <si>
    <t>TEB</t>
  </si>
  <si>
    <t>RENNOVIA</t>
  </si>
  <si>
    <t>EN2712</t>
  </si>
  <si>
    <t>Projection acide</t>
  </si>
  <si>
    <t>CJ L5 LIAOCHENG / KSB</t>
  </si>
  <si>
    <t>10.8168</t>
  </si>
  <si>
    <t>Leakage mechanical sealings pumps</t>
  </si>
  <si>
    <t>Material / Matière modifié  en matériel le 13/03/12 selon nvelle déf JCR</t>
  </si>
  <si>
    <t>SCENTS / SULZER</t>
  </si>
  <si>
    <t>10.8199</t>
  </si>
  <si>
    <t>CCA</t>
  </si>
  <si>
    <t>CJ Shenyang</t>
  </si>
  <si>
    <t>10.8399</t>
  </si>
  <si>
    <t>Forgotten specification &amp; order for material</t>
  </si>
  <si>
    <t>COSUMAR / ACDN</t>
  </si>
  <si>
    <t>10.8053</t>
  </si>
  <si>
    <t>Ecart entre notre plan 3D et les tuyauteries fabriquées</t>
  </si>
  <si>
    <t>NLA</t>
  </si>
  <si>
    <t>CARGILL TURQUIE</t>
  </si>
  <si>
    <t>10.8825</t>
  </si>
  <si>
    <t>Dimensionnement viroles et oubli soupapes de sécurité au budget</t>
  </si>
  <si>
    <t>Acquisition de Cde</t>
  </si>
  <si>
    <t>CHP - NLA</t>
  </si>
  <si>
    <t>CJ Jombang Indonesia</t>
  </si>
  <si>
    <t>10.8334</t>
  </si>
  <si>
    <t>Conditioning and storage of chinese doc/delayed delivery</t>
  </si>
  <si>
    <t>NPA</t>
  </si>
  <si>
    <t>DANISCO / ONEX</t>
  </si>
  <si>
    <t>Réseaux de Chromato fuyard</t>
  </si>
  <si>
    <t>JMR</t>
  </si>
  <si>
    <t>GOI / GE</t>
  </si>
  <si>
    <t>CV-1007-0072</t>
  </si>
  <si>
    <t>50 Mbre NF moisies</t>
  </si>
  <si>
    <t>CPI</t>
  </si>
  <si>
    <t>Fisher Bioblock Scientific</t>
  </si>
  <si>
    <t>RD 2653</t>
  </si>
  <si>
    <t>Retard Livraison</t>
  </si>
  <si>
    <t>OUEST IMPORT / DIATRANS</t>
  </si>
  <si>
    <t>10.7709/ 10/7839</t>
  </si>
  <si>
    <t>Cde silex non livré</t>
  </si>
  <si>
    <t>ENSIGN / KCH</t>
  </si>
  <si>
    <t>10.8282</t>
  </si>
  <si>
    <t>Leakage on rubber lined pipes</t>
  </si>
  <si>
    <t>Ouverture CAP N° 13009</t>
  </si>
  <si>
    <t>CVO</t>
  </si>
  <si>
    <t>ADM / BRANT</t>
  </si>
  <si>
    <t>10.8590</t>
  </si>
  <si>
    <t>Diameters of holes are too large / nozzles</t>
  </si>
  <si>
    <t>Frisland / LABBE</t>
  </si>
  <si>
    <t>10.8024</t>
  </si>
  <si>
    <t>Hauteur de cellule &lt; cote</t>
  </si>
  <si>
    <t>Frisland / MTCI</t>
  </si>
  <si>
    <t>Montage échangeur à plaque sur skid</t>
  </si>
  <si>
    <t>Material / Matière modifié Manpower / Main d'œuvre le 09/07/12</t>
  </si>
  <si>
    <t>Frisland / Euroslot</t>
  </si>
  <si>
    <t>Etat surface crépines / Retard livraison</t>
  </si>
  <si>
    <t>Meihua 6</t>
  </si>
  <si>
    <t>10.8232</t>
  </si>
  <si>
    <t>Broken Membranes</t>
  </si>
  <si>
    <t>Material / Matière modifié Method le 09/07/12</t>
  </si>
  <si>
    <t>Glory</t>
  </si>
  <si>
    <t>10.8650</t>
  </si>
  <si>
    <t>Non delivery of lock nuts</t>
  </si>
  <si>
    <t>BBS</t>
  </si>
  <si>
    <t>projet STEVIA</t>
  </si>
  <si>
    <t>EN PPD</t>
  </si>
  <si>
    <t>Trouble de la vision œil gauche</t>
  </si>
  <si>
    <t>METIDJI/ACDN/OTIME</t>
  </si>
  <si>
    <t>10.7835</t>
  </si>
  <si>
    <t>Fab tube UB6 collecteur/ Fab et montage tubes de ramification</t>
  </si>
  <si>
    <t>JMR/SOV</t>
  </si>
  <si>
    <t xml:space="preserve">METIDJI </t>
  </si>
  <si>
    <t>Pb fuite clapet+montage / Pb raccord tuyauteries entre brides</t>
  </si>
  <si>
    <t>APS</t>
  </si>
  <si>
    <t>PROLACTAL</t>
  </si>
  <si>
    <t>10.8616</t>
  </si>
  <si>
    <t>Perte de charges/ non atteinte de perfomance</t>
  </si>
  <si>
    <t>APS/CHP</t>
  </si>
  <si>
    <t>SGU</t>
  </si>
  <si>
    <t>GSK Biologicals</t>
  </si>
  <si>
    <t>CV-1204-0014</t>
  </si>
  <si>
    <t>Spec des joints Kalrez / Diamètre de joints trop large</t>
  </si>
  <si>
    <t>DCI/SGU/MMA</t>
  </si>
  <si>
    <t>CARGILL TURQUIE / ACDN</t>
  </si>
  <si>
    <t>Cote entraxe de perçage de la colonne différent/plan</t>
  </si>
  <si>
    <t>JMR/MLA</t>
  </si>
  <si>
    <t>TAL</t>
  </si>
  <si>
    <t>CJ Shenyang/Technord</t>
  </si>
  <si>
    <t>Dysfonctionnement prestation automation</t>
  </si>
  <si>
    <t>RCO</t>
  </si>
  <si>
    <t>SYRAL / MTCI / ALPHA LAVAL</t>
  </si>
  <si>
    <t>10.7885</t>
  </si>
  <si>
    <t xml:space="preserve">pb de dimension et orientation de la tuyauterie/la pompe d'alimentation </t>
  </si>
  <si>
    <t>SYRAL / Alphatrad</t>
  </si>
  <si>
    <t>Mise en forme PR 06 traduit en espagnol</t>
  </si>
  <si>
    <t>GTI</t>
  </si>
  <si>
    <t>Armor Proteines</t>
  </si>
  <si>
    <t>10.7985-RD 2010-43</t>
  </si>
  <si>
    <t>Retour pilote pas nettoyé</t>
  </si>
  <si>
    <t>XDE</t>
  </si>
  <si>
    <t xml:space="preserve">PURIFONCTION / CTI </t>
  </si>
  <si>
    <t>RD 2740</t>
  </si>
  <si>
    <t xml:space="preserve">Défaut fabrication / Pièces manquantes </t>
  </si>
  <si>
    <t>JMR/MLA/SOV</t>
  </si>
  <si>
    <t>METIDJI</t>
  </si>
  <si>
    <t>Couleur sirop</t>
  </si>
  <si>
    <t>CHP/JLG</t>
  </si>
  <si>
    <t>CJ GMP2 / REYES</t>
  </si>
  <si>
    <t>10.8506</t>
  </si>
  <si>
    <t>Modification schémas électriques</t>
  </si>
  <si>
    <t>Material / Matière modifié Manpower / Main d'œuvre le 19/02/13</t>
  </si>
  <si>
    <t>SA Citrique Belge / DOW</t>
  </si>
  <si>
    <t>CV-1202-0002</t>
  </si>
  <si>
    <t>Résines teintées mauve</t>
  </si>
  <si>
    <t>DOW</t>
  </si>
  <si>
    <t>Attente retour analyse fournisseur suite reprise big bag</t>
  </si>
  <si>
    <t>Galactic</t>
  </si>
  <si>
    <t xml:space="preserve"> / ROHM HAAS</t>
  </si>
  <si>
    <t>CV-1210-0035</t>
  </si>
  <si>
    <t>Pb délai livraison résines</t>
  </si>
  <si>
    <t>ROHM HAAS</t>
  </si>
  <si>
    <t>projet NORSK</t>
  </si>
  <si>
    <t>EN CUST</t>
  </si>
  <si>
    <t xml:space="preserve">Coupure pouce/index </t>
  </si>
  <si>
    <t>JGO</t>
  </si>
  <si>
    <t>CJ US</t>
  </si>
  <si>
    <t xml:space="preserve"> / HUAMING</t>
  </si>
  <si>
    <t>10.8573</t>
  </si>
  <si>
    <t>Purchase WF / Choice of EPDM or VITON gasket</t>
  </si>
  <si>
    <t>ENSIVAL MORET</t>
  </si>
  <si>
    <t>Pb Norme moteurs IE3/Nema Premium</t>
  </si>
  <si>
    <t>HILMAR CHEESE</t>
  </si>
  <si>
    <t>EUROSOLT</t>
  </si>
  <si>
    <t>CA1206-0057/CA1207-0312</t>
  </si>
  <si>
    <t>Retard livraison / Diam des pièces hors spec + slot sales</t>
  </si>
  <si>
    <t>EUROSLOT</t>
  </si>
  <si>
    <t>Nestlé</t>
  </si>
  <si>
    <t>Purifonction/TIA</t>
  </si>
  <si>
    <t>CA1207-0279 / CA1208-0154</t>
  </si>
  <si>
    <t>TIA</t>
  </si>
  <si>
    <t>JPL</t>
  </si>
  <si>
    <t>SHUANGQIAO6</t>
  </si>
  <si>
    <t>10.9122</t>
  </si>
  <si>
    <t>MF</t>
  </si>
  <si>
    <t>Erreur affectation vannes dans coffrets locaux</t>
  </si>
  <si>
    <t>AGRANA</t>
  </si>
  <si>
    <t>HANGZHOU</t>
  </si>
  <si>
    <t>10.8755</t>
  </si>
  <si>
    <t>Griffes de fixation modules trop longues</t>
  </si>
  <si>
    <t xml:space="preserve">TTCA / ENSIGN / </t>
  </si>
  <si>
    <t>Yixing</t>
  </si>
  <si>
    <t>10.8166 - 10.8282</t>
  </si>
  <si>
    <t>Corrosion  rubber-lining columns</t>
  </si>
  <si>
    <t>dépassé</t>
  </si>
  <si>
    <t>CJ GMP2</t>
  </si>
  <si>
    <t>COMPOSITES VEC</t>
  </si>
  <si>
    <t>Certificat ACS de crépines non fournit</t>
  </si>
  <si>
    <t>JINLONG</t>
  </si>
  <si>
    <t>Deviation on box assembly</t>
  </si>
  <si>
    <t>ADM Columbus</t>
  </si>
  <si>
    <t>EPDM gaskets are not food grade</t>
  </si>
  <si>
    <t>MEIHUA</t>
  </si>
  <si>
    <t>CTI</t>
  </si>
  <si>
    <t>CV-1210-0073</t>
  </si>
  <si>
    <t>UF</t>
  </si>
  <si>
    <t>Défaufts d'aspect mbres Kerasep BW 150 KD</t>
  </si>
  <si>
    <t>CV-1210-0003</t>
  </si>
  <si>
    <t>Casses membranes en extrémité</t>
  </si>
  <si>
    <t>/BURKERT</t>
  </si>
  <si>
    <t>Nombre d'électrovannes assemblés dans îlot</t>
  </si>
  <si>
    <t>BURKERT</t>
  </si>
  <si>
    <t>MBY</t>
  </si>
  <si>
    <t>GOS SWW</t>
  </si>
  <si>
    <t>Brûlure doigts main gauche</t>
  </si>
  <si>
    <t>Couleur sirop et capacité nominale non atteinte</t>
  </si>
  <si>
    <t>LLR</t>
  </si>
  <si>
    <t>CA-1304-0265</t>
  </si>
  <si>
    <t>pb  organisation gestion des réappro</t>
  </si>
  <si>
    <t>Roquette</t>
  </si>
  <si>
    <t>ACDN</t>
  </si>
  <si>
    <t>1941/10.8947</t>
  </si>
  <si>
    <t>Erreur de côtes sur plan de détail</t>
  </si>
  <si>
    <t xml:space="preserve">Prolactal </t>
  </si>
  <si>
    <t>1954/10.8787</t>
  </si>
  <si>
    <t>Erreurs chaudronnerie</t>
  </si>
  <si>
    <t>Prolactal</t>
  </si>
  <si>
    <t>Limite de fourniture/ Retard</t>
  </si>
  <si>
    <t>API Schmidt</t>
  </si>
  <si>
    <t xml:space="preserve">Retard livraison </t>
  </si>
  <si>
    <t>API SCHMIDT</t>
  </si>
  <si>
    <t>N&amp;A</t>
  </si>
  <si>
    <t>CV-1301 0016</t>
  </si>
  <si>
    <t>fuite enveloppe K19</t>
  </si>
  <si>
    <t>GOI</t>
  </si>
  <si>
    <t>CV-1210-0040</t>
  </si>
  <si>
    <t>Big bag résine percé</t>
  </si>
  <si>
    <t>Quantum II/</t>
  </si>
  <si>
    <t>LANXESS</t>
  </si>
  <si>
    <t>10.8364</t>
  </si>
  <si>
    <t>couleur résines, pigment, pb hydrolyse FOS</t>
  </si>
  <si>
    <t xml:space="preserve">Galactic / </t>
  </si>
  <si>
    <t>CV-1301-0006</t>
  </si>
  <si>
    <t>Conditionnement résines</t>
  </si>
  <si>
    <t>HEC PHARMA</t>
  </si>
  <si>
    <t>CV-1303-0091</t>
  </si>
  <si>
    <t>Pb expédition groupage Chine</t>
  </si>
  <si>
    <t>GSK Bio Hamilton (NVS Inc)</t>
  </si>
  <si>
    <t>CV-1305-0061</t>
  </si>
  <si>
    <t>Casse de 21 membranes à réception</t>
  </si>
  <si>
    <t>palettes plastiques cassées/ tordues</t>
  </si>
  <si>
    <t>CJ USA/</t>
  </si>
  <si>
    <t>CV-1212-0055</t>
  </si>
  <si>
    <t>Big bag résine déchiré</t>
  </si>
  <si>
    <t>CAP 14002</t>
  </si>
  <si>
    <t>CV-1301-0055</t>
  </si>
  <si>
    <t>Emballage résines moisies à réception</t>
  </si>
  <si>
    <t>DIATRANS</t>
  </si>
  <si>
    <t>nvelle expé GOI fin 14, à faire début 2015 à récept° client</t>
  </si>
  <si>
    <t>FMG</t>
  </si>
  <si>
    <t>CV-1308-0033</t>
  </si>
  <si>
    <t xml:space="preserve">pb livraison : conditionnement détérioré </t>
  </si>
  <si>
    <t>VITALUS</t>
  </si>
  <si>
    <t>AJO-0239</t>
  </si>
  <si>
    <t>IEX/NF/OI</t>
  </si>
  <si>
    <t>Validation RC3, offre 20-9825-0</t>
  </si>
  <si>
    <t>R&amp;D</t>
  </si>
  <si>
    <t xml:space="preserve">Tereos Roumanie / </t>
  </si>
  <si>
    <t>Moret</t>
  </si>
  <si>
    <t>1959/10.9292</t>
  </si>
  <si>
    <t>Retard de livraison</t>
  </si>
  <si>
    <t>MORET</t>
  </si>
  <si>
    <t>CARGILL Russie</t>
  </si>
  <si>
    <t>1936/10.8526</t>
  </si>
  <si>
    <t>Incompatibilité norme brides</t>
  </si>
  <si>
    <t>CJ USA</t>
  </si>
  <si>
    <t>1931/10.8573</t>
  </si>
  <si>
    <t>Erreur modélisation colonne</t>
  </si>
  <si>
    <t xml:space="preserve">CJ USA </t>
  </si>
  <si>
    <t>SPA</t>
  </si>
  <si>
    <t>Défauts d'ébonitage sur colonnes</t>
  </si>
  <si>
    <t>ANGEL 2</t>
  </si>
  <si>
    <t>1933/10.8771</t>
  </si>
  <si>
    <t>Qualité de condensat</t>
  </si>
  <si>
    <t>Fengning/</t>
  </si>
  <si>
    <t>1938/10.8392</t>
  </si>
  <si>
    <t>Problème acidité résine</t>
  </si>
  <si>
    <t>WWE</t>
  </si>
  <si>
    <t>CARGILL (Spain/Russie)</t>
  </si>
  <si>
    <t>10.9310/10.8526</t>
  </si>
  <si>
    <t>pb orientation entrée/sortie produit sur colonne</t>
  </si>
  <si>
    <t>Sunoko2/</t>
  </si>
  <si>
    <t xml:space="preserve"> SDV</t>
  </si>
  <si>
    <t>A7629/10.9263</t>
  </si>
  <si>
    <t>SDV</t>
  </si>
  <si>
    <t>ZUOYAN/</t>
  </si>
  <si>
    <t>A7307/10.9602</t>
  </si>
  <si>
    <t>Détérioration de big bag lors de l'empotage</t>
  </si>
  <si>
    <t>After sales</t>
  </si>
  <si>
    <t xml:space="preserve">MEIHUA / </t>
  </si>
  <si>
    <t>NA</t>
  </si>
  <si>
    <t>CV-1310-0020</t>
  </si>
  <si>
    <t>PMP Purchase</t>
  </si>
  <si>
    <t>Suivi réception 20 nvelles mbres par NVS Asia/client final</t>
  </si>
  <si>
    <t>\\srvwork\AQHSE\1-FICHES_CAP\CAP_EMISES 2014\14001 Syral.doc</t>
  </si>
  <si>
    <t xml:space="preserve">TEREOS SYRAL / </t>
  </si>
  <si>
    <t>GE</t>
  </si>
  <si>
    <t>CV-1304-0074</t>
  </si>
  <si>
    <t>Performances/Déformations membranes NF</t>
  </si>
  <si>
    <t>A faire 9 mois après MES NF3, au 28/11 (5 mois après) ça tourne bien</t>
  </si>
  <si>
    <t>\\srvwork\AQHSE\1-FICHES_CAP\CAP_EMISES 2014\14002 CJ US Big bag résine déchiré.doc</t>
  </si>
  <si>
    <t>LANXESS / SDV</t>
  </si>
  <si>
    <t xml:space="preserve"> 1 Big bag résine déchiré</t>
  </si>
  <si>
    <t>logistic</t>
  </si>
  <si>
    <t>Nvelle livraison BB Lanxess pour  CJ fin sept.</t>
  </si>
  <si>
    <t>\\srvwork\AQHSE\1-FICHES_CAP\CAP_EMISES 2014\14003 De Smet fonctionnement skid NF.doc</t>
  </si>
  <si>
    <t>De Smet Yemen</t>
  </si>
  <si>
    <t>1872/10.7410</t>
  </si>
  <si>
    <t>Fonctionnement skid NF (débit perméat élevé)</t>
  </si>
  <si>
    <t>IER : démarrage prdt</t>
  </si>
  <si>
    <t>Purchase mbre SMB</t>
  </si>
  <si>
    <t>ALTING</t>
  </si>
  <si>
    <t>Mise en route nvelle unité NF en NP30 OK, fonctionnement hydraulique correct.</t>
  </si>
  <si>
    <t>\\srvwork\AQHSE\1-FICHES_CAP\CAP_EMISES 2014\14004 CARGILL Russie valves damages.doc</t>
  </si>
  <si>
    <t>Dommages sur vannes papillon</t>
  </si>
  <si>
    <t>IER : CTR récept°</t>
  </si>
  <si>
    <t>Purchase :CTR fnr</t>
  </si>
  <si>
    <t>Suivre ADM project (SOV)</t>
  </si>
  <si>
    <t>\\srvwork\AQHSE\1-FICHES_CAP\CAP_EMISES 2014\14005 CJ US piping leakage.doc</t>
  </si>
  <si>
    <t>Fuites sur tuyauterie ébonitée</t>
  </si>
  <si>
    <t>Purchase : CTR fnr</t>
  </si>
  <si>
    <t>\\srvwork\AQHSE\1-FICHES_CAP\CAP_EMISES 2014\14006 BETA retard mise à disposiiton colonnes pour BMA.doc</t>
  </si>
  <si>
    <t>ExRTH</t>
  </si>
  <si>
    <t>BMA</t>
  </si>
  <si>
    <t>BETA</t>
  </si>
  <si>
    <t>1971/10.9517</t>
  </si>
  <si>
    <t>Retard mise à disposition colonnes</t>
  </si>
  <si>
    <t>Reception at supplier</t>
  </si>
  <si>
    <t>\\srvwork\AQHSE\1-FICHES_CAP\CAP_EMISES 2014\14007 Vitalus.doc</t>
  </si>
  <si>
    <t>Résultats essais non exploitables</t>
  </si>
  <si>
    <t xml:space="preserve"> Réussite Vilatus2, cde basic design</t>
  </si>
  <si>
    <t>\\srvwork\AQHSE\1-FICHES_CAP\CAP_EMISES 2014\14008 Nestlé.doc</t>
  </si>
  <si>
    <t>NESTLE CHILI</t>
  </si>
  <si>
    <t>CV 1211 -0008</t>
  </si>
  <si>
    <t>trous en surface couche 150 KD</t>
  </si>
  <si>
    <t>\\srvwork\AQHSE\1-FICHES_CAP\CAP_EMISES 2014\14009 RZBC.doc</t>
  </si>
  <si>
    <t>RZBC</t>
  </si>
  <si>
    <t>10.9131</t>
  </si>
  <si>
    <t>IEX/CA/SSMB</t>
  </si>
  <si>
    <t>cracks on rubber lining columns</t>
  </si>
  <si>
    <t>Reception</t>
  </si>
  <si>
    <t xml:space="preserve"> en sept. 14  (après 3 mois de fonctionnement)</t>
  </si>
  <si>
    <t>\\srvwork\AQHSE\1-FICHES_CAP\CAP_EMISES 2014\14010 Zuoyan SDV Resin label.doc</t>
  </si>
  <si>
    <t>ZUOYAN</t>
  </si>
  <si>
    <t>1968/10.9680</t>
  </si>
  <si>
    <t xml:space="preserve">démarquage résines </t>
  </si>
  <si>
    <t>Logistic</t>
  </si>
  <si>
    <t>\\srvwork\AQHSE\1-FICHES_CAP\CAP_EMISES 2014\14011 EVONIK Fermas.doc</t>
  </si>
  <si>
    <t>EVONIK FERMAS</t>
  </si>
  <si>
    <t>CV-1301-0011</t>
  </si>
  <si>
    <t>Flèche et casse mbre Kerasep</t>
  </si>
  <si>
    <t>audit PBO/SGU réalisé 14 au 16/10/14 conseil sur CIP</t>
  </si>
  <si>
    <t>\\srvwork\AQHSE\1-FICHES_CAP\CAP_EMISES 2014\14012 GOS4-ACDN.doc</t>
  </si>
  <si>
    <t>GOS4</t>
  </si>
  <si>
    <t>1965/10.9245</t>
  </si>
  <si>
    <t>fourniture de joints non pleine bride</t>
  </si>
  <si>
    <t>\\srvwork\AQHSE\1-FICHES_CAP\CAP_EMISES 2014\14013 GOS4-CH06.doc</t>
  </si>
  <si>
    <t>erreur de plans ramification</t>
  </si>
  <si>
    <t>Meca Design</t>
  </si>
  <si>
    <t>\\srvwork\AQHSE\1-FICHES_CAP\CAP_EMISES 2014\14014 GOS4-ICP.doc</t>
  </si>
  <si>
    <t>GOS4/</t>
  </si>
  <si>
    <t>ICP</t>
  </si>
  <si>
    <t>défaut épaisseur ébonitage /regards</t>
  </si>
  <si>
    <t>\\srvwork\AQHSE\1-FICHES_CAP\CAP_EMISES 2014\14015 GOS4- Plastexel.doc</t>
  </si>
  <si>
    <t>Plastexel</t>
  </si>
  <si>
    <t>Abs. trous fixation regards</t>
  </si>
  <si>
    <t>\\srvwork\AQHSE\1-FICHES_CAP\CAP_EMISES 2014\14016 Ingredion.doc</t>
  </si>
  <si>
    <t>LZE</t>
  </si>
  <si>
    <t>Ingredion/</t>
  </si>
  <si>
    <t xml:space="preserve"> Cole Parmer</t>
  </si>
  <si>
    <t>AVO-13-0096</t>
  </si>
  <si>
    <t>Pompe HS sur pilote SSMB</t>
  </si>
  <si>
    <t>NVS INC</t>
  </si>
  <si>
    <t>\\srvwork\AQHSE\1-FICHES_CAP\CAP_EMISES 2014\14017 ADM Network design.doc</t>
  </si>
  <si>
    <t>ADM</t>
  </si>
  <si>
    <t xml:space="preserve">10.8754 </t>
  </si>
  <si>
    <t>mixed bed top networks design</t>
  </si>
  <si>
    <t>Au 30/10 : OK pas de nouveau pb, vérification plans par SOV</t>
  </si>
  <si>
    <t>\\srvwork\AQHSE\1-FICHES_CAP\CAP_EMISES 2014\14018 ASR Qtity and dimensions fasteners.doc</t>
  </si>
  <si>
    <t>ASR</t>
  </si>
  <si>
    <t>10.9470</t>
  </si>
  <si>
    <t xml:space="preserve">fasteners qtity and dimensions of mixed beds </t>
  </si>
  <si>
    <t>au 30/10/14 : en cours avec LPR, tableau à finaliser, std à identifier</t>
  </si>
  <si>
    <t>\\srvwork\AQHSE\1-FICHES_CAP\CAP_EMISES 2014\14019 Zuoyan Strainers tightening.doc</t>
  </si>
  <si>
    <t>strainers tightening</t>
  </si>
  <si>
    <t>au 30/10/14 : en Chine pas de prémontage, la cale est intégrée dans nos plans std, SOV demande à Chine de faire de même.</t>
  </si>
  <si>
    <t>\\srvwork\AQHSE\1-FICHES_CAP\CAP_EMISES 2014\14020 Cevital ébonite crépine NF.doc</t>
  </si>
  <si>
    <t>NCH</t>
  </si>
  <si>
    <t xml:space="preserve">CEVITAL </t>
  </si>
  <si>
    <t>10.6499</t>
  </si>
  <si>
    <t>dégradation ébonite/casse crépine</t>
  </si>
  <si>
    <t>Afaire en Nov suite MES extension avec nvelle crépine (cylindrique/conique)</t>
  </si>
  <si>
    <t>\\srvwork\AQHSE\1-FICHES_CAP\CAP_EMISES 2014\14021 Olmedo ébonite NF.doc</t>
  </si>
  <si>
    <t>TEREOS OLMEDO</t>
  </si>
  <si>
    <t>10.7690</t>
  </si>
  <si>
    <t>arrachement ébonite interne colonne</t>
  </si>
  <si>
    <t>Vieillissement colonnes</t>
  </si>
  <si>
    <t>\\srvwork\AQHSE\1-FICHES_CAP\CAP_EMISES 2014\14022 Pièces de NF Knappe.doc</t>
  </si>
  <si>
    <t>CEVITAL</t>
  </si>
  <si>
    <t>KNAPPE</t>
  </si>
  <si>
    <t>10.6499 / 10.7690</t>
  </si>
  <si>
    <t>déformation collecteur perméat NF / corrosion bague alu des TP</t>
  </si>
  <si>
    <t>Meca Design /Purchase</t>
  </si>
  <si>
    <t>CAP 15015</t>
  </si>
  <si>
    <t>\\srvwork\AQHSE\1-FICHES_CAP\CAP_EMISES 2014\14023 SUNOKO.doc</t>
  </si>
  <si>
    <t>SUNOKO</t>
  </si>
  <si>
    <t>Dupont</t>
  </si>
  <si>
    <t>1953/10.9263</t>
  </si>
  <si>
    <t>non atteinte de la capacité contractuelle</t>
  </si>
  <si>
    <t>DuPont</t>
  </si>
  <si>
    <t>CCA/NPA</t>
  </si>
  <si>
    <t>A faire 10/16</t>
  </si>
  <si>
    <t>\\srvwork\AQHSE\1-FICHES_CAP\CAP_EMISES 2014\14024 Accdt PWT.doc</t>
  </si>
  <si>
    <t>CPT</t>
  </si>
  <si>
    <t>Service IT</t>
  </si>
  <si>
    <t>Chute escalier suite malaise</t>
  </si>
  <si>
    <t>IT</t>
  </si>
  <si>
    <t>\\srvwork\AQHSE\1-FICHES_CAP\CAP_EMISES 2014\14025 ADM Lanxess Problèmes livraison inerte.doc</t>
  </si>
  <si>
    <t xml:space="preserve">ADM </t>
  </si>
  <si>
    <t>1984/10.9728</t>
  </si>
  <si>
    <t>Problèmes livraison inerte</t>
  </si>
  <si>
    <t>\\srvwork\AQHSE\1-FICHES_CAP\CAP_EMISES 2014\14026 Dow Problèmes livraison résines.doc</t>
  </si>
  <si>
    <t xml:space="preserve">Conaprole - VRS </t>
  </si>
  <si>
    <t xml:space="preserve">1980/10.9726 </t>
  </si>
  <si>
    <t>Problèmes livraison résines</t>
  </si>
  <si>
    <t>voir CAP14038</t>
  </si>
  <si>
    <t>\\srvwork\AQHSE\1-FICHES_CAP\CAP_EMISES 2014\14027 Tanichem - Jinlong.doc</t>
  </si>
  <si>
    <t xml:space="preserve">Tanichem </t>
  </si>
  <si>
    <t xml:space="preserve"> Wuxi Jinlong</t>
  </si>
  <si>
    <t>10.8531</t>
  </si>
  <si>
    <t>Erreur dimensions bride de tampon (GB Code / ASME)</t>
  </si>
  <si>
    <t>\\srvwork\AQHSE\1-FICHES_CAP\CAP_EMISES 2014\14028 CONAPROLE TUYAUTERIE NON FABRIQUEE.doc</t>
  </si>
  <si>
    <t>Conaprole</t>
  </si>
  <si>
    <t>STCL</t>
  </si>
  <si>
    <t>10.9726</t>
  </si>
  <si>
    <t>tuyauteries entrée lavage manquantes</t>
  </si>
  <si>
    <t>\\srvwork\AQHSE\1-FICHES_CAP\CAP_EMISES 2014\14029 CEVITAL démarrage extension.doc</t>
  </si>
  <si>
    <t>RTH</t>
  </si>
  <si>
    <t>Cevital</t>
  </si>
  <si>
    <t>1952/10.8259</t>
  </si>
  <si>
    <t>Durée d'arrêt raffinerie - redémarrage</t>
  </si>
  <si>
    <t>AEI Design</t>
  </si>
  <si>
    <t>\\srvwork\AQHSE\1-FICHES_CAP\CAP_EMISES 2014\14030 GE Absence retard ARCs BLs.doc</t>
  </si>
  <si>
    <t>Absence/retard systématique d'ARCs et B/Ls</t>
  </si>
  <si>
    <t>\\srvwork\AQHSE\1-FICHES_CAP\CAP_EMISES 2014\14031 Tableur glucoserie.doc</t>
  </si>
  <si>
    <t>AME</t>
  </si>
  <si>
    <t>ALMASIRAH</t>
  </si>
  <si>
    <t>offre 20.10129</t>
  </si>
  <si>
    <t>Erreur calcul conso électrique glucoserie</t>
  </si>
  <si>
    <t>Chiffrage Procédé</t>
  </si>
  <si>
    <t>\\srvwork\AQHSE\1-FICHES_CAP\CAP_EMISES 2014\14032 SUNOKO Spider.doc</t>
  </si>
  <si>
    <t xml:space="preserve">SUNOKO </t>
  </si>
  <si>
    <t>Ziyou</t>
  </si>
  <si>
    <t>Fuite sur tuyauterie de distribution (araignée)</t>
  </si>
  <si>
    <t>IER : concept° Etude Méca</t>
  </si>
  <si>
    <t>Purchase NVS Asia</t>
  </si>
  <si>
    <t>\\srvwork\AQHSE\1-FICHES_CAP\CAP_EMISES 2014\14033 ENSIVAL_MORET.doc</t>
  </si>
  <si>
    <t>SML</t>
  </si>
  <si>
    <t xml:space="preserve"> ENSIVAL MORET</t>
  </si>
  <si>
    <t>Ampérage moteurs des pompes excessif</t>
  </si>
  <si>
    <t>\\srvwork\AQHSE\1-FICHES_CAP\CAP_EMISES 2014\14034 SUNOKO Columns.doc</t>
  </si>
  <si>
    <t>Greens</t>
  </si>
  <si>
    <t>Fuite sur tampon trou d'homme d'entrée réseau (colonnes)</t>
  </si>
  <si>
    <t>\\srvwork\AQHSE\1-FICHES_CAP\CAP_EMISES 2014\14035  SUNOKO Grids.doc</t>
  </si>
  <si>
    <t xml:space="preserve">Déformation grille sur réseau (intérieur colonne) </t>
  </si>
  <si>
    <t>\\srvwork\AQHSE\1-FICHES_CAP\CAP_EMISES 2014\14036 Sanofi Chimie Aramon Carbosep.doc</t>
  </si>
  <si>
    <t>Sanofi Chimie Aramon</t>
  </si>
  <si>
    <t>contrat carbosep</t>
  </si>
  <si>
    <t>CARBOSEP</t>
  </si>
  <si>
    <t>erreur stock membranes réservées</t>
  </si>
  <si>
    <t>Supply Chain PMP</t>
  </si>
  <si>
    <t>\\srvwork\AQHSE\1-FICHES_CAP\CAP_EMISES 2014\14037  SENSUS essais PPD.doc</t>
  </si>
  <si>
    <t>VGA</t>
  </si>
  <si>
    <t>SENSUS</t>
  </si>
  <si>
    <t>EN 2894</t>
  </si>
  <si>
    <t xml:space="preserve">retard essais PPD </t>
  </si>
  <si>
    <t>\\srvwork\AQHSE\1-FICHES_CAP\CAP_EMISES 2014\14038 Armor Protéines Retard livraison résine.doc</t>
  </si>
  <si>
    <t xml:space="preserve">Armor Proteines </t>
  </si>
  <si>
    <t>CV-1410-0028</t>
  </si>
  <si>
    <t>Retard de livraison résine</t>
  </si>
  <si>
    <t>voir CAP15018</t>
  </si>
  <si>
    <t>\\srvwork\AQHSE\1-FICHES_CAP\CAP_EMISES 2015\15001 Solanic dimensions trou d'homme.doc</t>
  </si>
  <si>
    <t xml:space="preserve">Solanic </t>
  </si>
  <si>
    <t>Dimensions trous d'homme cuve back wash</t>
  </si>
  <si>
    <t>\\srvwork\AQHSE\1-FICHES_CAP\CAP_EMISES 2015\15002 Solanic - CTI.doc</t>
  </si>
  <si>
    <t>Solanic</t>
  </si>
  <si>
    <t xml:space="preserve"> CTI</t>
  </si>
  <si>
    <t>Absence Pression d'air / marquage colonnes</t>
  </si>
  <si>
    <t>\\srvwork\AQHSE\1-FICHES_CAP\CAP_EMISES 2015\15003 Solanic - MTCI.doc</t>
  </si>
  <si>
    <t>MTCI</t>
  </si>
  <si>
    <t xml:space="preserve">Erreur diamètre tuyauterie skids </t>
  </si>
  <si>
    <t>\\srvwork\AQHSE\1-FICHES_CAP\CAP_EMISES 2015\15004 TUNISIE SUCRE.doc</t>
  </si>
  <si>
    <t>Tunisie sucre</t>
  </si>
  <si>
    <t>Pompe neutralisation endommagée</t>
  </si>
  <si>
    <t>CS</t>
  </si>
  <si>
    <t xml:space="preserve">Jungbunzlauer </t>
  </si>
  <si>
    <t>CV-1411-0052</t>
  </si>
  <si>
    <t>Défaut longueur d'étanchement mbre Kerasep</t>
  </si>
  <si>
    <t>pas de nvelle cde Kerasep</t>
  </si>
  <si>
    <t>\\srvwork\AQHSE\1-FICHES_CAP\CAP_EMISES 2015\15006 Tereos - GE joints NF.doc</t>
  </si>
  <si>
    <t xml:space="preserve">TEREOS NESLE </t>
  </si>
  <si>
    <t>CA 13040375</t>
  </si>
  <si>
    <t>Joints plus larges sur 20 éléments</t>
  </si>
  <si>
    <t>\\srvwork\AQHSE\1-FICHES_CAP\CAP_EMISES 2015\15007 ADM venting nozzle orientation.doc</t>
  </si>
  <si>
    <t>Conflit entre évent et réseau intérieur colonne</t>
  </si>
  <si>
    <t>\\srvwork\AQHSE\1-FICHES_CAP\CAP_EMISES 2015\15008 Cevital fuite sur colonne de décoloration.doc</t>
  </si>
  <si>
    <t xml:space="preserve">Cevital </t>
  </si>
  <si>
    <t>Green / SPA</t>
  </si>
  <si>
    <t>Decolo</t>
  </si>
  <si>
    <t>Fuite sur colonne de décoloration</t>
  </si>
  <si>
    <t>Purchase NVSA</t>
  </si>
  <si>
    <t>ExFLU/PGA</t>
  </si>
  <si>
    <t>A faire 02/17</t>
  </si>
  <si>
    <t xml:space="preserve"> après mise en sce</t>
  </si>
  <si>
    <t>\\srvwork\AQHSE\1-FICHES_CAP\CAP_EMISES 2015\15009 ADM DIT length.doc</t>
  </si>
  <si>
    <t xml:space="preserve"> Endress Hauser</t>
  </si>
  <si>
    <t>erreur longueur DIT</t>
  </si>
  <si>
    <t>\\srvwork\AQHSE\1-FICHES_CAP\CAP_EMISES 2015\15010 Bioamber columns lining leaks.doc</t>
  </si>
  <si>
    <t>Bioamber</t>
  </si>
  <si>
    <t>KCH</t>
  </si>
  <si>
    <t>hard rubber lining leaks</t>
  </si>
  <si>
    <t>A faire 12/16</t>
  </si>
  <si>
    <t>à l'issue litige juridique</t>
  </si>
  <si>
    <t>\\srvwork\AQHSE\1-FICHES_CAP\CAP_EMISES 2015\15011 Bioamber Backwash tank.doc</t>
  </si>
  <si>
    <t>no backwash tank on PID</t>
  </si>
  <si>
    <t>\\srvwork\AQHSE\1-FICHES_CAP\CAP_EMISES 2015\15012 Central Romana.doc</t>
  </si>
  <si>
    <t>FBU</t>
  </si>
  <si>
    <t>STP</t>
  </si>
  <si>
    <t>Central Romana</t>
  </si>
  <si>
    <t>Ecart nbre de pompe figurant dans l'offre/fourni</t>
  </si>
  <si>
    <t>\\srvwork\AQHSE\1-FICHES_CAP\CAP_EMISES 2015\15013 GSK Hamilton Etanchement mbre.doc</t>
  </si>
  <si>
    <t>CV-1309-0087</t>
  </si>
  <si>
    <t>Tenue étanchement mbre kerasep</t>
  </si>
  <si>
    <t>Cancelled</t>
  </si>
  <si>
    <t>\\srvwork\AQHSE\1-FICHES_CAP\CAP_EMISES 2015\15014 Arab Sweeteners.doc</t>
  </si>
  <si>
    <t>Arab Sweeteners</t>
  </si>
  <si>
    <t>CPL</t>
  </si>
  <si>
    <t>erreur estimatif OPEX</t>
  </si>
  <si>
    <t>\\srvwork\AQHSE\1-FICHES_CAP\CAP_EMISES 2015\15015 Tunisie Sucre bouchon tubes de pression.doc</t>
  </si>
  <si>
    <t>10.6835</t>
  </si>
  <si>
    <t>Déformation bouchon Tube de pression</t>
  </si>
  <si>
    <t>bouchons inox OK</t>
  </si>
  <si>
    <t>\\srvwork\AQHSE\1-FICHES_CAP\CAP_EMISES 2015\15016 Sofivo.doc</t>
  </si>
  <si>
    <t>Sofivo</t>
  </si>
  <si>
    <t>MEGA</t>
  </si>
  <si>
    <t>CV-1502-0077</t>
  </si>
  <si>
    <t>Aspect visuel et fonctionnement stacks neufs</t>
  </si>
  <si>
    <t>Nvelle cde à livrer S27 2016</t>
  </si>
  <si>
    <t>\\srvwork\AQHSE\1-FICHES_CAP\CAP_EMISES 2015\15017 Sedamyl.doc</t>
  </si>
  <si>
    <t>SEDAMYL</t>
  </si>
  <si>
    <t>cv 1502-0012</t>
  </si>
  <si>
    <t>Emballage abimé</t>
  </si>
  <si>
    <t>\\srvwork\AQHSE\1-FICHES_CAP\CAP_EMISES 2015\15018 Sunpaper.doc</t>
  </si>
  <si>
    <t xml:space="preserve">Sunpaper </t>
  </si>
  <si>
    <t>CHR</t>
  </si>
  <si>
    <t>Retard livraison résine</t>
  </si>
  <si>
    <t>\\srvwork\AQHSE\1-FICHES_CAP\CAP_EMISES 2015\15019 Solanic Tuyauterie.doc</t>
  </si>
  <si>
    <t>Alignement tuyauterie</t>
  </si>
  <si>
    <t>\\srvwork\AQHSE\1-FICHES_CAP\CAP_EMISES 2015\15020 Solanic Joint.doc</t>
  </si>
  <si>
    <t>Joint sur-contraints</t>
  </si>
  <si>
    <t>\\srvwork\AQHSE\1-FICHES_CAP\CAP_EMISES 2015\15021 Solanic Volume mort.doc</t>
  </si>
  <si>
    <t>Vidangeabilité tuyauterie</t>
  </si>
  <si>
    <t>\\srvwork\AQHSE\1-FICHES_CAP\CAP_EMISES 2015\15022 Al Masirah Cation column internal support conflict.doc</t>
  </si>
  <si>
    <t>conflicts between strainer support and sight glass</t>
  </si>
  <si>
    <t>\\srvwork\AQHSE\1-FICHES_CAP\CAP_EMISES 2015\15023 Al Masirah IEX column nozzles plate.doc</t>
  </si>
  <si>
    <t>noozles arrangement (conflict with head)</t>
  </si>
  <si>
    <t>\\srvwork\AQHSE\1-FICHES_CAP\CAP_EMISES 2015\15024  joints_Maagtechnic.docx</t>
  </si>
  <si>
    <t>Shunangqiao5</t>
  </si>
  <si>
    <t>MAAGTECHNIC</t>
  </si>
  <si>
    <t>défaut joints EPDM</t>
  </si>
  <si>
    <t>Maagtechnic</t>
  </si>
  <si>
    <t>après mise en route installation</t>
  </si>
  <si>
    <t>\\srvwork\AQHSE\1-FICHES_CAP\CAP_EMISES 2015\15025 CENTRAL ROMANA isometric drawing.doc</t>
  </si>
  <si>
    <t>PLASTICON</t>
  </si>
  <si>
    <t>Pb front piping assembly</t>
  </si>
  <si>
    <t>Plasticon</t>
  </si>
  <si>
    <t>Après montage installation</t>
  </si>
  <si>
    <t>\\srvwork\AQHSE\1-FICHES_CAP\CAP_EMISES 2015\15026 Scents EL drawings.doc</t>
  </si>
  <si>
    <t>Scents</t>
  </si>
  <si>
    <t>Wiring and EL drawings updated</t>
  </si>
  <si>
    <t>\\srvwork\AQHSE\1-FICHES_CAP\CAP_EMISES 2015\15027 SUNOKO TRISLOT.doc</t>
  </si>
  <si>
    <t xml:space="preserve">Sunoko </t>
  </si>
  <si>
    <t>TRISLOT</t>
  </si>
  <si>
    <t>Default slot distribution grids floor</t>
  </si>
  <si>
    <t>Site acceptance</t>
  </si>
  <si>
    <t>Filtr'action</t>
  </si>
  <si>
    <t>attente livraison nvelle colonne</t>
  </si>
  <si>
    <t>\\srvwork\AQHSE\1-FICHES_CAP\CAP_EMISES 2015\15028 Tetrapack- raccords SMS.doc</t>
  </si>
  <si>
    <t xml:space="preserve">TetraPak </t>
  </si>
  <si>
    <t>SMS diameter fitting</t>
  </si>
  <si>
    <t>\\srvwork\AQHSE\1-FICHES_CAP\CAP_EMISES 2015\15029 ASR gasket.doc</t>
  </si>
  <si>
    <t>WUXI JINLONG</t>
  </si>
  <si>
    <t>Characteristics gasket column</t>
  </si>
  <si>
    <t>DBA/SMR</t>
  </si>
  <si>
    <t>\\srvwork\AQHSE\1-FICHES_CAP\CAP_EMISES 2015\15030 Meihua 6.doc</t>
  </si>
  <si>
    <t>MEIHUA 6</t>
  </si>
  <si>
    <t>CV-1410-0027/0048</t>
  </si>
  <si>
    <t>Abrasion 0,1 µ membrane</t>
  </si>
  <si>
    <t>\\srvwork\AQHSE\1-FICHES_CAP\CAP_EMISES 2015\15031 Conaprole.doc</t>
  </si>
  <si>
    <t>PGA</t>
  </si>
  <si>
    <t>Communication dysfonctionning - Lack of documents transmission</t>
  </si>
  <si>
    <t>\\srvwork\AQHSE\1-FICHES_CAP\CAP_EMISES 2015\15032 PT SUJ Sand filter nozzles.doc</t>
  </si>
  <si>
    <t>TFR</t>
  </si>
  <si>
    <t xml:space="preserve">PT SUJ2 </t>
  </si>
  <si>
    <t>Lianyungang</t>
  </si>
  <si>
    <t>Nozzles length/sand filter floor thickness</t>
  </si>
  <si>
    <t>\\srvwork\AQHSE\1-FICHES_CAP\CAP_EMISES 2015\15033 Tetrapack Erreur AU02.doc</t>
  </si>
  <si>
    <t>TETRAPACK</t>
  </si>
  <si>
    <t>Erreur dans AU02</t>
  </si>
  <si>
    <t>\\srvwork\AQHSE\1-FICHES_CAP\CAP_EMISES 2015\15034 CONAPROLE Cablage client avec  mauvais schémas électriques.doc</t>
  </si>
  <si>
    <t xml:space="preserve">Conaprole </t>
  </si>
  <si>
    <t>BOSSARD</t>
  </si>
  <si>
    <t>Non diffusion dernière révision schéma électrique</t>
  </si>
  <si>
    <t>\\srvwork\AQHSE\1-FICHES_CAP\CAP_EMISES 2015\15035 Diffusion schémas électriques pour cablage client.doc</t>
  </si>
  <si>
    <t>Service AEI</t>
  </si>
  <si>
    <t>Diffusion client révisions schémas électriques</t>
  </si>
  <si>
    <t>\\srvwork\AQHSE\1-FICHES_CAP\CAP_EMISES 2015\15036 BBCA performance issue.doc</t>
  </si>
  <si>
    <t>ExLGR</t>
  </si>
  <si>
    <t>BBCA</t>
  </si>
  <si>
    <t>contractual performance not achieved (CA recovery)</t>
  </si>
  <si>
    <t>LGR/SMR</t>
  </si>
  <si>
    <t>pas de volonté du client de mettre en œuvre plan d'action NVS</t>
  </si>
  <si>
    <t>\\srvwork\AQHSE\1-FICHES_CAP\CAP_EMISES 2015\15037 NORAM PR réseaux SSMB4.doc</t>
  </si>
  <si>
    <t>ExSVN</t>
  </si>
  <si>
    <t>Noram (DFI)</t>
  </si>
  <si>
    <t>Erreur dans formule de calcul du Prix de revient des internes</t>
  </si>
  <si>
    <t>\\srvwork\AQHSE\1-FICHES_CAP\CAP_EMISES 2015\15038 Dow erreur résine.doc</t>
  </si>
  <si>
    <t>Friesland Foods</t>
  </si>
  <si>
    <t>CV-1504-0043</t>
  </si>
  <si>
    <t>Mauvaise résine livrée dans 2 sacs</t>
  </si>
  <si>
    <t>Resins purchase</t>
  </si>
  <si>
    <t>\\srvwork\AQHSE\1-FICHES_CAP\CAP_EMISES 2015\15039 Location Pilote.doc</t>
  </si>
  <si>
    <t>PDU</t>
  </si>
  <si>
    <t>CAPUA</t>
  </si>
  <si>
    <t>ROQUETTE</t>
  </si>
  <si>
    <t>CV-1508-0047</t>
  </si>
  <si>
    <t>Location pilote même période à 2 clients</t>
  </si>
  <si>
    <t>Pilot rent</t>
  </si>
  <si>
    <t>\\srvwork\AQHSE\1-FICHES_CAP\CAP_EMISES 2015\15040 intervention sur sorbonnes R&amp;D.doc</t>
  </si>
  <si>
    <t>Service R&amp;D</t>
  </si>
  <si>
    <t>VINCI</t>
  </si>
  <si>
    <t>Coupure électrique lors de l'intervention sur sorbonnes labo</t>
  </si>
  <si>
    <t>Labs</t>
  </si>
  <si>
    <t>Vinci</t>
  </si>
  <si>
    <t>\\srvwork\AQHSE\1-FICHES_CAP\CAP_EMISES 2015\15041 Sédamyl - GE.doc</t>
  </si>
  <si>
    <t>CV-1502-0012</t>
  </si>
  <si>
    <t>Baisse performances membranes NF (skid N°2)</t>
  </si>
  <si>
    <t>Mise en route d'un 5eme TP</t>
  </si>
  <si>
    <t>\\srvwork\AQHSE\1-FICHES_CAP\CAP_EMISES 2015\15042 Al Nouran.doc</t>
  </si>
  <si>
    <t>CCR</t>
  </si>
  <si>
    <t>Al Nouran</t>
  </si>
  <si>
    <t>Surdimensionnement échangeur</t>
  </si>
  <si>
    <t>process conception</t>
  </si>
  <si>
    <t>\\srvwork\AQHSE\1-FICHES_CAP\CAP_EMISES 2015\15043 Incident chariot.doc</t>
  </si>
  <si>
    <t>Unilever</t>
  </si>
  <si>
    <t>EN 2900</t>
  </si>
  <si>
    <t>Renversement IBC de KOH</t>
  </si>
  <si>
    <t>\\srvwork\AQHSE\1-FICHES_CAP\CAP_EMISES 2015\15044 FRIESLAND GOS4.doc</t>
  </si>
  <si>
    <t>Sales</t>
  </si>
  <si>
    <t>Friesland Foods GOS4</t>
  </si>
  <si>
    <t>Développement biofilm et bactérie</t>
  </si>
  <si>
    <t>\\srvwork\AQHSE\1-FICHES_CAP\CAP_EMISES 2015\15045 AL MASIRAH - puissance moteurs.doc</t>
  </si>
  <si>
    <t>RBA</t>
  </si>
  <si>
    <t>Almasirah</t>
  </si>
  <si>
    <t>PADOVAN</t>
  </si>
  <si>
    <t xml:space="preserve">Ecart puissance moteur transmis </t>
  </si>
  <si>
    <t>Meca Design / Puchase</t>
  </si>
  <si>
    <t>Padovan</t>
  </si>
  <si>
    <t>\\srvwork\AQHSE\1-FICHES_CAP\CAP_EMISES 2015\15046 explosion Erlenmeyer Labo.doc</t>
  </si>
  <si>
    <t>2015-026</t>
  </si>
  <si>
    <t>Explosion Erlenmeyer</t>
  </si>
  <si>
    <t>\\srvwork\AQHSE\1-FICHES_CAP\CAP_EMISES 2015\15047 Olmedo.doc</t>
  </si>
  <si>
    <t>Téréos Olmédo</t>
  </si>
  <si>
    <t>ICP Beugin</t>
  </si>
  <si>
    <t>fissure ébonite déformation plancher</t>
  </si>
  <si>
    <t>RRA</t>
  </si>
  <si>
    <t>A faire 01/17</t>
  </si>
  <si>
    <t>\\srvwork\AQHSE\1-FICHES_CAP\CAP_EMISES 2016\16001 ADM spray nozzle.doc</t>
  </si>
  <si>
    <t>lack of spray nozzles</t>
  </si>
  <si>
    <t>\\srvwork\AQHSE\1-FICHES_CAP\CAP_EMISES 2016\16002 ADM vacuum breaker.doc</t>
  </si>
  <si>
    <t>vaccum breaker missing</t>
  </si>
  <si>
    <t>\\srvwork\AQHSE\1-FICHES_CAP\CAP_EMISES 2016\16003 FRIESLANDFOOD GOS4 rupture joints.docx</t>
  </si>
  <si>
    <t>breaking gasket</t>
  </si>
  <si>
    <t>audit</t>
  </si>
  <si>
    <t>\\srvwork\AQHSE\1-FICHES_CAP\\CAP_EMISES 2016\16004 CSC Sugar.doc</t>
  </si>
  <si>
    <t>CSC Sugar</t>
  </si>
  <si>
    <t>28.11698</t>
  </si>
  <si>
    <t>process design error liquid sugar</t>
  </si>
  <si>
    <t>process design</t>
  </si>
  <si>
    <t>R:\QA-NVA IB\CAP\16005 MEFSCO IEX deformation.doc</t>
  </si>
  <si>
    <t>MEFSCO</t>
  </si>
  <si>
    <t>floor deformations issue</t>
  </si>
  <si>
    <t>R:\QA-NVA IB\CAP\16006 ADM Fibersol limit switch issue.doc</t>
  </si>
  <si>
    <t>SLI</t>
  </si>
  <si>
    <t>Bray</t>
  </si>
  <si>
    <t>SSMB/IEX</t>
  </si>
  <si>
    <t>quality issue of limit switch</t>
  </si>
  <si>
    <t>\\srvwork\AQHSE\1-FICHES_CAP\CAP_EMISES 2016\16007 GOI.doc</t>
  </si>
  <si>
    <t>leak and cation rubber lining cracks</t>
  </si>
  <si>
    <t>\\srvwork\AQHSE\1-FICHES_CAP\CAP_EMISES 2016\16008 MEFSCO - AF.doc</t>
  </si>
  <si>
    <t>XRO</t>
  </si>
  <si>
    <t>mistake in functional analysis</t>
  </si>
  <si>
    <t>Process Design (AF)</t>
  </si>
  <si>
    <t>R:\QA-NVA IB\CAP\16009 PT SUJ HCl pump issue.doc</t>
  </si>
  <si>
    <t>VCH</t>
  </si>
  <si>
    <t xml:space="preserve">PT SUJ </t>
  </si>
  <si>
    <t>IWAKI</t>
  </si>
  <si>
    <t>Acid pump issue</t>
  </si>
  <si>
    <t>R:\QA-NVA IB\CAP\16010 PT SUJ steril filter.doc</t>
  </si>
  <si>
    <t>Sunshine</t>
  </si>
  <si>
    <t>plate deformation of sterile filter</t>
  </si>
  <si>
    <t>August-16</t>
  </si>
  <si>
    <t>CAP_EMISES 2016\16011 incohérence doc AU02-PR02-PR06.doc</t>
  </si>
  <si>
    <t>CPV</t>
  </si>
  <si>
    <t>Shuangqiao5 Fufeng</t>
  </si>
  <si>
    <t>inconsistency between AU02-PR02-PR06</t>
  </si>
  <si>
    <t>A faire 12/17</t>
  </si>
  <si>
    <t>CAP_EMISES 2016\16012 Solanic CTI-ACDN.doc</t>
  </si>
  <si>
    <t>CTI-ACDN</t>
  </si>
  <si>
    <t>10.8023</t>
  </si>
  <si>
    <t>cell leak of IEX column</t>
  </si>
  <si>
    <t>Meca design</t>
  </si>
  <si>
    <t>A faire 01/18</t>
  </si>
  <si>
    <t>R:\QA-NVA IB\CAP\16013 PT JMR &amp; PT DSI  CIP tank leaking issue.doc</t>
  </si>
  <si>
    <t>SUXI</t>
  </si>
  <si>
    <t>PT Jawamanis &amp; DUTA</t>
  </si>
  <si>
    <t>ALLIBERT</t>
  </si>
  <si>
    <t>2005&amp;2006</t>
  </si>
  <si>
    <t>10.11070&amp;10.11169</t>
  </si>
  <si>
    <t xml:space="preserve">Leaking between two parts in CIP tank(PP) </t>
  </si>
  <si>
    <t>CAP_EMISES 2016\16014 Glanbia.doc</t>
  </si>
  <si>
    <t>Glanbia</t>
  </si>
  <si>
    <t>Bilfinger</t>
  </si>
  <si>
    <t>bent nozzles and leaking fine mesch resin</t>
  </si>
  <si>
    <t>CAP 16039</t>
  </si>
  <si>
    <t>CAP_EMISES 2016\16015 TESSIER.doc</t>
  </si>
  <si>
    <t>TESSIER</t>
  </si>
  <si>
    <t>Progress</t>
  </si>
  <si>
    <t>keeping of K138 gaskets</t>
  </si>
  <si>
    <t>R:\QA-NVA IB\CAP\16016 Meihua 9 Floc &amp; white sediment issue.doc</t>
  </si>
  <si>
    <t>EGU</t>
  </si>
  <si>
    <t>Meihua 9</t>
  </si>
  <si>
    <t>2014/10.11218</t>
  </si>
  <si>
    <t xml:space="preserve"> Floc &amp; white sediment issue</t>
  </si>
  <si>
    <t>reception</t>
  </si>
  <si>
    <t>CAP_EMISES 2016\16017 CLS taggins.doc</t>
  </si>
  <si>
    <t>CLS</t>
  </si>
  <si>
    <t>late taggings change</t>
  </si>
  <si>
    <t>AEI Design (TAG)</t>
  </si>
  <si>
    <t>CPV/SOV</t>
  </si>
  <si>
    <t>CAP_EMISES 2016\16018 Central Romana Rubberlining.doc</t>
  </si>
  <si>
    <t>Rubberlining damage</t>
  </si>
  <si>
    <t>commissioning</t>
  </si>
  <si>
    <t>intervention MGL/Brandt pour vérifier état de l'ébonitage S48/49</t>
  </si>
  <si>
    <t>CAP_EMISES 2016\16019  Valio.doc</t>
  </si>
  <si>
    <t>VALIO</t>
  </si>
  <si>
    <t>Supply Chain Pompey</t>
  </si>
  <si>
    <t>CV-1602-0067</t>
  </si>
  <si>
    <t>Air-tightness carbosep modules</t>
  </si>
  <si>
    <t>CAP_EMISES 2016\16020 NUTRIBIO.doc</t>
  </si>
  <si>
    <t>RWA</t>
  </si>
  <si>
    <t>Boccard/Nutribio</t>
  </si>
  <si>
    <t>Concept Inox</t>
  </si>
  <si>
    <t>Input/output exchanger reverse</t>
  </si>
  <si>
    <t>R:\QA-NVA IB\CAP\16021 CLS  MB internals mounting issue.doc</t>
  </si>
  <si>
    <t>SXI</t>
  </si>
  <si>
    <t>Gree</t>
  </si>
  <si>
    <t>Internals design and assembly issue</t>
  </si>
  <si>
    <t>RCH</t>
  </si>
  <si>
    <t>R:\QA-NVA IB\CAP\16022 Agrana  IEX column head deformation issue.doc</t>
  </si>
  <si>
    <t>columns head deformation issue</t>
  </si>
  <si>
    <t>RCH/WWE</t>
  </si>
  <si>
    <t>R:\QA-NVA IB\CAP\16023 ADM leakgae risk issue of SSMB strainer.doc</t>
  </si>
  <si>
    <t>Runyuan</t>
  </si>
  <si>
    <t>leakage risk issue of SSMB strainers</t>
  </si>
  <si>
    <t>CAP_EMISES 2016\16024 AGRANA.doc</t>
  </si>
  <si>
    <t>ACR</t>
  </si>
  <si>
    <t>IEX Columns : design pressure &amp; booster pumps</t>
  </si>
  <si>
    <t>NGO</t>
  </si>
  <si>
    <t>à faire qd unités seront au débit nominal fin 17.</t>
  </si>
  <si>
    <t xml:space="preserve">quality issue of PP-FRP front piping </t>
  </si>
  <si>
    <t>CAP_EMISES 2016\16026 Friesland Foods calcul colonnes.doc</t>
  </si>
  <si>
    <t>ACDN-CTI</t>
  </si>
  <si>
    <t>Erreur calcul colonnes</t>
  </si>
  <si>
    <t>CAP_EMISES 2016\16027 Boccard Nutribio récupération égouttures.doc</t>
  </si>
  <si>
    <t>Débordements collecte égouttures vannes</t>
  </si>
  <si>
    <t>CAP_EMISES 2016\16028 Incident évapo.doc</t>
  </si>
  <si>
    <t>MED</t>
  </si>
  <si>
    <t>ERAMET</t>
  </si>
  <si>
    <t>EN2988</t>
  </si>
  <si>
    <t>2015-055</t>
  </si>
  <si>
    <t>Evapo</t>
  </si>
  <si>
    <t>désolidarisation colonne évapo</t>
  </si>
  <si>
    <t>CAP_EMISES 2016\16029 Eramet Pb As.doc</t>
  </si>
  <si>
    <t xml:space="preserve">présence As </t>
  </si>
  <si>
    <t>R:\QA-NVA IB\CAP\16030 RZBC 2 IEX anion column leg insufficient issue.doc</t>
  </si>
  <si>
    <t>IEX Columns : Leg strength</t>
  </si>
  <si>
    <t>CAP_EMISES 2016\16031 Pilote Polypeptides.doc</t>
  </si>
  <si>
    <t>Polypeptide Laboratories</t>
  </si>
  <si>
    <t>CV-1601-0076</t>
  </si>
  <si>
    <t xml:space="preserve">corrosion corps de pompe d'alimentation </t>
  </si>
  <si>
    <t>CAP_EMISES 2016\16032 Tuyauteries Al Nouran.doc</t>
  </si>
  <si>
    <t>Allia</t>
  </si>
  <si>
    <t>Revêtement anti-corrosion sur tuyauteries</t>
  </si>
  <si>
    <t>CAP_EMISES 2016\16033 Tetrapak.doc</t>
  </si>
  <si>
    <t xml:space="preserve">Tetrapak </t>
  </si>
  <si>
    <t>Méga</t>
  </si>
  <si>
    <t>Rupture tuyau soude sur ED</t>
  </si>
  <si>
    <t>Mega</t>
  </si>
  <si>
    <t>déc.16</t>
  </si>
  <si>
    <t>CAP_EMISES 2016\16034 Tanichem accessibility.doc</t>
  </si>
  <si>
    <t>all</t>
  </si>
  <si>
    <t>Accessibility and ergonomic improvements</t>
  </si>
  <si>
    <t>CAP_EMISES 2016\16035 Tanichem design issue.doc</t>
  </si>
  <si>
    <t>Design issues (insulation, rupture discs spec)</t>
  </si>
  <si>
    <t>CAP_EMISES 2016\16036 Tanichem welding on hydrogenation reactor.doc</t>
  </si>
  <si>
    <t>Welds on reactor after ASME certification</t>
  </si>
  <si>
    <t>CAP_EMISES 2016\16037 Conaprole Uruguay.doc</t>
  </si>
  <si>
    <t>protein content lower than contractual guaranty</t>
  </si>
  <si>
    <t>A faire 03/18</t>
  </si>
  <si>
    <t>CAP_EMISES 2016\16038 CJ Brésil durée de vie membranes BE.doc</t>
  </si>
  <si>
    <t>CJ Brésil</t>
  </si>
  <si>
    <t>CV-1404-0085</t>
  </si>
  <si>
    <t>Kerasep membrane lifetime</t>
  </si>
  <si>
    <t>CAP_EMISES 2016\16039 Glanbia.doc</t>
  </si>
  <si>
    <t>R:\QA-NVA IB\CAP\16040 KLIM Cambodia  column installed with wrong orientation issue.doc</t>
  </si>
  <si>
    <t>KLIM</t>
  </si>
  <si>
    <t xml:space="preserve">column installed with wrong orientation </t>
  </si>
  <si>
    <t>Site erection</t>
  </si>
  <si>
    <t>SZH</t>
  </si>
  <si>
    <t>Shuangqiao</t>
  </si>
  <si>
    <t>internals  assembling  of IEX column</t>
  </si>
  <si>
    <t>CAP_EMISES 2016\16042 TANICHEM Gestion des arrets urgence.doc</t>
  </si>
  <si>
    <t>Non raccordement arrêts d'urgence</t>
  </si>
  <si>
    <t>CAP_EMISES 2016\16043 TANICHEM Protection equipements electriques.doc</t>
  </si>
  <si>
    <t>Equipements automatisme détériorés</t>
  </si>
  <si>
    <t>CAP_EMISES 2016\16044TANICHEM Redondance PLC.doc</t>
  </si>
  <si>
    <t>Abscence de redondance automate</t>
  </si>
  <si>
    <t>Ouverture CAP 16042,043</t>
  </si>
  <si>
    <t>Tps fermeture/ouverte vannes trop long</t>
  </si>
  <si>
    <t>CAP_EMISES 2016\16046TANICHEM Remplacement PT sur filtre charbon.doc</t>
  </si>
  <si>
    <t>Endress Hauser</t>
  </si>
  <si>
    <t>filtre charbon</t>
  </si>
  <si>
    <t>Remplacement PT sur filtre charbon</t>
  </si>
  <si>
    <t>CAP_EMISES 2016\16047 Fufeng fuite vannes.doc</t>
  </si>
  <si>
    <t>DBU</t>
  </si>
  <si>
    <t>FUFENG</t>
  </si>
  <si>
    <t>Burkert</t>
  </si>
  <si>
    <t>Leakage on control valves</t>
  </si>
  <si>
    <t>CAP_EMISES 2016\16048 Biospringer.doc</t>
  </si>
  <si>
    <t>Biospringer</t>
  </si>
  <si>
    <t>SUDMO</t>
  </si>
  <si>
    <t>Commande vannes norme DIN au lieu ISO</t>
  </si>
  <si>
    <t>Spec validation</t>
  </si>
  <si>
    <t>CAP_EMISES 2016\16049 Ouest Import certificat alimentarité.doc</t>
  </si>
  <si>
    <t>MGL</t>
  </si>
  <si>
    <t xml:space="preserve">OUEST IMPORT </t>
  </si>
  <si>
    <t>1885/1886</t>
  </si>
  <si>
    <t>7709/7839</t>
  </si>
  <si>
    <t>Alimentarité matériaux colonnes de décolo</t>
  </si>
  <si>
    <t>CAP_EMISES 2016\16050 Cévital.doc</t>
  </si>
  <si>
    <t>Leakage of resins</t>
  </si>
  <si>
    <t>Commissioning</t>
  </si>
  <si>
    <t>R:\QA-NVA IB\CAP\16051 Fufeng  floor fall down issue.doc</t>
  </si>
  <si>
    <t>Floor fall down</t>
  </si>
  <si>
    <t>R:\QA-NVA IB\CAP\16052 Plasticon FRP pipe chamfer issue.doc</t>
  </si>
  <si>
    <t>2025/2027</t>
  </si>
  <si>
    <t>11291/11432</t>
  </si>
  <si>
    <t>FRP piping chamfer</t>
  </si>
  <si>
    <t>CAP_EMISES 2016\16053 Yi'an Tagging.doc</t>
  </si>
  <si>
    <t>Yi'an</t>
  </si>
  <si>
    <t>Error PID Tags</t>
  </si>
  <si>
    <t>Process design</t>
  </si>
  <si>
    <t>R:\QA-NVA IB\CAP\16054 Fufeng  resin leakage issue.doc</t>
  </si>
  <si>
    <t>Fufeng</t>
  </si>
  <si>
    <t>resin leakage issue</t>
  </si>
  <si>
    <t>CAP_EMISES 2016\16055 Al Nouran Fûts Resine Manquants.doc</t>
  </si>
  <si>
    <t>Bollore</t>
  </si>
  <si>
    <t>Fûts résine manquants</t>
  </si>
  <si>
    <t>R:\QA-NVA IB\CAP\16056 Agrana  piping re-assembly issue on site.doc</t>
  </si>
  <si>
    <t>piping re-assembly issue on site</t>
  </si>
  <si>
    <t>CAP_EMISES 2016\16057 pilote SSMB ADM.doc</t>
  </si>
  <si>
    <t>ADP</t>
  </si>
  <si>
    <t>AJO-0310</t>
  </si>
  <si>
    <t>SSMB Pilot design</t>
  </si>
  <si>
    <t>Pilot design</t>
  </si>
  <si>
    <t>ABS</t>
  </si>
  <si>
    <t>R:\QA-NVA IB\CAP\16058 Shuangqiao wrong pressure calculation issue.doc</t>
  </si>
  <si>
    <t>JHU</t>
  </si>
  <si>
    <t>ShuangQiao</t>
  </si>
  <si>
    <t>1944/1946</t>
  </si>
  <si>
    <t>8410/9122</t>
  </si>
  <si>
    <t>wrong pressure calculation issue</t>
  </si>
  <si>
    <t>CAP_EMISES 2016\16059 Tereos Nesle.doc</t>
  </si>
  <si>
    <t>CV-1602-0049</t>
  </si>
  <si>
    <t xml:space="preserve">High DP2 rate at start-up of NF unit </t>
  </si>
  <si>
    <t>Delay delivery resins</t>
  </si>
  <si>
    <t>SBC</t>
  </si>
  <si>
    <t>Error reference Kerasep membranes</t>
  </si>
  <si>
    <t>TAT Omnia</t>
  </si>
  <si>
    <t>cation working, bad smell syrup, quality final product</t>
  </si>
  <si>
    <t>Bossard</t>
  </si>
  <si>
    <t>PLC cards undersized</t>
  </si>
  <si>
    <t>Cargill</t>
  </si>
  <si>
    <t>PID</t>
  </si>
  <si>
    <t>Error functionnal analysis (PR60)</t>
  </si>
  <si>
    <t>CHP/RMU</t>
  </si>
  <si>
    <t>ECR</t>
  </si>
  <si>
    <t>Agrana</t>
  </si>
  <si>
    <t>Althammer</t>
  </si>
  <si>
    <t>Error nozzle diameter soft water tank</t>
  </si>
  <si>
    <t>A faire 12/19</t>
  </si>
  <si>
    <t>en fin de projet</t>
  </si>
  <si>
    <t>C615 ID plate support damaged</t>
  </si>
  <si>
    <t>Asia purchase</t>
  </si>
  <si>
    <t>FBA</t>
  </si>
  <si>
    <t>C625 ID plate support damaged</t>
  </si>
  <si>
    <t>C635 ID plate support damaged</t>
  </si>
  <si>
    <t>cationic/anionic columns showing coating damages</t>
  </si>
  <si>
    <t>ABN</t>
  </si>
  <si>
    <t>internal diameter PP piping too small</t>
  </si>
  <si>
    <t>missing studs on all flanges of vessels</t>
  </si>
  <si>
    <t>ABN/ACR</t>
  </si>
  <si>
    <t>painting colour for IEX columns of Phase I is wrong</t>
  </si>
  <si>
    <t>CV-1611-0025</t>
  </si>
  <si>
    <t>outside kerasep membrane storage</t>
  </si>
  <si>
    <t>Beneo Orafti</t>
  </si>
  <si>
    <t>CV-1612-0038</t>
  </si>
  <si>
    <t>resin delivery delay</t>
  </si>
  <si>
    <t>resin purchase</t>
  </si>
  <si>
    <t>CAP17054</t>
  </si>
  <si>
    <t>Mérial</t>
  </si>
  <si>
    <t>Valorel</t>
  </si>
  <si>
    <t>trace of rust on UF52 module</t>
  </si>
  <si>
    <t xml:space="preserve">TAT </t>
  </si>
  <si>
    <t>conical filter on piping deformed</t>
  </si>
  <si>
    <t>Purolite</t>
  </si>
  <si>
    <t>resin doesn't in accordance with FDA requirements</t>
  </si>
  <si>
    <t>CAP 17055</t>
  </si>
  <si>
    <t>Achat</t>
  </si>
  <si>
    <t>Alfa Laval</t>
  </si>
  <si>
    <t>Project management, quality equipment</t>
  </si>
  <si>
    <t>site mounting</t>
  </si>
  <si>
    <t>Alfa laval</t>
  </si>
  <si>
    <t>Wuhan Friendship</t>
  </si>
  <si>
    <t>CJ1324</t>
  </si>
  <si>
    <t>The gravel purchased by client himself was not qualified</t>
  </si>
  <si>
    <t>Endress hauser</t>
  </si>
  <si>
    <t>Flowmeter technology no adapted</t>
  </si>
  <si>
    <t>piping pb, mounting impossibility</t>
  </si>
  <si>
    <t>Armor Protéine</t>
  </si>
  <si>
    <t>leakage welding SSMB cells</t>
  </si>
  <si>
    <t>EWI/SMR</t>
  </si>
  <si>
    <t>defect of piping assembly</t>
  </si>
  <si>
    <t>Tetra Pak</t>
  </si>
  <si>
    <t>CV-1609-0011</t>
  </si>
  <si>
    <t>convex tightening plate of K99 modules</t>
  </si>
  <si>
    <t>Sunoko</t>
  </si>
  <si>
    <t>resin leakage on network plates</t>
  </si>
  <si>
    <t>A faire 07/18</t>
  </si>
  <si>
    <t xml:space="preserve">reporté à l'issue du litige </t>
  </si>
  <si>
    <t>ADM US</t>
  </si>
  <si>
    <t>TU01 error : reversed Extract/Raffinate collectors</t>
  </si>
  <si>
    <t>piping material error (CS instead of SS)</t>
  </si>
  <si>
    <t>EN3068</t>
  </si>
  <si>
    <t>acid solution projection</t>
  </si>
  <si>
    <t>collision betweenplatform &amp; manholes of columns</t>
  </si>
  <si>
    <t>Mismanagement of AF updates during commissioning</t>
  </si>
  <si>
    <t>A faire 01/19</t>
  </si>
  <si>
    <t>reporté à la clôture projet</t>
  </si>
  <si>
    <t>Valve wiring problem with 2 limit switches</t>
  </si>
  <si>
    <t>VXI</t>
    <phoneticPr fontId="10" type="noConversion"/>
  </si>
  <si>
    <t>FUFENG</t>
    <phoneticPr fontId="10" type="noConversion"/>
  </si>
  <si>
    <t>MF</t>
    <phoneticPr fontId="10" type="noConversion"/>
  </si>
  <si>
    <t>MF membranes abrasion</t>
    <phoneticPr fontId="10" type="noConversion"/>
  </si>
  <si>
    <t>VXI</t>
  </si>
  <si>
    <t>SXI</t>
    <phoneticPr fontId="10" type="noConversion"/>
  </si>
  <si>
    <t>RZBC</t>
    <phoneticPr fontId="10" type="noConversion"/>
  </si>
  <si>
    <t>Nozzles are not qualified</t>
    <phoneticPr fontId="10" type="noConversion"/>
  </si>
  <si>
    <t>SABE</t>
  </si>
  <si>
    <t>Supplier's error on the electrical characteristics of the motors</t>
  </si>
  <si>
    <t>Sabe</t>
  </si>
  <si>
    <t>ADM Turquie</t>
  </si>
  <si>
    <t>AEI budget underestimated</t>
  </si>
  <si>
    <t>System order acquisition</t>
  </si>
  <si>
    <t>Offer quotation</t>
  </si>
  <si>
    <t>SPB</t>
  </si>
  <si>
    <t>KLIM Cambodge</t>
  </si>
  <si>
    <t>Chinese translation of supervision views</t>
  </si>
  <si>
    <t>Dysfonction ED unit</t>
  </si>
  <si>
    <t>ACR/SMR</t>
  </si>
  <si>
    <t>Tetra Pak/ Glycom</t>
  </si>
  <si>
    <t>Breakage of BE Kerasep membranes</t>
  </si>
  <si>
    <t>EWI/PBO</t>
  </si>
  <si>
    <t>SBC</t>
    <phoneticPr fontId="10" type="noConversion"/>
  </si>
  <si>
    <t>ZIYOU</t>
    <phoneticPr fontId="10" type="noConversion"/>
  </si>
  <si>
    <t>all</t>
    <phoneticPr fontId="10" type="noConversion"/>
  </si>
  <si>
    <t>goods packing issue</t>
    <phoneticPr fontId="10" type="noConversion"/>
  </si>
  <si>
    <t>WWE</t>
    <phoneticPr fontId="10" type="noConversion"/>
  </si>
  <si>
    <t>HUATANG</t>
    <phoneticPr fontId="10" type="noConversion"/>
  </si>
  <si>
    <t>Decolo/MF</t>
  </si>
  <si>
    <t>piping issue</t>
    <phoneticPr fontId="10" type="noConversion"/>
  </si>
  <si>
    <t>IEX position and backwashing nozzle issues</t>
    <phoneticPr fontId="10" type="noConversion"/>
  </si>
  <si>
    <t>EGU</t>
    <phoneticPr fontId="10" type="noConversion"/>
  </si>
  <si>
    <t>JINLONG</t>
    <phoneticPr fontId="10" type="noConversion"/>
  </si>
  <si>
    <t>MB manhole height issue</t>
    <phoneticPr fontId="10" type="noConversion"/>
  </si>
  <si>
    <t>ARIAS</t>
  </si>
  <si>
    <t>CV-1507-0069</t>
  </si>
  <si>
    <t>proteins loss higher than our guarantees</t>
  </si>
  <si>
    <t>discomfort on customer site</t>
  </si>
  <si>
    <t>Breakage of Kerasep membranes</t>
  </si>
  <si>
    <t>CAP 18008</t>
  </si>
  <si>
    <t>CIP Filter damaged by tartar</t>
  </si>
  <si>
    <t>JZH</t>
    <phoneticPr fontId="10" type="noConversion"/>
  </si>
  <si>
    <t>YIXING</t>
    <phoneticPr fontId="10" type="noConversion"/>
  </si>
  <si>
    <t>NOVASEP SMB</t>
    <phoneticPr fontId="10" type="noConversion"/>
  </si>
  <si>
    <t>CJ1077</t>
    <phoneticPr fontId="10" type="noConversion"/>
  </si>
  <si>
    <t>SSMB</t>
    <phoneticPr fontId="10" type="noConversion"/>
  </si>
  <si>
    <t>strainer material is wrong</t>
    <phoneticPr fontId="10" type="noConversion"/>
  </si>
  <si>
    <t>RZBC2</t>
    <phoneticPr fontId="10" type="noConversion"/>
  </si>
  <si>
    <t>SPIE</t>
    <phoneticPr fontId="10" type="noConversion"/>
  </si>
  <si>
    <t>IEX</t>
    <phoneticPr fontId="10" type="noConversion"/>
  </si>
  <si>
    <t>The program is not completed</t>
    <phoneticPr fontId="10" type="noConversion"/>
  </si>
  <si>
    <t>Cargill Manchester</t>
  </si>
  <si>
    <t>Management of gravel supply</t>
  </si>
  <si>
    <t>CAP19015</t>
  </si>
  <si>
    <t>JLI</t>
    <phoneticPr fontId="10" type="noConversion"/>
  </si>
  <si>
    <t>Fufeng</t>
    <phoneticPr fontId="10" type="noConversion"/>
  </si>
  <si>
    <t>Hose broken,  Jeff burn by hot water and resin</t>
    <phoneticPr fontId="10" type="noConversion"/>
  </si>
  <si>
    <t>NVSA</t>
    <phoneticPr fontId="10" type="noConversion"/>
  </si>
  <si>
    <t>YINMORE</t>
    <phoneticPr fontId="10" type="noConversion"/>
  </si>
  <si>
    <t>Heibei KNT FRP</t>
  </si>
  <si>
    <t>The nozzle plate was not oriented at the right angle</t>
  </si>
  <si>
    <t>JHU</t>
    <phoneticPr fontId="10" type="noConversion"/>
  </si>
  <si>
    <t>HAIYI</t>
    <phoneticPr fontId="10" type="noConversion"/>
  </si>
  <si>
    <t>MF &amp; SSMB</t>
    <phoneticPr fontId="10" type="noConversion"/>
  </si>
  <si>
    <t>The name plate of HE is wrong</t>
    <phoneticPr fontId="10" type="noConversion"/>
  </si>
  <si>
    <t>TAT Nisasta</t>
  </si>
  <si>
    <t>DOW-Bolloré</t>
  </si>
  <si>
    <t>DOW, Bolloré</t>
  </si>
  <si>
    <t>BRAY</t>
    <phoneticPr fontId="10" type="noConversion"/>
  </si>
  <si>
    <t>Valve malfunction and recovery rate low</t>
    <phoneticPr fontId="10" type="noConversion"/>
  </si>
  <si>
    <t>DBR</t>
  </si>
  <si>
    <t>Novatrade</t>
  </si>
  <si>
    <t>Difficulty in making the down payment</t>
  </si>
  <si>
    <t>CAP_EMISES 2018\18001 Tereos Nesle.docm</t>
  </si>
  <si>
    <t>CV-1611-0050</t>
  </si>
  <si>
    <t>breaking gaskets NF membrane</t>
  </si>
  <si>
    <t>CAP_EMISES 2018\18002 Mefsco - reges cation &amp; anion.docm</t>
  </si>
  <si>
    <t xml:space="preserve">PID </t>
  </si>
  <si>
    <t>Hydraulic issues during cation/anion regeneration</t>
  </si>
  <si>
    <t>SPB/SOV</t>
  </si>
  <si>
    <t>CAP_EMISES 2018\18003 Hilmar Cheese.docm</t>
  </si>
  <si>
    <t>Hilmar Cheese</t>
  </si>
  <si>
    <t>Andritz</t>
  </si>
  <si>
    <t>CV-1708-0057</t>
  </si>
  <si>
    <t>Supplier purchase order oversight</t>
  </si>
  <si>
    <t>R:\QA-NVA IB\CAP\18004 Canlac abbott base issue.docm</t>
  </si>
  <si>
    <t>IER</t>
    <phoneticPr fontId="10" type="noConversion"/>
  </si>
  <si>
    <t>Canlac Abbott</t>
  </si>
  <si>
    <t>Prevent / improve</t>
    <phoneticPr fontId="10" type="noConversion"/>
  </si>
  <si>
    <t>The anchoring bolts too close to insulation  hinder couter drilling on concrete</t>
  </si>
  <si>
    <t>I&amp;R process</t>
    <phoneticPr fontId="10" type="noConversion"/>
  </si>
  <si>
    <t>Manpower / Main d'œuvre</t>
    <phoneticPr fontId="10" type="noConversion"/>
  </si>
  <si>
    <t>R:\QA-NVA IB\CAP\18005  Cargill IEX top manhole FEA issue.docm</t>
  </si>
  <si>
    <t>GREETH</t>
    <phoneticPr fontId="10" type="noConversion"/>
  </si>
  <si>
    <t>Pdt unconformity</t>
    <phoneticPr fontId="10" type="noConversion"/>
  </si>
  <si>
    <t>Anionic column</t>
  </si>
  <si>
    <t>The top manhole on anionic IEX column FEA calculation can't pass</t>
  </si>
  <si>
    <t>Method / Méthode</t>
    <phoneticPr fontId="10" type="noConversion"/>
  </si>
  <si>
    <t>CAP_EMISES 2018\18006 surpresseur-refroisseur Atlas.docm</t>
  </si>
  <si>
    <t>Pfeifer and Langen</t>
  </si>
  <si>
    <t>Atlas Copco</t>
  </si>
  <si>
    <t>Supplier quotation not updated in PkPv</t>
  </si>
  <si>
    <t>CAP_EMISES 2018\18007 CEVA.docm</t>
  </si>
  <si>
    <t>CEVA</t>
  </si>
  <si>
    <t>NVS PMP</t>
  </si>
  <si>
    <t>Carbosep modules mounting issues</t>
  </si>
  <si>
    <t>CAP_EMISES 2018\18008 CJ MALAISIE - CASSE MEMBRANE.docm</t>
  </si>
  <si>
    <t>CJ Malaisie</t>
  </si>
  <si>
    <t>NPA/EWI</t>
  </si>
  <si>
    <t>CAP_EMISES 2018\18009 Accdt FMG.docm</t>
  </si>
  <si>
    <t>Fall of an employee outside staircase</t>
  </si>
  <si>
    <t>R:\QA-NVA IB\CAP\18010 Fufeng membranes issue.docm</t>
  </si>
  <si>
    <t>FUFENG 7</t>
  </si>
  <si>
    <t>DANAI</t>
    <phoneticPr fontId="10" type="noConversion"/>
  </si>
  <si>
    <t>The membranes were damaged by SS scraps in manifolds</t>
  </si>
  <si>
    <t>CAP_EMISES 2018\18011 Friesland Moonraker.docm</t>
  </si>
  <si>
    <t>Friesland Campina</t>
  </si>
  <si>
    <t>STCL Bossard Concept inox</t>
  </si>
  <si>
    <t>delay in units delivery, welding quality issue</t>
  </si>
  <si>
    <t>R:\QA-NVA IB\CAP\18012 Xiangyu TRP Column bottom and top board deformation issue.docx</t>
  </si>
  <si>
    <t>Xiangyu</t>
    <phoneticPr fontId="10" type="noConversion"/>
  </si>
  <si>
    <t>Column bottom and top board deformation</t>
    <phoneticPr fontId="10" type="noConversion"/>
  </si>
  <si>
    <t>CAP_EMISES 2018\18013 STCL.docm</t>
  </si>
  <si>
    <t>Welding quality issue MF skid</t>
  </si>
  <si>
    <t>Purchase/meca design</t>
  </si>
  <si>
    <t>SOV/JNJ</t>
  </si>
  <si>
    <t>CAP19003</t>
  </si>
  <si>
    <t>CV-1708-0012</t>
  </si>
  <si>
    <t>Resins tagging error</t>
  </si>
  <si>
    <t>CAP_EMISES 2018\18015 YCSR Yemen Buses K1.docm</t>
  </si>
  <si>
    <t>YCSR</t>
  </si>
  <si>
    <t>Composites Vec</t>
  </si>
  <si>
    <t>CV-1801-0018</t>
  </si>
  <si>
    <t>Defective nozzles</t>
  </si>
  <si>
    <t>CompositesVec</t>
  </si>
  <si>
    <t>R:\QA-NVA IB\CAP\18016 Archer Zhang site accident - broken foot - PFA.docm</t>
  </si>
  <si>
    <t>PFA</t>
    <phoneticPr fontId="10" type="noConversion"/>
  </si>
  <si>
    <t>WANBANG</t>
    <phoneticPr fontId="10" type="noConversion"/>
  </si>
  <si>
    <t>PN2997</t>
    <phoneticPr fontId="10" type="noConversion"/>
  </si>
  <si>
    <t>Archer Zhang site accident - broken foot</t>
    <phoneticPr fontId="10" type="noConversion"/>
  </si>
  <si>
    <t>Equipement</t>
  </si>
  <si>
    <t>CAP_EMISES 2018\18017 Vale Inco.docm</t>
  </si>
  <si>
    <t>Vale Inco</t>
  </si>
  <si>
    <t>CV-1804-0001</t>
  </si>
  <si>
    <t>Error of purchased nozzle references</t>
  </si>
  <si>
    <t>CAP_EMISES 2018\18018 Friesland retard livraison skids UF RO.docm</t>
  </si>
  <si>
    <t>Concept Inox Bossard</t>
  </si>
  <si>
    <t>UF RO</t>
  </si>
  <si>
    <t>Delay UF RO skids delivery</t>
  </si>
  <si>
    <t xml:space="preserve">project management </t>
  </si>
  <si>
    <t>CAP_EMISES 2018\18019 ADM US-Borniers dans armoire.docm</t>
  </si>
  <si>
    <t>SPIE</t>
  </si>
  <si>
    <t>Error in the choice of electrical terminal blocks</t>
  </si>
  <si>
    <t>AEI design</t>
  </si>
  <si>
    <t>CAP_EMISES 2018\18020 Beneo.docm</t>
  </si>
  <si>
    <t>BENEO Chili</t>
  </si>
  <si>
    <t>2018-009</t>
  </si>
  <si>
    <t>cIEX</t>
  </si>
  <si>
    <t>Regeneration protocol pb and not adapted pilot</t>
  </si>
  <si>
    <t>R&amp;D piloting</t>
  </si>
  <si>
    <t>CAP_EMISES 2018\18021 Biospringer fuite module K99 G3.docm</t>
  </si>
  <si>
    <t>CMN</t>
  </si>
  <si>
    <t>K99 module leakage</t>
  </si>
  <si>
    <t>R:\QA-NVA IB\CAP\18022 CJ internals fabrication issue.docm</t>
  </si>
  <si>
    <t>NVSA</t>
    <phoneticPr fontId="16" type="noConversion"/>
  </si>
  <si>
    <t>WWE</t>
    <phoneticPr fontId="16" type="noConversion"/>
  </si>
  <si>
    <t>CJ GMP1</t>
    <phoneticPr fontId="16" type="noConversion"/>
  </si>
  <si>
    <t>Composite vec</t>
  </si>
  <si>
    <t>CIEX</t>
    <phoneticPr fontId="16" type="noConversion"/>
  </si>
  <si>
    <t>The mismatch on internals parts</t>
  </si>
  <si>
    <t>RCH/SOV</t>
  </si>
  <si>
    <t>R:\QA-NVA IB\CAP\18023-Yinmore Nozzles issue.docm</t>
  </si>
  <si>
    <t>Yinmore-Haisum</t>
    <phoneticPr fontId="16" type="noConversion"/>
  </si>
  <si>
    <t>IEX</t>
    <phoneticPr fontId="16" type="noConversion"/>
  </si>
  <si>
    <t>The nozzle under internal backwashing flange can't be mounted</t>
  </si>
  <si>
    <t>RCH</t>
    <phoneticPr fontId="10" type="noConversion"/>
  </si>
  <si>
    <t>CAP_EMISES 2018\18024 Soin LLR.docm</t>
  </si>
  <si>
    <t>Sucden</t>
  </si>
  <si>
    <t>2018-001</t>
  </si>
  <si>
    <t>Rotavapor balloon breakage</t>
  </si>
  <si>
    <t>Laboratory tests</t>
  </si>
  <si>
    <t>R:\QA-NVA IB\CAP\18025-ADM 2 FT issue.docm</t>
  </si>
  <si>
    <t>ALI</t>
    <phoneticPr fontId="10" type="noConversion"/>
  </si>
  <si>
    <t>ADM</t>
    <phoneticPr fontId="10" type="noConversion"/>
  </si>
  <si>
    <t>E+H</t>
    <phoneticPr fontId="10" type="noConversion"/>
  </si>
  <si>
    <t>SSMB+MB</t>
    <phoneticPr fontId="10" type="noConversion"/>
  </si>
  <si>
    <t>The electromagnetic flowmeter doesn't work properly</t>
    <phoneticPr fontId="10" type="noConversion"/>
  </si>
  <si>
    <t>CAP_EMISES 2018\18026 Téréos Chevrières.docm</t>
  </si>
  <si>
    <t>Téréos Chevrières</t>
  </si>
  <si>
    <t>CV-1710-0020</t>
  </si>
  <si>
    <t>Amine taste of liquid sugar</t>
  </si>
  <si>
    <t>CAP_EMISES 2018\18027 Mérial St-Priest.docm</t>
  </si>
  <si>
    <t>CV-1807-0027</t>
  </si>
  <si>
    <t xml:space="preserve">Leakage and broken Carbosep mbres </t>
  </si>
  <si>
    <t>CAP_EMISES 2018\18028 QNS.docm</t>
  </si>
  <si>
    <t>QNS</t>
  </si>
  <si>
    <t>X</t>
  </si>
  <si>
    <t>Decolo/NF</t>
  </si>
  <si>
    <t>PID Tags coding error</t>
  </si>
  <si>
    <t>CAP_EMISES 2018\18029 CEVA Chine Module S52  1709-02.docm</t>
  </si>
  <si>
    <t>ExMPT</t>
  </si>
  <si>
    <t>flatness defect on permeate output module S52</t>
  </si>
  <si>
    <t>CAP_EMISES 2018\18030 BDU_KLIM3-Bolloré.docm</t>
  </si>
  <si>
    <t>KLIM 3</t>
  </si>
  <si>
    <t>Shipment of material subject to export license without license</t>
  </si>
  <si>
    <t>CAP_EMISES 2018\18031 Friesland Moonraker pompe OI.docm</t>
  </si>
  <si>
    <t>AKO</t>
  </si>
  <si>
    <t>Broken booster pump</t>
  </si>
  <si>
    <t>8D-KT</t>
  </si>
  <si>
    <t>CAP_EMISES 2018\18032 CARGILL SPAIN.docm</t>
  </si>
  <si>
    <t>Cargill Spain</t>
  </si>
  <si>
    <t>Gree KCH</t>
  </si>
  <si>
    <t>Leak on cationic column</t>
  </si>
  <si>
    <t>CAP_EMISES 2018\18033 Cargill Sight glass.docm</t>
  </si>
  <si>
    <t>Gree KCH Huaming</t>
  </si>
  <si>
    <t>Resin leakage on sight glass column</t>
  </si>
  <si>
    <t>CAP_EMISES 2018\18034 Agrana-fuite résine.docm</t>
  </si>
  <si>
    <t>Resin leakage on SSMB column</t>
  </si>
  <si>
    <t>A faire 12/20</t>
  </si>
  <si>
    <t>reporté à la clôture projet, intervention SOV fin 2020</t>
  </si>
  <si>
    <t xml:space="preserve"> </t>
  </si>
  <si>
    <t>Missing organic membranes</t>
  </si>
  <si>
    <t>Shipment</t>
  </si>
  <si>
    <t>R:\QA-NVA IB\CAP\18036 Fufeng Lysine gasket leakage issue.docm</t>
  </si>
  <si>
    <t>HUAMING/ZY</t>
    <phoneticPr fontId="10" type="noConversion"/>
  </si>
  <si>
    <t>Gaskets of front piping leakage</t>
    <phoneticPr fontId="10" type="noConversion"/>
  </si>
  <si>
    <t>CAP_EMISES 2018\18037 GOI livraison silex.docm</t>
  </si>
  <si>
    <t>CV-1803-0017</t>
  </si>
  <si>
    <t>Damaged gravels bags/pallets</t>
  </si>
  <si>
    <t>cde en cours</t>
  </si>
  <si>
    <t>CAP_EMISES 2019\19001 Bac BW Agrana.docm</t>
  </si>
  <si>
    <t>FBI</t>
  </si>
  <si>
    <t>Back wash tank design</t>
  </si>
  <si>
    <t>R:\QA-NVA IB\CAP\19002 QNS 300# gaskest material mistake issue.docm</t>
  </si>
  <si>
    <t>QNS</t>
    <phoneticPr fontId="10" type="noConversion"/>
  </si>
  <si>
    <t>HUAMING</t>
    <phoneticPr fontId="10" type="noConversion"/>
  </si>
  <si>
    <t>Decolo/MF</t>
    <phoneticPr fontId="10" type="noConversion"/>
  </si>
  <si>
    <t>Material of 300# gasket should be PTFE instead of EPDM, wrong chosed in spec</t>
  </si>
  <si>
    <t>Commissioning</t>
    <phoneticPr fontId="10" type="noConversion"/>
  </si>
  <si>
    <t>CAP_EMISES 2019\19003 Friesland GOS75_Labbe\19003 GOS75_LABBE.docm</t>
  </si>
  <si>
    <t>LABBE</t>
  </si>
  <si>
    <t>Welding quality issue chromato columns</t>
  </si>
  <si>
    <t>A faire 01/21</t>
  </si>
  <si>
    <t>pas nouveau projet, à décaler 2021</t>
  </si>
  <si>
    <t>CAP_EMISES 2019\19004 Sunar\19004 SUNAR.docm</t>
  </si>
  <si>
    <t>LRD</t>
  </si>
  <si>
    <t>Sunar</t>
  </si>
  <si>
    <t>RD2018-048</t>
  </si>
  <si>
    <t>Insufficient URS at the begining of the project</t>
  </si>
  <si>
    <t>CAP_EMISES 2019\19005 GOI conditionnement résine\19005 GOI conditionnement résines.docm</t>
  </si>
  <si>
    <t>CDL</t>
  </si>
  <si>
    <t>Poor packaging of resins</t>
  </si>
  <si>
    <t>packaging</t>
  </si>
  <si>
    <t>CAP19052</t>
  </si>
  <si>
    <t>CAP_EMISES 2019\19006 PARAG Bolloré\19006 PARAG.docm</t>
  </si>
  <si>
    <t>Parag</t>
  </si>
  <si>
    <t>CV-1809-0017</t>
  </si>
  <si>
    <t>Bad resine reference sent to customer</t>
  </si>
  <si>
    <t>Bolloré</t>
  </si>
  <si>
    <t>CAP_EMISES 2019\19007 Olon Filtres\19007 OLON filtres auto-nettoyants.docm</t>
  </si>
  <si>
    <t>RDA</t>
  </si>
  <si>
    <t>OLON</t>
  </si>
  <si>
    <t>Important budget difference between offer and order of self-cleaning filters</t>
  </si>
  <si>
    <t>CAP_EMISES 2019\19008 Alkem Mauvais cablage\19008 Alkem Mauvais cablage.docm</t>
  </si>
  <si>
    <t>ALKEM</t>
  </si>
  <si>
    <t>Bad wiring done by customer from electrical diagrams provided</t>
  </si>
  <si>
    <t>CAP_EMISES 2019\19009 BBCA\19009 BBCA.docm</t>
  </si>
  <si>
    <t>SC</t>
  </si>
  <si>
    <t>CV-1902-0012</t>
  </si>
  <si>
    <t>Delay to place purchase order</t>
  </si>
  <si>
    <t>CAP_EMISES 2019\19010 Danone Nutricia\19010 Nutricia Danone.docm</t>
  </si>
  <si>
    <t>Danone</t>
  </si>
  <si>
    <t>EN-3168</t>
  </si>
  <si>
    <t>Hydrolysis of a customer sample stored at room temperature</t>
  </si>
  <si>
    <t>sample reception</t>
  </si>
  <si>
    <t>R:\QA-NVA IB\CAP\19011 CJ GMP3 LSH-LSL height mistake.docm</t>
  </si>
  <si>
    <t>CJ Liaocheng</t>
  </si>
  <si>
    <t>The height of LSH/LSL is wrong</t>
    <phoneticPr fontId="10" type="noConversion"/>
  </si>
  <si>
    <t>YES</t>
    <phoneticPr fontId="10" type="noConversion"/>
  </si>
  <si>
    <t>R:\QA-NVA IB\CAP\19012 CJ Jombang  CIEX resin package issue.docm</t>
  </si>
  <si>
    <t>Mitsubishi</t>
  </si>
  <si>
    <t>The resin package should be blank.</t>
  </si>
  <si>
    <t>Resin marking</t>
  </si>
  <si>
    <t>CAP_EMISES 2019\19013 QNS - blower\19013 Blower QNS.docm</t>
  </si>
  <si>
    <t>AERZEN</t>
  </si>
  <si>
    <t>Blower not purchased on time</t>
  </si>
  <si>
    <t>CAP_EMISES 2019\19014 Ingredion - Bray\19014 Ingredion -Bray.docm</t>
  </si>
  <si>
    <t>Ingredion</t>
  </si>
  <si>
    <t>Material of butterfly valves</t>
  </si>
  <si>
    <t>CAP_EMISES 2019\19015 Alkem - silex\19015 Alkem- silex.docm</t>
  </si>
  <si>
    <t>Alkem</t>
  </si>
  <si>
    <t>Gravel not delivered to customer site</t>
  </si>
  <si>
    <t>R:\QA-NVA IB\CAP\19016 CJ Brazil Sulzer motor issue.docm</t>
  </si>
  <si>
    <t>SUXI</t>
    <phoneticPr fontId="10" type="noConversion"/>
  </si>
  <si>
    <t>CJ Brazil</t>
  </si>
  <si>
    <t>SULZER</t>
    <phoneticPr fontId="10" type="noConversion"/>
  </si>
  <si>
    <t>The Sulzer motor missed delivery</t>
  </si>
  <si>
    <t>NO</t>
    <phoneticPr fontId="10" type="noConversion"/>
  </si>
  <si>
    <t>R:\QA-NVA IB\CAP\19017 CJ Brazil Ebro delivery mistake issue.docm</t>
  </si>
  <si>
    <t>Ebro</t>
    <phoneticPr fontId="10" type="noConversion"/>
  </si>
  <si>
    <t>The Ebro valves delivery mistake</t>
  </si>
  <si>
    <t>R:\QA-NVA IB\CAP\19018 HuaQiao Ebro valves indicator wrong position issue.docm</t>
  </si>
  <si>
    <t>GYO</t>
    <phoneticPr fontId="10" type="noConversion"/>
  </si>
  <si>
    <t>HUAQIAO</t>
    <phoneticPr fontId="10" type="noConversion"/>
  </si>
  <si>
    <t>Butterfly valve disc position indicators are wrongly mounted</t>
  </si>
  <si>
    <t>R:\QA-NVA IB\CAP\19019  Klim 3 (Ethiopia) import resin packing list issue.docm</t>
  </si>
  <si>
    <t>KLIM</t>
    <phoneticPr fontId="10" type="noConversion"/>
  </si>
  <si>
    <t>Decolo</t>
    <phoneticPr fontId="10" type="noConversion"/>
  </si>
  <si>
    <t>Resin packing list information wrong</t>
  </si>
  <si>
    <t>CAP_EMISES 2019\19020 Olon EV\19020 OLON Electrovannes VAC - VDC.docm</t>
  </si>
  <si>
    <t>MF solenoid valves specifications error</t>
  </si>
  <si>
    <t>R:\QA-NVA IB\CAP\19021 CJ Brazil Sulzer coupling issue.docm</t>
  </si>
  <si>
    <t>CJ Brazil</t>
    <phoneticPr fontId="10" type="noConversion"/>
  </si>
  <si>
    <t>Sulzer circulation pump GA2242 coupling rubber tire(Martin) was broken</t>
    <phoneticPr fontId="10" type="noConversion"/>
  </si>
  <si>
    <t>CAP_EMISES 2019\19022 Pfeifer and langen\19022 Pfeifer and langen - positionnement pied des colones.docm</t>
  </si>
  <si>
    <t>Misposition column feet</t>
  </si>
  <si>
    <t>CAP_EMISES 2019\19023 MAG\19023 MAG.docm</t>
  </si>
  <si>
    <t>MAG</t>
  </si>
  <si>
    <t>Untested exchange table on customer site</t>
  </si>
  <si>
    <t>CAP_EMISES 2019\19024 TEREOS Chevrières\19024 TEREOS CHEVRIERES RESINES.docm</t>
  </si>
  <si>
    <t>Tereos Chevrières</t>
  </si>
  <si>
    <t>CV-1903-0027</t>
  </si>
  <si>
    <t>Lack of resins delivery information</t>
  </si>
  <si>
    <t>R:\QA-NVA IB\CAP\19025 Fufeng 10 flashing tank flange mistake.docm</t>
  </si>
  <si>
    <t>ZY</t>
    <phoneticPr fontId="10" type="noConversion"/>
  </si>
  <si>
    <t>Flange DN150 on degassing tank F160 is too small</t>
  </si>
  <si>
    <t>CAP_EMISES 2019\19026 MAG reglage parametres\19026 MAG.docm</t>
  </si>
  <si>
    <t>Default settings and screenshot</t>
  </si>
  <si>
    <t>CAP_EMISES 2019\19027 OLON- montage sondes\19027 OLON montage sondes.docm</t>
  </si>
  <si>
    <t>Mounting problem pH and conductivity probes</t>
  </si>
  <si>
    <t>CAP_EMISES 2019\19028 QNS- refroidisseur\19028 QNS -Air cooler.docm</t>
  </si>
  <si>
    <t>Air cooler order not generated despite of its specification</t>
  </si>
  <si>
    <t>R:\QA-NVA IB\CAP\19029 CJ Liaocheng Bolts length issue.docm</t>
  </si>
  <si>
    <t>CJ LIAOCHENG</t>
  </si>
  <si>
    <t>CIEX</t>
    <phoneticPr fontId="10" type="noConversion"/>
  </si>
  <si>
    <t>Bolts length is not long enough</t>
    <phoneticPr fontId="10" type="noConversion"/>
  </si>
  <si>
    <t>R:\QA-NVA IB\CAP\19030 CJ Liaocheng fasterner drawing updating issue.docm</t>
  </si>
  <si>
    <t>CJ LIAOCHENG</t>
    <phoneticPr fontId="10" type="noConversion"/>
  </si>
  <si>
    <t>Drawing updating and following should be continuously tracking</t>
    <phoneticPr fontId="10" type="noConversion"/>
  </si>
  <si>
    <t>CAP_EMISES 2019\19031 ADM- Bolloré\19031 ADM - Bolloré.docm</t>
  </si>
  <si>
    <t>CJA</t>
  </si>
  <si>
    <t>CV-1905-0071</t>
  </si>
  <si>
    <t>Package sent by mistake to a customer</t>
  </si>
  <si>
    <t>Connection issue pH and conductivity probes on tank (NA Connect)</t>
  </si>
  <si>
    <t>CAP_EMISES 2019\19033 Pfeifer &amp; Langen moteur ventilateur\19033 Pfeifer &amp; Langen moteru ventilo.docm</t>
  </si>
  <si>
    <t>Fan blower forgotten for electrical study</t>
  </si>
  <si>
    <t>CAP_EMISES 2019\19034 Chengxin Bolloré\19034 Chengxin Bolloré.docm</t>
  </si>
  <si>
    <t>CHENGXIN</t>
  </si>
  <si>
    <t>Issue with Re-Labelling of XA Resins by our Logistic Supplier</t>
  </si>
  <si>
    <t>CAP_EMISES 2019\19035 OLON MTCI\19035 OLON_MTCI drain MF.docm</t>
  </si>
  <si>
    <t>Manufacturing and mounting failure of MF drain piping</t>
  </si>
  <si>
    <t>CAP_EMISES 2019\19036 Etude labo\19036 Etuve labo.docm</t>
  </si>
  <si>
    <t>Overheating of a R&amp;D oven</t>
  </si>
  <si>
    <t>CAP_EMISES 2019\19037 définition DP\19037 P&amp;L DP.docm</t>
  </si>
  <si>
    <t>DP definition</t>
  </si>
  <si>
    <t>CAP_EMISES 2019\19038 Dédouanement produit R&amp;D\19038 Tate &amp; Lyle_dédouanement produit R&amp;D.docm</t>
  </si>
  <si>
    <t>AGI</t>
  </si>
  <si>
    <t>Tate &amp; Lyle</t>
  </si>
  <si>
    <t>2019-044</t>
  </si>
  <si>
    <t>Customer sample received late at NVS SMB</t>
  </si>
  <si>
    <t>CAP_EMISES 2019\19039 Ingredion\19039 Ingredion.docm</t>
  </si>
  <si>
    <t>Forgotten item from Novasep scope</t>
  </si>
  <si>
    <t>CAP_EMISES 2019\19040 Rousselot\19040 Rousselot membranes trop courtes.docm</t>
  </si>
  <si>
    <t>Rousselot</t>
  </si>
  <si>
    <t>CV-1904-0060</t>
  </si>
  <si>
    <t>Kerasep membrane length problem</t>
  </si>
  <si>
    <t>CAP_EMISES 2019\19041 Parry Sugar livraison mbres NF\19041 Parry Sugar-livraison mbres NF.docm</t>
  </si>
  <si>
    <t>YVI</t>
  </si>
  <si>
    <t>Parry Sugar</t>
  </si>
  <si>
    <t>CV-1810-0047</t>
  </si>
  <si>
    <t>NF membranes quantity delivery error</t>
  </si>
  <si>
    <t>CAP_EMISES 2019\19042 Beneo Orafti-retards livraisons résines\19042 BENEO Orafti-retards livraisons résines.docx</t>
  </si>
  <si>
    <t>Lanxess</t>
  </si>
  <si>
    <t>CV-1808-0002</t>
  </si>
  <si>
    <t xml:space="preserve">Resins delivery delay </t>
  </si>
  <si>
    <t>A faire 12/2020</t>
  </si>
  <si>
    <t>réunion Direction S48</t>
  </si>
  <si>
    <t>CAP_EMISES 2019\19043 LAICA-étiquettage résine erroné</t>
  </si>
  <si>
    <t>LAICA</t>
  </si>
  <si>
    <t>CV-1812-0025</t>
  </si>
  <si>
    <t>Resins labeling error</t>
  </si>
  <si>
    <t>Labelling</t>
  </si>
  <si>
    <t>CAP20020</t>
  </si>
  <si>
    <t>R:\QA-NVA IB\CAP\19044 CJ Liaocheng Bray butterfly valves quality issue.docx</t>
  </si>
  <si>
    <t>CIEX</t>
  </si>
  <si>
    <t>Bray butterfly valves quality problem</t>
    <phoneticPr fontId="10" type="noConversion"/>
  </si>
  <si>
    <t>project closed</t>
  </si>
  <si>
    <t>CSU</t>
  </si>
  <si>
    <t>R:\QA-NVA IB\CAP\19045 Chengxin resin leakage issue.docx</t>
  </si>
  <si>
    <t>Runyuan/Finex</t>
  </si>
  <si>
    <t>Resin leakage is found from strainers during resin loading phase</t>
    <phoneticPr fontId="10" type="noConversion"/>
  </si>
  <si>
    <t>Start up</t>
  </si>
  <si>
    <t>CAP_EMISES 2019\19046 Ennolys\19046 ENNOLYS .docx</t>
  </si>
  <si>
    <t>SLO</t>
  </si>
  <si>
    <t>Ennolys</t>
  </si>
  <si>
    <t xml:space="preserve">CV-1910-0082 </t>
  </si>
  <si>
    <t>Order confirmation and delay too long</t>
  </si>
  <si>
    <t>CAP_EMISES 2019\19047 CKD\19047 CKD.docx</t>
  </si>
  <si>
    <t>CKD</t>
  </si>
  <si>
    <t xml:space="preserve">CV-1909-0031 </t>
  </si>
  <si>
    <t>Successive postponements of the delivery date</t>
  </si>
  <si>
    <t>CAP_EMISES 2019\19048 Puratos\19048 PURATOS.docx</t>
  </si>
  <si>
    <t>Puratos</t>
  </si>
  <si>
    <t>CV-1910-0053</t>
  </si>
  <si>
    <t>CAP_EMISES 2019\19049 pilote Evapo\19049 pilote Evapo R&amp;D-séparateur.docx</t>
  </si>
  <si>
    <t>Concept inox</t>
  </si>
  <si>
    <t>Connection of the new separator evaporation pilot incorrectly positioned</t>
  </si>
  <si>
    <t>Piloting</t>
  </si>
  <si>
    <t>après déplacement des évapo</t>
  </si>
  <si>
    <t>CAP_EMISES 2019\19050 Ingredion - DP C201\19050 Ingredion - pressure drops on lower network cell C201.docm</t>
  </si>
  <si>
    <t>Excessive pressure drop on lower network cell C201</t>
  </si>
  <si>
    <t>R:\QA-NVA IB\CAP\19051 CJ P6 columns delay issue.docx</t>
  </si>
  <si>
    <t>CJ P6</t>
    <phoneticPr fontId="10" type="noConversion"/>
  </si>
  <si>
    <t>GUANGXIN</t>
    <phoneticPr fontId="10" type="noConversion"/>
  </si>
  <si>
    <t>Columns delay ,can't catch the schedule</t>
    <phoneticPr fontId="10" type="noConversion"/>
  </si>
  <si>
    <t>CQ</t>
  </si>
  <si>
    <t>Management</t>
  </si>
  <si>
    <t>CAP_EMISES 2019\19052 Galactic\19052 Galactic.docx</t>
  </si>
  <si>
    <t>CV-1908-0031</t>
  </si>
  <si>
    <t>Delivery without customer agreement and packaging error</t>
  </si>
  <si>
    <t>Packaging</t>
  </si>
  <si>
    <t>CAP_EMISES 2019\19053 Etihad - Licence\19053 Etihad - licence d'exportation.docx</t>
  </si>
  <si>
    <t>Etihad</t>
  </si>
  <si>
    <t>CV-1907-0015</t>
  </si>
  <si>
    <t>Shipment of NF membranes subject to export license without license</t>
  </si>
  <si>
    <t>R:\QA-NVA IB\CAP\19054 CJ Liaocheng Bray butterfly valves issue.docm</t>
  </si>
  <si>
    <t>CJ liaocheng</t>
    <phoneticPr fontId="10" type="noConversion"/>
  </si>
  <si>
    <t>Bray</t>
    <phoneticPr fontId="10" type="noConversion"/>
  </si>
  <si>
    <t>The spring in the pneumatic butterfly actuator cannot close the valve completely</t>
  </si>
  <si>
    <t>CAP_EMISES 2020\20001 Evapo verre\20001 Casse Evapo verre.docm</t>
  </si>
  <si>
    <t>UPM C6</t>
  </si>
  <si>
    <t>2019-055</t>
  </si>
  <si>
    <t>Brocken glass separator of the evapo pilot</t>
  </si>
  <si>
    <t>A faire 12/21</t>
  </si>
  <si>
    <t>CAP_EMISES 2020\20002 ADM US\20002 ADM.docx</t>
  </si>
  <si>
    <t>Incorrect gravel loading at start-up / Unsuccessful customer service intervention</t>
  </si>
  <si>
    <t>CAP_EMISES 2020\20003 Cargill Butterfly\20003 CARGILL BUTTERFLY - FT DEM.docx</t>
  </si>
  <si>
    <t>Cargill Butterfly</t>
  </si>
  <si>
    <t>CAP_EMISES 2020\20004 Cargill Butterfly-pompes KSB\20004 Cargill Butterfly-Sheet-Pump quotation.docx</t>
  </si>
  <si>
    <t>CDV</t>
  </si>
  <si>
    <t>Quotation</t>
  </si>
  <si>
    <t>CAP_EMISES 2020\20005 Tereos Nesle\20005 TEREOS NESLE.docx</t>
  </si>
  <si>
    <t>SUEZ</t>
  </si>
  <si>
    <t>CA-1811-0239</t>
  </si>
  <si>
    <t>default NF membrane</t>
  </si>
  <si>
    <t>R:\QA-NVA IB\CAP\20006 CJ P6 stud welded rod fall off from internal box issue.docm</t>
  </si>
  <si>
    <t>Guanxing</t>
    <phoneticPr fontId="10" type="noConversion"/>
  </si>
  <si>
    <t>Stud welded rod fall off from internal box</t>
  </si>
  <si>
    <t>CAP_EMISES 2020\20007 SOFIVO\20007 SOFIVO- MEGA.docx</t>
  </si>
  <si>
    <t>CV1910-0033</t>
  </si>
  <si>
    <t>Ground welded bolt missing on ED stack</t>
  </si>
  <si>
    <t>R:\QA-NVA IB\CAP\20008 CJ P6 S parts welding issue.docm</t>
  </si>
  <si>
    <t>USACO</t>
    <phoneticPr fontId="10" type="noConversion"/>
  </si>
  <si>
    <t>Spare parts welding crack</t>
  </si>
  <si>
    <t>R:\QA-NVA IB\CAP\20009 Shuangqiao10 membrane type issue.docx</t>
  </si>
  <si>
    <t>CTI</t>
    <phoneticPr fontId="10" type="noConversion"/>
  </si>
  <si>
    <t>Membrane quantity and type</t>
    <phoneticPr fontId="10" type="noConversion"/>
  </si>
  <si>
    <t>Purchase</t>
    <phoneticPr fontId="10" type="noConversion"/>
  </si>
  <si>
    <t>R:\QA-NVA IB\CAP\20010 Fufeng10 gravel quality issue.docm</t>
  </si>
  <si>
    <t>Kebao</t>
    <phoneticPr fontId="10" type="noConversion"/>
  </si>
  <si>
    <t>Gravel quality issue</t>
  </si>
  <si>
    <t>R:\QA-NVA IB\CAP\20011 front piping budget for small columns issue.docm</t>
  </si>
  <si>
    <t>CITIC</t>
    <phoneticPr fontId="10" type="noConversion"/>
  </si>
  <si>
    <t>Front piping budget for small column is not enough</t>
  </si>
  <si>
    <t>R:\QA-NVA IB\CAP\20012 Fufeng10 complain for gravel issue.docm</t>
  </si>
  <si>
    <t>Claim</t>
    <phoneticPr fontId="10" type="noConversion"/>
  </si>
  <si>
    <t>Gravel quality issue need be solved</t>
    <phoneticPr fontId="10" type="noConversion"/>
  </si>
  <si>
    <t>R:\QA-NVA IB\CAP\20013 Cargill Zest PP fixation plate machining dimensions issue.docm</t>
  </si>
  <si>
    <t>Cargill Zest</t>
    <phoneticPr fontId="10" type="noConversion"/>
  </si>
  <si>
    <t>WUXI RUNJIA</t>
    <phoneticPr fontId="10" type="noConversion"/>
  </si>
  <si>
    <t>PP fixation plate machining dimensions is wrong</t>
    <phoneticPr fontId="10" type="noConversion"/>
  </si>
  <si>
    <t>CAP_EMISES 2020\20014 CKD Module K01\20014 CKD module K01.docx</t>
  </si>
  <si>
    <t>Grayel</t>
  </si>
  <si>
    <t>CV-1910-0104</t>
  </si>
  <si>
    <t>Wrong sizes of K01 module</t>
  </si>
  <si>
    <t>R:\QA-NVA IB\CAP\20015 Huakang 2 PP Support issue.docx</t>
  </si>
  <si>
    <t>Huakang</t>
    <phoneticPr fontId="10" type="noConversion"/>
  </si>
  <si>
    <t>Runjia</t>
    <phoneticPr fontId="10" type="noConversion"/>
  </si>
  <si>
    <t>Wrong size of PP support</t>
    <phoneticPr fontId="10" type="noConversion"/>
  </si>
  <si>
    <t>R:\QA-NVA IB\CAP\20016 CJ GMP3 PP-FRP pipe broken issue.docm</t>
  </si>
  <si>
    <t>CJ Liaocheng GMP3</t>
    <phoneticPr fontId="10" type="noConversion"/>
  </si>
  <si>
    <t>PP-FRP pipe is broken issue</t>
    <phoneticPr fontId="10" type="noConversion"/>
  </si>
  <si>
    <t>CAP_EMISES 2020\20017 Prolactal\20017 Prolactal.docx</t>
  </si>
  <si>
    <t>MAB</t>
  </si>
  <si>
    <t>Masoneilan</t>
  </si>
  <si>
    <t>CV-2002-0031</t>
  </si>
  <si>
    <t>Delivered valves damaged</t>
  </si>
  <si>
    <t>CAP_EMISES 2020\20018 Cargill\20018 Cargill Boz.docx</t>
  </si>
  <si>
    <t>ENA</t>
  </si>
  <si>
    <t>Cargill Boz</t>
  </si>
  <si>
    <t>CompositeVec</t>
  </si>
  <si>
    <t>CS3197</t>
  </si>
  <si>
    <t>Baskets mixed up during pre-mounting</t>
  </si>
  <si>
    <t>Pre-Mouting</t>
  </si>
  <si>
    <t>\\srvshafs01\shares\Public\Quality\archieve\QA-NVA IB\CAP\Closed CAP\20019 Mipeng NF housing leakage issue-20210325-close.docm</t>
  </si>
  <si>
    <t>MIPENG</t>
  </si>
  <si>
    <t>ROPV</t>
  </si>
  <si>
    <t>NF housing leakage</t>
  </si>
  <si>
    <t>DWA</t>
  </si>
  <si>
    <t>A faire 04/21</t>
  </si>
  <si>
    <t>CAP_EMISES 2020\20020 BENEO Oreye\20020 BENEO Oreye.docx</t>
  </si>
  <si>
    <t>BENEO Oreye</t>
  </si>
  <si>
    <t>CV-1912-0072</t>
  </si>
  <si>
    <t>CAP_EMISES 2020\20021 PT SUJ dédouanement\20021 PT SUJ dédouanement.docx</t>
  </si>
  <si>
    <t>PT SUJ</t>
  </si>
  <si>
    <t>CS3243</t>
  </si>
  <si>
    <t>Incorrect customs values on invoices</t>
  </si>
  <si>
    <t>CAP_EMISES 2020\20022 Pilotage Laredo-Colonne IEX\20022 pilotage Laredo - Colonne IEX.docx</t>
  </si>
  <si>
    <t>Manuelita Laredo pilotage</t>
  </si>
  <si>
    <t>EN3241</t>
  </si>
  <si>
    <t>Resin projection IEX pilot</t>
  </si>
  <si>
    <t>HOS</t>
  </si>
  <si>
    <t>R:\archieve\QA-NVA IB\CAP\Closed CAP\21001 NF housing leakage issue CLOSE 210514.docx</t>
  </si>
  <si>
    <t>Huaqiao</t>
  </si>
  <si>
    <t>First Line</t>
  </si>
  <si>
    <t>CAP_EMISES 2021\21002 CAPUA sortie effluents\21002 CAPUA sortie effluent.docx</t>
  </si>
  <si>
    <t>CS3233</t>
  </si>
  <si>
    <t>Effluent to be connected to customer sewers</t>
  </si>
  <si>
    <t>CAP_EMISES 2021\21003 GOI étiquetage résine\21003 GOI Erreur étiquetage.docx</t>
  </si>
  <si>
    <t>CV-2005-0051</t>
  </si>
  <si>
    <t>CAP_EMISES 2021\21004 BENEO Oreye\21004 BENO OREYE.docx</t>
  </si>
  <si>
    <t>Forgotten pallett, not delivered</t>
  </si>
  <si>
    <t>CAP_EMISES 2021\21005 Beneo KSB\21005 Bénéo-KSB retard livraison .docx</t>
  </si>
  <si>
    <t>KSB</t>
  </si>
  <si>
    <t>Late delivery of the centrifugal pumps order</t>
  </si>
  <si>
    <t>Delivery</t>
  </si>
  <si>
    <t>Black listé pas de nvelle cde</t>
  </si>
  <si>
    <t>\\srvshafs01\shares\Public\Quality\archieve\QA-NVA IB\CAP\Closed CAP\21006 Cargill Mounting issue of internal box.docm</t>
  </si>
  <si>
    <t>KYU</t>
  </si>
  <si>
    <t>QC</t>
  </si>
  <si>
    <t>CS3253</t>
  </si>
  <si>
    <t>Mounting issue of internal box</t>
  </si>
  <si>
    <t>GREE</t>
  </si>
  <si>
    <t>A faire 09/21</t>
  </si>
  <si>
    <t>CAP_EMISES 2021\21007 HSN-Tetrapak\21007 HSN-Tetrapak.docx</t>
  </si>
  <si>
    <t>HSN-Tetrapak</t>
  </si>
  <si>
    <t xml:space="preserve">CV-2101-0037 </t>
  </si>
  <si>
    <t>Order delivery error</t>
  </si>
  <si>
    <t>CAP_EMISES 2021\21008 Polypeptide US\21008  pb création projet comptable US sur ISIS.docx</t>
  </si>
  <si>
    <t>Polypeptides US</t>
  </si>
  <si>
    <t>AJO-0386</t>
  </si>
  <si>
    <t>Creation of US accounting project on ISIS</t>
  </si>
  <si>
    <t>CAP_EMISES 2021\21009 Tereos -sight glass\21009 Tereos_Sight glass.docx</t>
  </si>
  <si>
    <t>Tereos Connantres</t>
  </si>
  <si>
    <t>Gree / SPA</t>
  </si>
  <si>
    <t>CS3219</t>
  </si>
  <si>
    <t>Spare sightglass missing and bad quality for sightglass gaskets</t>
  </si>
  <si>
    <t>Revamping</t>
  </si>
  <si>
    <t>CAP_EMISES 2021\21010 Tereos -perte de charge\21010 TEREOS_perte de charge DK.docx</t>
  </si>
  <si>
    <t>High pressure drop in production</t>
  </si>
  <si>
    <t>après nvelle campagne</t>
  </si>
  <si>
    <t>CAP_EMISES 2021\21011 Praj-fuite module NF\21011 Praj-fuite module NF.docx</t>
  </si>
  <si>
    <t>PRAJ</t>
  </si>
  <si>
    <t>EN3274</t>
  </si>
  <si>
    <t>2020-030</t>
  </si>
  <si>
    <t>Product leakage, high pressure</t>
  </si>
  <si>
    <t>CAP_EMISES 2021\21012 Açucareira Quatá - CUF\21012 Açucareira Quatá-CUF.docx</t>
  </si>
  <si>
    <t>AAM</t>
  </si>
  <si>
    <t>Açucareira Quatá</t>
  </si>
  <si>
    <t>CV-2101-0014</t>
  </si>
  <si>
    <t>Exportation certificate unsend to the client on time</t>
  </si>
  <si>
    <t>CAP_EMISES 2021\21013 Cevital- licence exportation\21013 Cevital - licence exportation.docx</t>
  </si>
  <si>
    <t>SSI</t>
  </si>
  <si>
    <t>ADV</t>
  </si>
  <si>
    <t>CV-2011-0059</t>
  </si>
  <si>
    <t>Export licence not request</t>
  </si>
  <si>
    <t>Expedition</t>
  </si>
  <si>
    <t>CAP_EMISES 2021\21014 Savola-Purolite\21014 Savola-Résine Purolite.docx</t>
  </si>
  <si>
    <t>Savola</t>
  </si>
  <si>
    <t>Resin delivery in non neutral Big Bag</t>
  </si>
  <si>
    <t>CAP_EMISES 2021\21015 Nutribio-Suez\21015 NUTRIBIO-Suez.docx</t>
  </si>
  <si>
    <t>Nutribio</t>
  </si>
  <si>
    <t>Suez</t>
  </si>
  <si>
    <t>CV-2101-0062</t>
  </si>
  <si>
    <t>Late delivery NF membranes</t>
  </si>
  <si>
    <t>CAP_EMISES 2021\21016 Cargill-SPA\21016 Cargill SPA column rust.docx</t>
  </si>
  <si>
    <t>ABN/KYU</t>
  </si>
  <si>
    <t>à la fin des projets Cargill</t>
  </si>
  <si>
    <t>CAP_EMISES 2021\21017 Tereos Nesle- mbre NF\21017 TEREOS Nesle - mbre NF.docx</t>
  </si>
  <si>
    <t>CV-2012-0009</t>
  </si>
  <si>
    <t>NF mbre performance out of specification at start up</t>
  </si>
  <si>
    <t>CAP22001</t>
  </si>
  <si>
    <t>CAP_EMISES 2021\21018 Sucro - DOW resin order\21018 Sucro-resin order.docx</t>
  </si>
  <si>
    <t>Sucro</t>
  </si>
  <si>
    <t>DOW US</t>
  </si>
  <si>
    <t>Resin order not received by Dow</t>
  </si>
  <si>
    <t xml:space="preserve">Acknowledgment of receipt </t>
  </si>
  <si>
    <t>R:\archieve\QA-NVA IB\CAP\Closed CAP\21019 Jindan wrong internal diameter of PPH+FRP pipe.docx</t>
  </si>
  <si>
    <t>MYA</t>
  </si>
  <si>
    <t>Jindan</t>
  </si>
  <si>
    <t>Tecofi/Plasticon</t>
  </si>
  <si>
    <t>wrong internal chord length of valve disc</t>
  </si>
  <si>
    <t>R:\archieve\QA-NVA IB\CAP\21020 Cargill MicroBA transportation &amp; packing issue.docx</t>
  </si>
  <si>
    <t>Cargill MicroBA</t>
  </si>
  <si>
    <t>packing &amp; saddles and lifting issue</t>
  </si>
  <si>
    <t>CAP_EMISES 2021\21021 Cargill Haubourdin\21021 Cargill Haubourdin joints EPDM-ébonite.docx</t>
  </si>
  <si>
    <t>Cargill Haubourdin</t>
  </si>
  <si>
    <t>Gree SPA</t>
  </si>
  <si>
    <t>Resin leakage : EPDM gasket pb, rubber lining pb</t>
  </si>
  <si>
    <t>CAP_EMISES 2021\21022 Hochdorf Swiss Nutrition AG\21022 Hochdorf Swiss Nutrition-démarquage résine.docx</t>
  </si>
  <si>
    <t>Hochdorf Swiss Nutrition AG</t>
  </si>
  <si>
    <t>CVS-2105-0023</t>
  </si>
  <si>
    <t>No resins relabelling by our Logistic Supplier</t>
  </si>
  <si>
    <t>MSU</t>
  </si>
  <si>
    <t>Fufeng Zhalantun</t>
  </si>
  <si>
    <t>Financial unbalance caused by closed project purchase</t>
  </si>
  <si>
    <t>purchase</t>
  </si>
  <si>
    <t>CANCELLED</t>
  </si>
  <si>
    <t>CAP_EMISES 2021\21024 Fufneg Longjiang\21024-Fufeng Longjiang Membrane breakage issue CPT MSU.docx</t>
  </si>
  <si>
    <t>MYU</t>
  </si>
  <si>
    <t>Fufeng Longjiang</t>
  </si>
  <si>
    <t>membrane breakage issue</t>
  </si>
  <si>
    <t>30/03/2022</t>
  </si>
  <si>
    <t>CAP_EMISES 2021\21025 CEVITAL\21025 CEVITAL origine résines EUR1.docx</t>
  </si>
  <si>
    <t>European origin goods</t>
  </si>
  <si>
    <t>CAP_EMISES 2021\21026 21027 Bonumose\21026 Bonumose-Heating system unit.docx</t>
  </si>
  <si>
    <t>Bonumose</t>
  </si>
  <si>
    <t>Extra cost for heating system</t>
  </si>
  <si>
    <t>CPL quotation</t>
  </si>
  <si>
    <t>CAP_EMISES 2021\21026 21027 Bonumose\21027 Bonumose-Ultrafiltration unit.docx</t>
  </si>
  <si>
    <t>Extra cost for UF unit</t>
  </si>
  <si>
    <t>CAP_EMISES 2021\21028 Savola\21028 Savola skid NF - tank level.docx</t>
  </si>
  <si>
    <t xml:space="preserve">Savola </t>
  </si>
  <si>
    <t>NF Skid level in tank and counterpressure</t>
  </si>
  <si>
    <t>ASJ</t>
  </si>
  <si>
    <t>CAP_EMISES 2021\21029 Rousselot\21029 Rousselot.docx</t>
  </si>
  <si>
    <t>ChaudriConcept</t>
  </si>
  <si>
    <t>CS3286</t>
  </si>
  <si>
    <t>SS strainers mounting issue</t>
  </si>
  <si>
    <t>voir si new projet rentré</t>
  </si>
  <si>
    <t>CAP_EMISES 2021\21030 Inopor\21030 Inopor- Mbres abimées-ébréchées en périphérie.docx</t>
  </si>
  <si>
    <t>KIE</t>
  </si>
  <si>
    <t>INOPOR</t>
  </si>
  <si>
    <t>CAS-2105-0050</t>
  </si>
  <si>
    <t>Quality issue on membranes delivery</t>
  </si>
  <si>
    <t>Inopor</t>
  </si>
  <si>
    <t>CAP_EMISES 2021\21031 Rousselot -anneaux de renfort\21031 Rousselot-position anneaux de renfort.docx</t>
  </si>
  <si>
    <t>Bad positioning of reinfortement ring</t>
  </si>
  <si>
    <t>FAT</t>
  </si>
  <si>
    <t>Chaudriconcept</t>
  </si>
  <si>
    <t>si nouveau projet rousselot</t>
  </si>
  <si>
    <t>CAP_EMISES 2021\21032 Rousselot - raccord entrée-sortie\21032 Rousselot-raccords DIN-SMS.docx</t>
  </si>
  <si>
    <t>DIN connection supply instead of SMS</t>
  </si>
  <si>
    <t>CAP_EMISES 2021\21033 SQ- Silex Sibelco\21033 SQ - Silex Sibelco.docx</t>
  </si>
  <si>
    <t>SQ-NVS trading</t>
  </si>
  <si>
    <t>Sibelco</t>
  </si>
  <si>
    <t>CV-2103-0075</t>
  </si>
  <si>
    <t>Issue of size range gravel</t>
  </si>
  <si>
    <t>CAP_EMISES 2021\21034 Cargill MicroBA\21034 Cargill MicroBA - Tag plates inversion.docx</t>
  </si>
  <si>
    <t>Gree/SPA</t>
  </si>
  <si>
    <t>Inversion of the columns tags plates</t>
  </si>
  <si>
    <t>CAP_EMISES 2021\21035 Etihad-Aqua Com\21035 Etihad-TP Aqua Com.docx</t>
  </si>
  <si>
    <t>Aqua Com</t>
  </si>
  <si>
    <t>Leakage, pressure vessels coating quality  problem</t>
  </si>
  <si>
    <t>CAP_EMISES 2021\21036 Cargill MicroBA-ABB\21036 Cargill MicroBA_ABB.docx</t>
  </si>
  <si>
    <t>ABB</t>
  </si>
  <si>
    <t>Reference error of the supplied pressure sensors</t>
  </si>
  <si>
    <t>R:\archieve\QA-NVA IB\CAP\21037-Dysfunction of supplier Guanxing.docx</t>
  </si>
  <si>
    <t>EWA</t>
  </si>
  <si>
    <t>Lvyuan</t>
  </si>
  <si>
    <t>Guanxing</t>
  </si>
  <si>
    <t>Dysfunction of supplier Guanxing</t>
  </si>
  <si>
    <t>CAP_EMISES 2021\21038 Gambro- CTI erreur impression cut off membrane\21038 Gambro - CTI erreur impression cut off membrane KERASEP.docx</t>
  </si>
  <si>
    <t>Gambro</t>
  </si>
  <si>
    <t>CVS-2109-0013</t>
  </si>
  <si>
    <t>Cut off labeling error on Kerasep mbre</t>
  </si>
  <si>
    <t>CAP_EMISES 2022\22001 Teréos - Suez\22001 TEREOS Nesle - mbre NF.docx</t>
  </si>
  <si>
    <t>CV-2012-0011</t>
  </si>
  <si>
    <t>CAP_EMISES 2022\22002 SQ - Polarimeter\22002 SQ 10 - polarimeter.docx</t>
  </si>
  <si>
    <t>CPR</t>
  </si>
  <si>
    <t>Innov</t>
  </si>
  <si>
    <t>SQ10</t>
  </si>
  <si>
    <t>Lost polarimeter</t>
  </si>
  <si>
    <t>GSU</t>
  </si>
  <si>
    <t>S:\archieve\QA-NVA IB\CAP\Closed CAP</t>
  </si>
  <si>
    <t>SQ12</t>
  </si>
  <si>
    <t>Name plates misplaced</t>
  </si>
  <si>
    <t>Guanxing &amp; FDS</t>
  </si>
  <si>
    <t>15490/16979</t>
  </si>
  <si>
    <t>Column rods broken or missing</t>
  </si>
  <si>
    <t>CAP_EMISES 2022\22005 Ram Sucre- Composites Vec\22005 RAM SUCRE - buses décolo.docx</t>
  </si>
  <si>
    <t>RAM Sucre</t>
  </si>
  <si>
    <t>CV-1903-0048</t>
  </si>
  <si>
    <t>Issue of nozzle rod length</t>
  </si>
  <si>
    <t>Client's maintenance</t>
  </si>
  <si>
    <t>CAP_EMISES 2022\22006 Sucro-Bossard\22006 SUCRO-CPU sizing.docx</t>
  </si>
  <si>
    <t>SUCRO</t>
  </si>
  <si>
    <t>CPU size too small</t>
  </si>
  <si>
    <t>voir projet Wuyang</t>
  </si>
  <si>
    <t>CAP_EMISES 2022\22007 Cristal Union\22007 Cristal Union-FACADE.docx</t>
  </si>
  <si>
    <t>Cristal Union</t>
  </si>
  <si>
    <t>DK NRS</t>
  </si>
  <si>
    <t>Front piping budget underestimated</t>
  </si>
  <si>
    <t>Order intake</t>
  </si>
  <si>
    <t>Budget Quotation</t>
  </si>
  <si>
    <t>CAP_EMISES 2022\22008 Tessier-casse mbre à réception\22008 Tessier_Membrane cassée à réception.docx</t>
  </si>
  <si>
    <t>Tessier</t>
  </si>
  <si>
    <t>DHL</t>
  </si>
  <si>
    <t>CVS-2111-0007</t>
  </si>
  <si>
    <t>Broken membranes upon client receipt</t>
  </si>
  <si>
    <t>DYG</t>
  </si>
  <si>
    <t xml:space="preserve">Ends of alpha mbre worn out after 3 months usage </t>
  </si>
  <si>
    <t>CAP_EMISES 2022\22010 Fuite appareil Kjeldahl\22010 Fuite appareil Kjedahl.docx</t>
  </si>
  <si>
    <t>Abbott</t>
  </si>
  <si>
    <t>AJO-0409</t>
  </si>
  <si>
    <t>Water leak</t>
  </si>
  <si>
    <t>Analysis</t>
  </si>
  <si>
    <t>CAP_EMISES 2022\22011 Sucro - incohérence PID-3D\22011 SUCRO_3D Skid NF not updated.docx</t>
  </si>
  <si>
    <t>TCC</t>
  </si>
  <si>
    <t>ZIYOU</t>
  </si>
  <si>
    <t>Inconsistences between PID and 3D Model of NF Skid</t>
  </si>
  <si>
    <t>CAP_EMISES 2022\22012 Beneo Oreyes- InaceInox\22012 Beneo Oreye - InaceInox.docx</t>
  </si>
  <si>
    <t>TPI</t>
  </si>
  <si>
    <t>Beneo Oreye</t>
  </si>
  <si>
    <t>InaceInox</t>
  </si>
  <si>
    <t>CS3290</t>
  </si>
  <si>
    <t>Reliability of supplier (deadlines and quality)</t>
  </si>
  <si>
    <t>S:\archieve\QA-NVA IB\CAP</t>
  </si>
  <si>
    <t>TWI</t>
  </si>
  <si>
    <t>ENSIGN</t>
  </si>
  <si>
    <t xml:space="preserve">Rubber lining cracking </t>
  </si>
  <si>
    <t>CAP_EMISES 2022\22014 Parry Sugar\22014 Parry Sugar-liste de colisage.docx</t>
  </si>
  <si>
    <t>Welcoop</t>
  </si>
  <si>
    <t>CVS-2201-0011</t>
  </si>
  <si>
    <t>Wrong packing list</t>
  </si>
  <si>
    <t>ZFLZ</t>
  </si>
  <si>
    <t xml:space="preserve">FRP sand filter nozzle plate thickness issue </t>
  </si>
  <si>
    <t>CAP_EMISES 2022\22016 Cargill BOZ-Manholes &amp; davit design\22016 Cargill BOZ-Manholes and davit design.docx</t>
  </si>
  <si>
    <t>Cargill BOZ</t>
  </si>
  <si>
    <t>Manholes and davit design</t>
  </si>
  <si>
    <t>CAP_EMISES 2022\22017 Fuite eau chaude atelier membrane\22017 Deconnexion tuyau eau chaude atelier membrane.docx</t>
  </si>
  <si>
    <t>Hot water leakage</t>
  </si>
  <si>
    <t>mbre assembly</t>
  </si>
  <si>
    <t>CAP_EMISES 2022\22018 Savola-doc expédition\22018 Savola-expédition ACID Cargo X.docx</t>
  </si>
  <si>
    <t>Shipping documents and custom clearance issues</t>
  </si>
  <si>
    <t>CBL</t>
  </si>
  <si>
    <t>CAP_EMISES 2022\22019 ADM CHAMTOR - Erreur chiffrage tuyauterie\22019 ADM CHAMTOR - Chiffrage budget tuyauterie.docx</t>
  </si>
  <si>
    <t>ADM Chamtor</t>
  </si>
  <si>
    <t>CS3293</t>
  </si>
  <si>
    <t>Piping budget underestimated</t>
  </si>
  <si>
    <t>idem 22007</t>
  </si>
  <si>
    <t>CAP_EMISES 2022\22020 Fuite IBC saumure Tredi\22020 Fuite Saumure Trédi.docx</t>
  </si>
  <si>
    <t>TREDI</t>
  </si>
  <si>
    <t>EN-3214</t>
  </si>
  <si>
    <t>Brine IBC leak</t>
  </si>
  <si>
    <t>CAP_EMISES 2022\22021 Fuite eau glycolée\22021 Fuite Eau Glycolée.docx</t>
  </si>
  <si>
    <t>Damhert</t>
  </si>
  <si>
    <t>EN-3293</t>
  </si>
  <si>
    <t>Glycol water leak on 7l evapo</t>
  </si>
  <si>
    <t>CAP_EMISES 2022\22022 CJ Bio\22022 CJ Bio.docx</t>
  </si>
  <si>
    <t>CJ Bio</t>
  </si>
  <si>
    <t>CVS-2107-0006</t>
  </si>
  <si>
    <t>Automatic by pass cell procedure cIEX</t>
  </si>
  <si>
    <t>Upgrade automation</t>
  </si>
  <si>
    <t>Management  / Management</t>
  </si>
  <si>
    <t>CLE</t>
  </si>
  <si>
    <t>Order placing late</t>
  </si>
  <si>
    <t>Internal leakage in rubber lining connection piping</t>
  </si>
  <si>
    <t>N/A</t>
  </si>
  <si>
    <t>S:\archieve\QA-NVA IB\CAP\22025 SQ 10 -Fine particle in gravel of SQ10 SSMB.docx</t>
  </si>
  <si>
    <t xml:space="preserve">MPE </t>
  </si>
  <si>
    <t>Mingliang</t>
  </si>
  <si>
    <t xml:space="preserve">SSMB </t>
  </si>
  <si>
    <t>Fine particle in gravel of SQ10 SSMB</t>
  </si>
  <si>
    <t>MPE</t>
  </si>
  <si>
    <t>CAP_EMISES 2022\22026 Bénéo\22026 Beneo - Montage FT sur façades.docx</t>
  </si>
  <si>
    <t>Wrong installation of Flowmeters on front pipings</t>
  </si>
  <si>
    <t>CAP_EMISES 2022\22027 LEKAI - civil works drawing\22027 LEKAI-Civil works drawing.docx</t>
  </si>
  <si>
    <t>LEKAI</t>
  </si>
  <si>
    <t>Layout and Civil work drawings</t>
  </si>
  <si>
    <t>CAP_EMISES 2022\22028 Kirsanov-envoi Silex\22026 Kirsanov-envoi Silex.docx</t>
  </si>
  <si>
    <t>LCA</t>
  </si>
  <si>
    <t>KIRSANOV</t>
  </si>
  <si>
    <t>Forgot to ship the gravel</t>
  </si>
  <si>
    <t>CAP_EMISES 2022\22029 Beneo Oreye-Inace Inox\22029 Beneo Oreye-Inace Inox ramification IEX.docx</t>
  </si>
  <si>
    <t>CS3291</t>
  </si>
  <si>
    <t>Hole diameter error in lower network</t>
  </si>
  <si>
    <t>Inace Inox</t>
  </si>
  <si>
    <t>CAP_EMISES 2022\22030 CTI pollution mbre\22030 Pollution membranes KERASEP- CTI.docx</t>
  </si>
  <si>
    <t>CVS-2112-0016</t>
  </si>
  <si>
    <t>Pollution on the end of Kerasep membranes</t>
  </si>
  <si>
    <t>CAP_EMISES 2022\22031 Cristal Union - Inace Inox crépines\22031 Cristal Union - crépines inox 10.16573.docx</t>
  </si>
  <si>
    <t>Defective strainers</t>
  </si>
  <si>
    <t>SQ21</t>
  </si>
  <si>
    <t>FDS</t>
  </si>
  <si>
    <t>Cylinder positioning issue for internal mounting</t>
  </si>
  <si>
    <t>CAP_EMISES 2022\22033 Bonumose\22033 Bonumose - Small column design.docx</t>
  </si>
  <si>
    <t>Difficult access inside small diameter IEX columns</t>
  </si>
  <si>
    <t>CAP_EMISES 2022\22034 Bonumose-Silex\22034 Bonumose - Silex.docx</t>
  </si>
  <si>
    <t>Gravels not been sent on site before commissioning</t>
  </si>
  <si>
    <t>CAP_EMISES 2022\22035 Bénéo-Certificat Etalonnage\22035 Beneo-Certificat étalonnage IN.docx</t>
  </si>
  <si>
    <t>Beneo Chili</t>
  </si>
  <si>
    <t>E&amp;H</t>
  </si>
  <si>
    <t>Calibration certificates missing for Instrumentation</t>
  </si>
  <si>
    <t>CAP_EMISES 2022\22036 GSK - Etanchement\22036 GSK - étanchement  (4).docx</t>
  </si>
  <si>
    <t>GSK Hamilton</t>
  </si>
  <si>
    <t>End sealing peeling off inside membrane</t>
  </si>
  <si>
    <t>CAP_EMISES 2022\22037 Cristal union- FT\22037 Cristal Union-Espace insuffisant pour démontage débitmètre.docx</t>
  </si>
  <si>
    <t>Insufficient space for FT uncabling</t>
  </si>
  <si>
    <t>CAP_EMISES 2022\22038 Nexira-sonde conductivité\22038 Nexira - Sonde de conductivité.docx</t>
  </si>
  <si>
    <t>Nexira</t>
  </si>
  <si>
    <t>Pb pipe connection diameter for CT installation</t>
  </si>
  <si>
    <t>CAP_EMISES 2022\22039 HPLC Métrologie\22039 HPLC métrologie.docx</t>
  </si>
  <si>
    <t>Interne</t>
  </si>
  <si>
    <t>VWR</t>
  </si>
  <si>
    <t>Annual HPLC checking date exceeded</t>
  </si>
  <si>
    <t>Metrology</t>
  </si>
  <si>
    <t>CAP_EMISES 2022\22040 Sanofi-Etiquette\22040 Sanofi-Etiquette caisse (4).docx</t>
  </si>
  <si>
    <t xml:space="preserve">Sanofi </t>
  </si>
  <si>
    <t>CVS-2208-0003</t>
  </si>
  <si>
    <t>Missing label on shipping crate</t>
  </si>
  <si>
    <t>CAP_EMISES 2022\22041 Lesaffre - casse membrane transport\22041 Lesaffre-Casse membranes transport.docx</t>
  </si>
  <si>
    <t>Lesaffre</t>
  </si>
  <si>
    <t>CVS-2206-0012</t>
  </si>
  <si>
    <t>Kerasep Alpha membrane breakage during delivery</t>
  </si>
  <si>
    <t>CAP_EMISES 2022\22042 Commande ISIS-Navision\22042 Transfert commande ISIS-Navision.docx</t>
  </si>
  <si>
    <t>IORGA</t>
  </si>
  <si>
    <t>Order transfert from ISIS to Navision</t>
  </si>
  <si>
    <t>Order validation</t>
  </si>
  <si>
    <t>PWT</t>
  </si>
  <si>
    <t>CAP_EMISES 2022\22043 Rousselot-Crépines trop longues\22043 Rousselot- longuer crépines inox.docx</t>
  </si>
  <si>
    <t>Strainer mounting issue (too long)</t>
  </si>
  <si>
    <t xml:space="preserve">Installation issue of manhole for IEX column </t>
  </si>
  <si>
    <t>CAP_EMISES 2022\22045 Cristal Union- Gonflement résine\22045 Cristal Union Erstein-gonflement résine.docx</t>
  </si>
  <si>
    <t>Cristal Union Erstein</t>
  </si>
  <si>
    <t>Abnormal resins swelling</t>
  </si>
  <si>
    <t>DBA/LRE</t>
  </si>
  <si>
    <t>Material and welding issues on IEX front piping</t>
  </si>
  <si>
    <t>Lack welding on the vent pipe inside SSMB</t>
  </si>
  <si>
    <t>ESH</t>
  </si>
  <si>
    <t>COFCO</t>
  </si>
  <si>
    <t xml:space="preserve">filter not matching </t>
  </si>
  <si>
    <t xml:space="preserve">different ball valves were mixed </t>
  </si>
  <si>
    <t>Natureworks</t>
  </si>
  <si>
    <t>Rubber lining thickness is lower than the standard</t>
  </si>
  <si>
    <t>Jhenten</t>
  </si>
  <si>
    <t xml:space="preserve">filter halar thickness </t>
  </si>
  <si>
    <t>FLI</t>
  </si>
  <si>
    <t>CAP_EMISES 2023\23001 Sanofi DNE membranes\23001 Sanofi-Evolution anormale débit eau membrane Kerasep BP BX 50 kD.docx</t>
  </si>
  <si>
    <t>Sanofi</t>
  </si>
  <si>
    <t>CVS-2106-0002</t>
  </si>
  <si>
    <t xml:space="preserve">Abnormal evolution of water flow Kerasep membranes </t>
  </si>
  <si>
    <t>CAP_EMISES 2023\23002 Friesland-résine Halal\23002 - Friesland résine Halal.docx</t>
  </si>
  <si>
    <t>Friesland</t>
  </si>
  <si>
    <t>CVS-2204-0025</t>
  </si>
  <si>
    <t>Non halal resin delivered</t>
  </si>
  <si>
    <t>CAP_EMISES 2023\23003 Cargill BOZ- joints EPDM\23003 Cargill BOZ-gasket of side glasses.docx</t>
  </si>
  <si>
    <t>Side glasses gaskets of columns not conform</t>
  </si>
  <si>
    <t>CAP_EMISES 2023\23004 Cevital- déformation buses\23004 Cevital-déformation buses .docx</t>
  </si>
  <si>
    <t>CVS-2201-0025</t>
  </si>
  <si>
    <t>Deformation of column nozzles</t>
  </si>
  <si>
    <t>Production</t>
  </si>
  <si>
    <t>CAP_EMISES 2023\23005 GSK - gestion interne envoi information client\23005 GSK - Gestion interne envoi information client .docx</t>
  </si>
  <si>
    <t>CVS-2209-0004</t>
  </si>
  <si>
    <t>Internal management of customer requests</t>
  </si>
  <si>
    <t>C:\Users\nscpt\OneDrive - Novasep Process Solutions\AQHSE\1-Qualite\1-FICHES_CAP\CAP_EMISES 2023\23007 DSM-Qualifiltre\23007 DSM-Qualifiltre.docx</t>
  </si>
  <si>
    <t>DSM</t>
  </si>
  <si>
    <t>Quali-filtre</t>
  </si>
  <si>
    <t>CVS-2211-0004</t>
  </si>
  <si>
    <t>Early tearing of filter bags</t>
  </si>
  <si>
    <t>https://novasepps.sharepoint.com/sites/NPS_DATA/AQHSE/1-Qualite/1-FICHES_CAP/CAP_EMISES%202023/23008%20VRS-%20Bolloré%20erreur%20expédition%20ref%20résine/23008%20VRS%20Bolloré-erreur%20d'expédition%20ref%20résines.docx</t>
  </si>
  <si>
    <t>VRS</t>
  </si>
  <si>
    <t>CVS-2211-0019</t>
  </si>
  <si>
    <t>Wrong resin delivered</t>
  </si>
  <si>
    <t>https://novasepps.sharepoint.com/sites/NPS_DATA/AQHSE/1-Qualite/1-FICHES_CAP/CAP_EMISES%202023/23009%20Cévital-%20Bolloré%20erreur%20démarquage/23009%20Cévital-Bolloré%20erreur%20démarquage.docx</t>
  </si>
  <si>
    <t>CVS-2205-0036</t>
  </si>
  <si>
    <t>Forgotten supplier label on BB of resins</t>
  </si>
  <si>
    <t>Piping fabrication quality</t>
  </si>
  <si>
    <t>https://novasepps.sharepoint.com/sites/NPS_DATA/AQHSE/1-Qualite/1-FICHES_CAP/CAP_EMISES%202023/23011%20Lier%20-membranes%2015%20KD/23011%20Lier-membranes%2015%20KD.docx</t>
  </si>
  <si>
    <t>LIER</t>
  </si>
  <si>
    <t>CVS-2101-0078</t>
  </si>
  <si>
    <t>15 KD Kerasep membrane layer detachment</t>
  </si>
  <si>
    <t>C:\Users\nscpt\OneDrive - Novasep Process Solutions\AQHSE\1-Qualite\1-FICHES_CAP\CAP_EMISES 2023\23012 Capua 1880 - erreur de membrane\23012 CAPUA- erreur membrane (4).docx</t>
  </si>
  <si>
    <t>CVS-2003-0051</t>
  </si>
  <si>
    <t>Membrane cut off error in client installation</t>
  </si>
  <si>
    <t>Article creation</t>
  </si>
  <si>
    <t>Cofco Tangshan</t>
  </si>
  <si>
    <t>23013_16608</t>
  </si>
  <si>
    <t>Cofco_issue control valve on drawing</t>
  </si>
  <si>
    <t>Huitong SSMB</t>
  </si>
  <si>
    <t>Ensign 2</t>
  </si>
  <si>
    <t>https://novasepps.sharepoint.com/sites/NPS_DATA/AQHSE/1-Qualite/1-FICHES_CAP/CAP_EMISES%202023/23016%20Sanofi%20DE%20membranes%20anormal/23016%20Sanofi-Débit%20eau%20membrane%20Kerasep%20BP%20BX%2050%20kD%20anormal.docx</t>
  </si>
  <si>
    <t>CVS-2211-0014</t>
  </si>
  <si>
    <t>Abnormal water flow Kerasep membranes 50 kD</t>
  </si>
  <si>
    <t>Site</t>
  </si>
  <si>
    <t>Cap_Type</t>
  </si>
  <si>
    <t>Techno</t>
  </si>
  <si>
    <t>SCOPE</t>
  </si>
  <si>
    <t>Codes Technologie* :</t>
  </si>
  <si>
    <t>Colonne1</t>
  </si>
  <si>
    <t xml:space="preserve"> ED (Electrodialyse)</t>
  </si>
  <si>
    <t xml:space="preserve"> SSMB (Chromato)</t>
  </si>
  <si>
    <t>Close</t>
  </si>
  <si>
    <t xml:space="preserve"> IEX (Echange Ions)</t>
  </si>
  <si>
    <t xml:space="preserve"> MF/UF (Micro/Ultrafiltation)</t>
  </si>
  <si>
    <t>Management/management</t>
  </si>
  <si>
    <t xml:space="preserve"> NF (Nanofiltration)</t>
  </si>
  <si>
    <t xml:space="preserve"> OI (Osmose Inverse)</t>
  </si>
  <si>
    <t xml:space="preserve"> EVAPO (Evaporation)</t>
  </si>
  <si>
    <t>Measure / Mesure</t>
  </si>
  <si>
    <t xml:space="preserve"> CA (Charbon Actif)</t>
  </si>
  <si>
    <t>Wrong shipping documents</t>
  </si>
  <si>
    <t>C:\Users\christine.potier\OneDrive - Novasep Process Solutions\AQHSE\1-Qualite\1-FICHES_CAP\CAP_EMISES 2023\23017 Cévital-doc d'expédition\23017 Cevital expédition.docx</t>
  </si>
  <si>
    <t>CVS-2205-0036_CVS-2208-0014</t>
  </si>
  <si>
    <t>HUAKANG</t>
  </si>
  <si>
    <t>Poor performance of Xylose ML SSMB/Resin issue</t>
  </si>
  <si>
    <t>Finex</t>
  </si>
  <si>
    <t>SSMB internals material (SS304 instead of SS316)</t>
  </si>
  <si>
    <t>Ensign site issues rubber lining leakage</t>
  </si>
  <si>
    <t>A faire 12/23</t>
  </si>
  <si>
    <t>Alpha KBW 0.1U membranes abrasion issue</t>
  </si>
  <si>
    <t>interne</t>
  </si>
  <si>
    <t>membrane</t>
  </si>
  <si>
    <t>Water leakage in the membrane office</t>
  </si>
  <si>
    <t>https://novasepps.sharepoint.com/sites/NPS_DATA/AQHSE/1-Qualite/1-FICHES_CAP/CAP_EMISES%202023/23020%20fuite%20eau%20bureau%20membrane/23020%20Fuite%20eau%20bureau%20atelier%20membrane.docx</t>
  </si>
  <si>
    <t>Acid corrosion on piping and tank</t>
  </si>
  <si>
    <t>C:\Users\christine.potier\OneDrive - Novasep Process Solutions\AQHSE\1-Qualite\1-FICHES_CAP\CAP_EMISES 2023\23021 Bonumose-corrosion tank\23021 Bonumose - pb corrosion tank-piping.docx</t>
  </si>
  <si>
    <t>Inovyn</t>
  </si>
  <si>
    <t>Default of IEX columns rubber lining</t>
  </si>
  <si>
    <t>C:\Users\christine.potier\OneDrive - Novasep Process Solutions\AQHSE\1-Qualite\1-FICHES_CAP\CAP_EMISES 2023\23022 Inovyn-Défaut ébonitage\23022 Inovyn - défaut ébonite colonnes.docx</t>
  </si>
  <si>
    <t>Supplier Dysfonctionning</t>
  </si>
  <si>
    <t>Internal Anomaly</t>
  </si>
  <si>
    <t>Safety</t>
  </si>
  <si>
    <t>Estimated date of action plan closure</t>
  </si>
  <si>
    <t>Date of action 
plan closure</t>
  </si>
  <si>
    <t>Wuxi fandesi/FDS</t>
  </si>
  <si>
    <t>MRN</t>
  </si>
  <si>
    <t>R&amp;D hall N°2 roof leak</t>
  </si>
  <si>
    <t>https://novasepps.sharepoint.com/sites/NPS_DATA/AQHSE/1-Qualite/1-FICHES_CAP/CAP_EMISES%202023/23023%20Fuite%20toiture%20Halle%20R&amp;D%20N°2/23023%20Fuite%20toiture%20halle%20R&amp;D%20N°2.docx</t>
  </si>
  <si>
    <t>Bénéo Chili</t>
  </si>
  <si>
    <t>304L piping corrosion</t>
  </si>
  <si>
    <t>IEXc</t>
  </si>
  <si>
    <t>Cargill Zest</t>
  </si>
  <si>
    <t xml:space="preserve">Degradation of Lining inside IEX Column </t>
  </si>
  <si>
    <t>https://novasepps.sharepoint.com/sites/NPS_DATA/AQHSE/1-Qualite/1-FICHES_CAP/CAP_EMISES%202023/23024%20Bénéo-%20corrosion/23024%20Bénéo%20-%20Corrosion%20Piping%20Dem1.docx</t>
  </si>
  <si>
    <t>https://novasepps.sharepoint.com/sites/NPS_DATA/AQHSE/1-Qualite/1-FICHES_CAP/CAP_EMISES%202023/23025%20Cargill%20Zest-%20Lining/23025%20Cargill%20Zest-Problématique%20Ebonite.docx</t>
  </si>
  <si>
    <t>COPAM</t>
  </si>
  <si>
    <t>Black beads in resin</t>
  </si>
  <si>
    <t>https://novasepps.sharepoint.com/sites/NPS_DATA/AQHSE/1-Qualite/1-FICHES_CAP/CAP_EMISES%202023/23026%20COPAM-billes%20noires%20résine/23026%20COPAM-billes%20noires%20résines.docx</t>
  </si>
  <si>
    <t>Skid wiring default</t>
  </si>
  <si>
    <t>https://novasepps.sharepoint.com/sites/NPS_DATA/AQHSE/1-Qualite/1-FICHES_CAP/CAP_EMISES%202023/23027%20Inovyn-Défaut%20cablâge%20électrique/23027%20Inovyn%20-%20problèmes%20câblage%20électriques.docx</t>
  </si>
  <si>
    <t>Via Separation</t>
  </si>
  <si>
    <t>Sulzer</t>
  </si>
  <si>
    <t>Late delivery of centrigugal pumps</t>
  </si>
  <si>
    <t>ONEX-PACT SNZ</t>
  </si>
  <si>
    <t>Interconnexion piping issues/columns</t>
  </si>
  <si>
    <t>https://novasepps.sharepoint.com/sites/NPS_DATA/AQHSE/1-Qualite/1-FICHES_CAP/CAP_EMISES%202023/23028%20Via%20Séparation-%20pompes%20Sulzer/23028%20Via%20Separation%20-%20pompes%20Sulzer.docx</t>
  </si>
  <si>
    <t>https://novasepps.sharepoint.com/sites/NPS_DATA/AQHSE/1-Qualite/1-FICHES_CAP/CAP_EMISES%202023/23029%20Inovyn%20-%20Montage%20Interconnection/23029%20Inovyn%20-%20pb%20tuyauteries%20interconnection.docx</t>
  </si>
  <si>
    <t>SQ Nansha</t>
  </si>
  <si>
    <t>Loose nozzles found inside columns of SQ20 on Site</t>
  </si>
  <si>
    <t>MHA</t>
  </si>
  <si>
    <t>Xiangming</t>
  </si>
  <si>
    <t xml:space="preserve">Unproper MF housings site installation </t>
  </si>
  <si>
    <t>kaiyuan/Biteng</t>
  </si>
  <si>
    <t>Painting damage during transportation</t>
  </si>
  <si>
    <t>Runlu</t>
  </si>
  <si>
    <t>IFM</t>
  </si>
  <si>
    <t>Extract/Raffinate handling error</t>
  </si>
  <si>
    <t>https://novasepps.sharepoint.com/sites/NPS_DATA/AQHSE/1-Qualite/1-FICHES_CAP/CAP_EMISES%202023/23033%20ADM-pilotage%20SSMB/23033%20ADM-pilotage%20SSMB%20mélange%20Raffinat-Extrait.docx</t>
  </si>
  <si>
    <t>Lier</t>
  </si>
  <si>
    <t>Installation</t>
  </si>
  <si>
    <t>PACT SNZ</t>
  </si>
  <si>
    <t>2023-006</t>
  </si>
  <si>
    <t>à la fin du projet</t>
  </si>
  <si>
    <t>A faire 02/24</t>
  </si>
  <si>
    <t>A faire 01/24</t>
  </si>
  <si>
    <t>Omnia</t>
  </si>
  <si>
    <t>Jinlong</t>
  </si>
  <si>
    <t xml:space="preserve">Product leak on SSMB column at weld level </t>
  </si>
  <si>
    <t>https://novasepps.sharepoint.com/sites/NPS_DATA/AQHSE/1-Qualite/1-FICHES_CAP/CAP_EMISES%202024/24001%20Omnia/24001%20Omnia.docx</t>
  </si>
  <si>
    <t>A faire 07/24</t>
  </si>
  <si>
    <t>Xinlv</t>
  </si>
  <si>
    <t>Xinlv SSMB cell height</t>
  </si>
  <si>
    <t>SQ13</t>
  </si>
  <si>
    <t xml:space="preserve">SQ13 LS MB140 column internals deformation </t>
  </si>
  <si>
    <t xml:space="preserve">SQ12 </t>
  </si>
  <si>
    <t>FCA/SOV</t>
  </si>
  <si>
    <t>CTI/Beugin</t>
  </si>
  <si>
    <t>Piping defects and lack of supply for strainers</t>
  </si>
  <si>
    <t>Beugin-ONEX</t>
  </si>
  <si>
    <t xml:space="preserve">Huitong </t>
  </si>
  <si>
    <t>Backwashing tank volume issue</t>
  </si>
  <si>
    <t>Late delivery of a piping box</t>
  </si>
  <si>
    <t>Empty supplier resin bag in reconditioned BB of resin</t>
  </si>
  <si>
    <t>FRA-SON0000291</t>
  </si>
  <si>
    <t>https://novasepps.sharepoint.com/sites/NPS_DATA/AQHSE/1-Qualite/1-FICHES_CAP/CAP_EMISES%202024/24007%20Friesland/24007%20Friesland-sac%2025l%20dans%20BB.docx</t>
  </si>
  <si>
    <t>BMA Bengladesh</t>
  </si>
  <si>
    <t>Absence of calculation note for evapo piping</t>
  </si>
  <si>
    <t xml:space="preserve">Studs missing on Kerasep modules delivered by Applexion SHA </t>
  </si>
  <si>
    <t>MF maintenance kit no compliant</t>
  </si>
  <si>
    <t>Female SMS cap nuts delivered instead of male</t>
  </si>
  <si>
    <t>Package lost on site - Difficulties to identify Shipment from APX - Tagging issue</t>
  </si>
  <si>
    <t>JAH</t>
  </si>
  <si>
    <t>Carbocode</t>
  </si>
  <si>
    <t>Acid/base projection risk when priming dosing pumps</t>
  </si>
  <si>
    <t>XM</t>
  </si>
  <si>
    <t>SGU/JGO</t>
  </si>
  <si>
    <t>QC at client site</t>
  </si>
  <si>
    <t>SQ CQ</t>
  </si>
  <si>
    <t>FDS/Runjia</t>
  </si>
  <si>
    <t>Unproper internals manufacturing and installation for SSMB</t>
  </si>
  <si>
    <t>DMA</t>
  </si>
  <si>
    <t xml:space="preserve">Saint Ex-Emballages </t>
  </si>
  <si>
    <t>Samples shipping issues to US</t>
  </si>
  <si>
    <t>Fufeng Qiqihaer</t>
  </si>
  <si>
    <t>Fufeng Qiqihaer- Frozen lysine resin</t>
  </si>
  <si>
    <t>Heliobiosys</t>
  </si>
  <si>
    <t>MF pilot return blocked in customs</t>
  </si>
  <si>
    <t>A faire 12/24</t>
  </si>
  <si>
    <t>Resin loss on demineralization unit L1</t>
  </si>
  <si>
    <t>YLI</t>
  </si>
  <si>
    <t>SQ20 F55MB CL6510  Rubber Lining Issue of Insert Tube</t>
  </si>
  <si>
    <t>ASO</t>
  </si>
  <si>
    <t>FRA-SON0000469-2</t>
  </si>
  <si>
    <t>non payment of invoice, low life of electrodes</t>
  </si>
  <si>
    <t>FRA-SON0000570</t>
  </si>
  <si>
    <t xml:space="preserve">Strainers order - Delivery without ATR document </t>
  </si>
  <si>
    <t>Shipping doc</t>
  </si>
  <si>
    <t>Huaantang</t>
  </si>
  <si>
    <t>Functional Analysis assignement and workload France-Asia</t>
  </si>
  <si>
    <t>TBB</t>
  </si>
  <si>
    <t xml:space="preserve">Rubber lining failure of IEXc columns </t>
  </si>
  <si>
    <t xml:space="preserve">Leaks on 3 pumps bodies KSB </t>
  </si>
  <si>
    <t>Internal network anomaly</t>
  </si>
  <si>
    <t>XRO/JNJ</t>
  </si>
  <si>
    <t>ADM Lysine</t>
  </si>
  <si>
    <t>BMA Angola</t>
  </si>
  <si>
    <t>Design error for sand filter and linked nozzles</t>
  </si>
  <si>
    <t>JLA</t>
  </si>
  <si>
    <t>Casa Grande</t>
  </si>
  <si>
    <t xml:space="preserve">Strong smell from IEX </t>
  </si>
  <si>
    <t>PSA</t>
  </si>
  <si>
    <t>Bray valves damage</t>
  </si>
  <si>
    <t>CTI/OTIME</t>
  </si>
  <si>
    <t>Sunresin</t>
  </si>
  <si>
    <t>FRA-SON0000615</t>
  </si>
  <si>
    <t>RRU</t>
  </si>
  <si>
    <t>KBE alpha Membrane Abrasion</t>
  </si>
  <si>
    <t>Piping defects and lack of documentation</t>
  </si>
  <si>
    <t>FRA-SON0000711</t>
  </si>
  <si>
    <t>Marks on Kerasep Biopharma Membranes</t>
  </si>
  <si>
    <t>Process Design</t>
  </si>
  <si>
    <t>Process Design ?</t>
  </si>
  <si>
    <t>A faire 02/25</t>
  </si>
  <si>
    <t>Aquacom</t>
  </si>
  <si>
    <t>Pressure vessels design defect</t>
  </si>
  <si>
    <t>A faire 04/25</t>
  </si>
  <si>
    <t>FPO</t>
  </si>
  <si>
    <t>TEREOS</t>
  </si>
  <si>
    <t>Left fingers pinched in stirred tank</t>
  </si>
  <si>
    <t>MPA</t>
  </si>
  <si>
    <t>USA-PON0000149</t>
  </si>
  <si>
    <t>A faire 06/25</t>
  </si>
  <si>
    <t>A faire 03/25</t>
  </si>
  <si>
    <t>Rust of flanges and structure</t>
  </si>
  <si>
    <t>GXSF 2</t>
  </si>
  <si>
    <t xml:space="preserve">High Pressure Drop in C120A upper cell </t>
  </si>
  <si>
    <t>APL</t>
  </si>
  <si>
    <t>COSUN</t>
  </si>
  <si>
    <t>High pressure in SSMB pilot columns</t>
  </si>
  <si>
    <t xml:space="preserve">Resin delivered delayed </t>
  </si>
  <si>
    <t>Yinmore</t>
  </si>
  <si>
    <t>Large deviation in resin particle size distribution</t>
  </si>
  <si>
    <t>Columns  Name plate &amp; Tag No. Installation Mistake</t>
  </si>
  <si>
    <t>Column-B Resin Nozzle Orientation Mistake</t>
  </si>
  <si>
    <t>The carbon backwashing is not efficient</t>
  </si>
  <si>
    <t>LongYU, Ziyou</t>
  </si>
  <si>
    <t>Mismatching of Nozzle A1 and A2 betweent column and front piping</t>
  </si>
  <si>
    <t>SQ18</t>
  </si>
  <si>
    <t>SQ18 IRA458 Resin missing in SHA warehouse</t>
  </si>
  <si>
    <t>ACH</t>
  </si>
  <si>
    <t xml:space="preserve">stock </t>
  </si>
  <si>
    <t>purchasing</t>
  </si>
  <si>
    <t>PLIITH HUITONG</t>
  </si>
  <si>
    <t>ZIMA</t>
  </si>
  <si>
    <t>SQ nansha</t>
  </si>
  <si>
    <t>automation</t>
  </si>
  <si>
    <t>SQ1 revamping program didn't complete on time</t>
  </si>
  <si>
    <t>Huitong Claim on GAC revamping program delay</t>
  </si>
  <si>
    <t>LPU</t>
  </si>
  <si>
    <t>Corrosion in the AKTA laboratory</t>
  </si>
  <si>
    <t>24002 Xinlv</t>
  </si>
  <si>
    <t>24002 Xinlv : Xinlv SSMB cell height</t>
  </si>
  <si>
    <t>24003 SQ13</t>
  </si>
  <si>
    <t xml:space="preserve">24003 SQ13 : SQ13 LS MB140 column internals deformation </t>
  </si>
  <si>
    <t xml:space="preserve">24005 Huitong </t>
  </si>
  <si>
    <t>24005 Huitong  : Backwashing tank volume issue</t>
  </si>
  <si>
    <t>24014 SQ CQ</t>
  </si>
  <si>
    <t>24014 SQ CQ : Unproper internals manufacturing and installation for SSMB</t>
  </si>
  <si>
    <t>24016 Fufeng Qiqihaer</t>
  </si>
  <si>
    <t>24016 Fufeng Qiqihaer : Fufeng Qiqihaer- Frozen lysine resin</t>
  </si>
  <si>
    <t>24019 SQ Nansha</t>
  </si>
  <si>
    <t>24019 SQ Nansha : SQ20 F55MB CL6510  Rubber Lining Issue of Insert Tube</t>
  </si>
  <si>
    <t>24022 Huaantang</t>
  </si>
  <si>
    <t>24022 Huaantang : Functional Analysis assignement and workload France-Asia</t>
  </si>
  <si>
    <t>24030 Lesaffre</t>
  </si>
  <si>
    <t>24030 Lesaffre : KBE alpha Membrane Abrasion</t>
  </si>
  <si>
    <t>24036 GXSF 2</t>
  </si>
  <si>
    <t xml:space="preserve">24036 GXSF 2 : High Pressure Drop in C120A upper cell </t>
  </si>
  <si>
    <t/>
  </si>
  <si>
    <t>24038 Yinmore</t>
  </si>
  <si>
    <t>24038 Yinmore : Large deviation in resin particle size distribution</t>
  </si>
  <si>
    <t>24039 Huaantang</t>
  </si>
  <si>
    <t>24039 Huaantang : Columns  Name plate &amp; Tag No. Installation Mistake</t>
  </si>
  <si>
    <t>24040 Huaantang</t>
  </si>
  <si>
    <t>24040 Huaantang : Column-B Resin Nozzle Orientation Mistake</t>
  </si>
  <si>
    <t>24041 LIER</t>
  </si>
  <si>
    <t>24041 LIER : The carbon backwashing is not efficient</t>
  </si>
  <si>
    <t>24042 LIER</t>
  </si>
  <si>
    <t>24042 LIER : Mismatching of Nozzle A1 and A2 betweent column and front piping</t>
  </si>
  <si>
    <t>24043 SQ18</t>
  </si>
  <si>
    <t>24043 SQ18 : SQ18 IRA458 Resin missing in SHA warehouse</t>
  </si>
  <si>
    <t>24044 PLIITH HUITONG</t>
  </si>
  <si>
    <t>24044 PLIITH HUITONG : Huitong Claim on GAC revamping program delay</t>
  </si>
  <si>
    <t>24045 SQ nansha</t>
  </si>
  <si>
    <t>24045 SQ nansha : SQ1 revamping program didn't complete on time</t>
  </si>
  <si>
    <t>S&amp;C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</si>
</sst>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\ &quot;€&quot;;[Red]\-#,##0.00\ &quot;€&quot;"/>
    <numFmt numFmtId="165" formatCode="_-* #,##0.00\ _F_-;\-* #,##0.00\ _F_-;_-* &quot;-&quot;??\ _F_-;_-@_-"/>
    <numFmt numFmtId="166" formatCode="dd/mm/yy;@"/>
    <numFmt numFmtId="167" formatCode="0#,###"/>
    <numFmt numFmtId="168" formatCode="dd/mm/yy"/>
    <numFmt numFmtId="169" formatCode="0&quot;1&quot;\ 00#"/>
    <numFmt numFmtId="170" formatCode="_-* #,##0\ _€_-;\-* #,##0\ _€_-;_-* &quot;-&quot;??\ _€_-;_-@_-"/>
  </numFmts>
  <fonts count="34" x14ac:knownFonts="1"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8"/>
      <name val="Tahoma"/>
      <family val="2"/>
    </font>
    <font>
      <sz val="9"/>
      <name val="Tahoma"/>
      <family val="2"/>
    </font>
    <font>
      <sz val="9"/>
      <name val="宋体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  <font>
      <sz val="11"/>
      <name val="Calibri"/>
      <family val="2"/>
    </font>
    <font>
      <sz val="9"/>
      <name val="宋体"/>
      <charset val="134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C00000"/>
      <name val="Arial"/>
      <family val="2"/>
    </font>
    <font>
      <strike/>
      <sz val="10"/>
      <color theme="4"/>
      <name val="Arial"/>
      <family val="2"/>
    </font>
    <font>
      <strike/>
      <sz val="10"/>
      <color theme="1"/>
      <name val="Arial"/>
      <family val="2"/>
    </font>
    <font>
      <b/>
      <strike/>
      <sz val="10"/>
      <color theme="9" tint="-0.249977111117893"/>
      <name val="Arial"/>
      <family val="2"/>
    </font>
    <font>
      <b/>
      <strike/>
      <sz val="10"/>
      <color rgb="FFC00000"/>
      <name val="Arial"/>
      <family val="2"/>
    </font>
    <font>
      <b/>
      <strike/>
      <sz val="10"/>
      <color theme="1"/>
      <name val="Arial"/>
      <family val="2"/>
    </font>
    <font>
      <sz val="10"/>
      <name val="Calibri"/>
      <family val="2"/>
    </font>
    <font>
      <u/>
      <sz val="11"/>
      <name val="Calibri"/>
      <family val="2"/>
    </font>
    <font>
      <sz val="10"/>
      <color rgb="FF242424"/>
      <name val="微软雅黑"/>
      <family val="2"/>
      <charset val="134"/>
    </font>
    <font>
      <sz val="10"/>
      <color rgb="FFFF0000"/>
      <name val="Arial"/>
      <family val="2"/>
    </font>
    <font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70">
    <xf numFmtId="0" fontId="0" fillId="0" borderId="0" xfId="0"/>
    <xf numFmtId="0" fontId="0" fillId="8" borderId="0" xfId="0" applyFill="1"/>
    <xf numFmtId="166" fontId="0" fillId="0" borderId="0" xfId="0" applyNumberFormat="1"/>
    <xf numFmtId="0" fontId="0" fillId="0" borderId="0" xfId="0" applyAlignment="1">
      <alignment horizontal="left"/>
    </xf>
    <xf numFmtId="0" fontId="18" fillId="3" borderId="1" xfId="0" applyFont="1" applyFill="1" applyBorder="1" applyAlignment="1">
      <alignment horizontal="centerContinuous"/>
    </xf>
    <xf numFmtId="0" fontId="19" fillId="3" borderId="1" xfId="0" applyFont="1" applyFill="1" applyBorder="1" applyAlignment="1">
      <alignment horizontal="centerContinuous"/>
    </xf>
    <xf numFmtId="166" fontId="19" fillId="3" borderId="1" xfId="0" applyNumberFormat="1" applyFont="1" applyFill="1" applyBorder="1" applyAlignment="1">
      <alignment horizontal="centerContinuous"/>
    </xf>
    <xf numFmtId="0" fontId="19" fillId="3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Continuous"/>
    </xf>
    <xf numFmtId="0" fontId="1" fillId="5" borderId="5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centerContinuous" vertical="center"/>
    </xf>
    <xf numFmtId="0" fontId="1" fillId="7" borderId="2" xfId="0" applyFont="1" applyFill="1" applyBorder="1" applyAlignment="1">
      <alignment horizontal="centerContinuous" vertical="center"/>
    </xf>
    <xf numFmtId="0" fontId="1" fillId="7" borderId="5" xfId="0" applyFont="1" applyFill="1" applyBorder="1" applyAlignment="1">
      <alignment horizontal="centerContinuous" vertical="center"/>
    </xf>
    <xf numFmtId="0" fontId="1" fillId="6" borderId="6" xfId="0" applyFont="1" applyFill="1" applyBorder="1" applyAlignment="1">
      <alignment horizontal="centerContinuous" vertical="center"/>
    </xf>
    <xf numFmtId="0" fontId="1" fillId="6" borderId="2" xfId="0" applyFont="1" applyFill="1" applyBorder="1" applyAlignment="1">
      <alignment horizontal="centerContinuous" vertical="center"/>
    </xf>
    <xf numFmtId="0" fontId="1" fillId="5" borderId="7" xfId="0" applyFont="1" applyFill="1" applyBorder="1" applyAlignment="1">
      <alignment vertical="center"/>
    </xf>
    <xf numFmtId="0" fontId="1" fillId="7" borderId="8" xfId="0" applyFont="1" applyFill="1" applyBorder="1" applyAlignment="1">
      <alignment horizontal="centerContinuous" vertical="center"/>
    </xf>
    <xf numFmtId="0" fontId="1" fillId="7" borderId="3" xfId="0" applyFont="1" applyFill="1" applyBorder="1" applyAlignment="1">
      <alignment horizontal="centerContinuous" vertical="center"/>
    </xf>
    <xf numFmtId="0" fontId="1" fillId="7" borderId="7" xfId="0" applyFont="1" applyFill="1" applyBorder="1" applyAlignment="1">
      <alignment horizontal="centerContinuous" vertical="center"/>
    </xf>
    <xf numFmtId="0" fontId="1" fillId="6" borderId="8" xfId="0" applyFont="1" applyFill="1" applyBorder="1" applyAlignment="1">
      <alignment horizontal="centerContinuous" vertical="center"/>
    </xf>
    <xf numFmtId="0" fontId="1" fillId="6" borderId="3" xfId="0" applyFont="1" applyFill="1" applyBorder="1" applyAlignment="1">
      <alignment horizontal="centerContinuous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Continuous"/>
    </xf>
    <xf numFmtId="14" fontId="0" fillId="3" borderId="4" xfId="0" applyNumberFormat="1" applyFill="1" applyBorder="1" applyAlignment="1">
      <alignment horizontal="left"/>
    </xf>
    <xf numFmtId="0" fontId="1" fillId="6" borderId="5" xfId="0" applyFont="1" applyFill="1" applyBorder="1" applyAlignment="1">
      <alignment horizontal="centerContinuous" vertical="center"/>
    </xf>
    <xf numFmtId="0" fontId="1" fillId="10" borderId="9" xfId="0" applyFont="1" applyFill="1" applyBorder="1" applyAlignment="1">
      <alignment horizontal="centerContinuous"/>
    </xf>
    <xf numFmtId="0" fontId="1" fillId="10" borderId="10" xfId="0" applyFont="1" applyFill="1" applyBorder="1" applyAlignment="1">
      <alignment horizontal="centerContinuous"/>
    </xf>
    <xf numFmtId="0" fontId="1" fillId="6" borderId="7" xfId="0" applyFont="1" applyFill="1" applyBorder="1" applyAlignment="1">
      <alignment horizontal="centerContinuous" vertical="center"/>
    </xf>
    <xf numFmtId="0" fontId="1" fillId="10" borderId="11" xfId="0" applyFont="1" applyFill="1" applyBorder="1" applyAlignment="1">
      <alignment horizontal="centerContinuous"/>
    </xf>
    <xf numFmtId="0" fontId="1" fillId="11" borderId="9" xfId="0" applyFont="1" applyFill="1" applyBorder="1"/>
    <xf numFmtId="0" fontId="1" fillId="11" borderId="10" xfId="0" applyFont="1" applyFill="1" applyBorder="1"/>
    <xf numFmtId="0" fontId="1" fillId="11" borderId="11" xfId="0" applyFont="1" applyFill="1" applyBorder="1"/>
    <xf numFmtId="0" fontId="18" fillId="4" borderId="9" xfId="0" applyFont="1" applyFill="1" applyBorder="1" applyAlignment="1">
      <alignment horizontal="centerContinuous"/>
    </xf>
    <xf numFmtId="0" fontId="1" fillId="9" borderId="9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8" fillId="9" borderId="8" xfId="0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0" fillId="3" borderId="1" xfId="0" applyFill="1" applyBorder="1"/>
    <xf numFmtId="14" fontId="20" fillId="13" borderId="0" xfId="0" applyNumberFormat="1" applyFont="1" applyFill="1"/>
    <xf numFmtId="14" fontId="18" fillId="13" borderId="0" xfId="0" applyNumberFormat="1" applyFont="1" applyFill="1"/>
    <xf numFmtId="14" fontId="1" fillId="10" borderId="10" xfId="0" applyNumberFormat="1" applyFont="1" applyFill="1" applyBorder="1" applyAlignment="1">
      <alignment horizontal="centerContinuous"/>
    </xf>
    <xf numFmtId="0" fontId="18" fillId="4" borderId="10" xfId="0" applyFont="1" applyFill="1" applyBorder="1" applyAlignment="1">
      <alignment horizontal="centerContinuous"/>
    </xf>
    <xf numFmtId="0" fontId="18" fillId="4" borderId="11" xfId="0" applyFont="1" applyFill="1" applyBorder="1" applyAlignment="1">
      <alignment horizontal="centerContinuous"/>
    </xf>
    <xf numFmtId="0" fontId="1" fillId="9" borderId="3" xfId="0" applyFont="1" applyFill="1" applyBorder="1" applyAlignment="1">
      <alignment horizontal="center"/>
    </xf>
    <xf numFmtId="0" fontId="0" fillId="9" borderId="4" xfId="0" applyFill="1" applyBorder="1"/>
    <xf numFmtId="0" fontId="0" fillId="10" borderId="4" xfId="0" applyFill="1" applyBorder="1" applyAlignment="1">
      <alignment horizontal="centerContinuous"/>
    </xf>
    <xf numFmtId="0" fontId="18" fillId="13" borderId="0" xfId="0" applyFont="1" applyFill="1"/>
    <xf numFmtId="0" fontId="0" fillId="10" borderId="4" xfId="0" applyFill="1" applyBorder="1"/>
    <xf numFmtId="0" fontId="18" fillId="14" borderId="0" xfId="0" applyFont="1" applyFill="1" applyAlignment="1">
      <alignment horizontal="center"/>
    </xf>
    <xf numFmtId="0" fontId="18" fillId="9" borderId="12" xfId="0" applyFont="1" applyFill="1" applyBorder="1" applyAlignment="1">
      <alignment horizontal="left"/>
    </xf>
    <xf numFmtId="0" fontId="18" fillId="9" borderId="0" xfId="0" applyFont="1" applyFill="1" applyAlignment="1">
      <alignment horizontal="centerContinuous"/>
    </xf>
    <xf numFmtId="0" fontId="0" fillId="15" borderId="0" xfId="0" applyFill="1"/>
    <xf numFmtId="0" fontId="0" fillId="10" borderId="6" xfId="0" applyFill="1" applyBorder="1" applyAlignment="1">
      <alignment horizontal="center" vertical="center" wrapText="1"/>
    </xf>
    <xf numFmtId="166" fontId="0" fillId="12" borderId="6" xfId="0" applyNumberFormat="1" applyFill="1" applyBorder="1" applyAlignment="1">
      <alignment horizontal="center"/>
    </xf>
    <xf numFmtId="166" fontId="25" fillId="12" borderId="6" xfId="0" applyNumberFormat="1" applyFon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166" fontId="0" fillId="0" borderId="6" xfId="0" applyNumberFormat="1" applyBorder="1" applyAlignment="1">
      <alignment horizontal="center"/>
    </xf>
    <xf numFmtId="0" fontId="0" fillId="12" borderId="6" xfId="0" applyFill="1" applyBorder="1"/>
    <xf numFmtId="166" fontId="0" fillId="12" borderId="12" xfId="0" applyNumberFormat="1" applyFill="1" applyBorder="1" applyAlignment="1">
      <alignment horizontal="center"/>
    </xf>
    <xf numFmtId="166" fontId="6" fillId="12" borderId="6" xfId="0" applyNumberFormat="1" applyFon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12" borderId="12" xfId="0" applyFill="1" applyBorder="1"/>
    <xf numFmtId="0" fontId="0" fillId="3" borderId="0" xfId="0" applyFill="1"/>
    <xf numFmtId="0" fontId="1" fillId="9" borderId="10" xfId="0" applyFont="1" applyFill="1" applyBorder="1" applyAlignment="1">
      <alignment horizontal="center"/>
    </xf>
    <xf numFmtId="167" fontId="2" fillId="16" borderId="6" xfId="1" applyNumberFormat="1" applyFill="1" applyBorder="1" applyAlignment="1" applyProtection="1"/>
    <xf numFmtId="0" fontId="22" fillId="0" borderId="6" xfId="0" applyFont="1" applyBorder="1" applyAlignment="1">
      <alignment horizontal="center"/>
    </xf>
    <xf numFmtId="0" fontId="15" fillId="0" borderId="6" xfId="0" applyFont="1" applyBorder="1"/>
    <xf numFmtId="14" fontId="0" fillId="0" borderId="6" xfId="0" applyNumberFormat="1" applyBorder="1" applyAlignment="1">
      <alignment horizontal="center"/>
    </xf>
    <xf numFmtId="167" fontId="0" fillId="16" borderId="6" xfId="0" applyNumberFormat="1" applyFill="1" applyBorder="1"/>
    <xf numFmtId="0" fontId="0" fillId="7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left" vertical="center" textRotation="90" wrapText="1"/>
    </xf>
    <xf numFmtId="0" fontId="1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textRotation="90" wrapText="1"/>
    </xf>
    <xf numFmtId="166" fontId="0" fillId="5" borderId="6" xfId="0" applyNumberForma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left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 wrapText="1"/>
    </xf>
    <xf numFmtId="14" fontId="21" fillId="0" borderId="6" xfId="0" applyNumberFormat="1" applyFont="1" applyBorder="1" applyAlignment="1">
      <alignment horizontal="left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30" fillId="0" borderId="6" xfId="0" applyFont="1" applyBorder="1"/>
    <xf numFmtId="170" fontId="0" fillId="0" borderId="2" xfId="0" applyNumberFormat="1" applyBorder="1"/>
    <xf numFmtId="170" fontId="0" fillId="0" borderId="0" xfId="0" applyNumberFormat="1"/>
    <xf numFmtId="0" fontId="0" fillId="0" borderId="2" xfId="0" applyBorder="1"/>
    <xf numFmtId="14" fontId="23" fillId="15" borderId="6" xfId="0" applyNumberFormat="1" applyFont="1" applyFill="1" applyBorder="1" applyAlignment="1">
      <alignment horizontal="center"/>
    </xf>
    <xf numFmtId="170" fontId="1" fillId="15" borderId="0" xfId="0" applyNumberFormat="1" applyFont="1" applyFill="1"/>
    <xf numFmtId="169" fontId="0" fillId="15" borderId="6" xfId="0" applyNumberFormat="1" applyFill="1" applyBorder="1" applyAlignment="1">
      <alignment horizontal="left"/>
    </xf>
    <xf numFmtId="14" fontId="0" fillId="0" borderId="6" xfId="0" applyNumberFormat="1" applyBorder="1"/>
    <xf numFmtId="168" fontId="0" fillId="15" borderId="6" xfId="0" applyNumberFormat="1" applyFill="1" applyBorder="1" applyAlignment="1">
      <alignment horizontal="center"/>
    </xf>
    <xf numFmtId="0" fontId="0" fillId="12" borderId="6" xfId="0" applyFill="1" applyBorder="1" applyAlignment="1">
      <alignment horizontal="left"/>
    </xf>
    <xf numFmtId="0" fontId="2" fillId="12" borderId="6" xfId="1" applyFill="1" applyBorder="1" applyAlignment="1" applyProtection="1"/>
    <xf numFmtId="14" fontId="0" fillId="12" borderId="6" xfId="0" applyNumberFormat="1" applyFill="1" applyBorder="1" applyAlignment="1">
      <alignment horizontal="center"/>
    </xf>
    <xf numFmtId="0" fontId="0" fillId="12" borderId="0" xfId="0" applyFill="1"/>
    <xf numFmtId="0" fontId="2" fillId="12" borderId="2" xfId="1" applyFill="1" applyBorder="1" applyAlignment="1" applyProtection="1"/>
    <xf numFmtId="0" fontId="1" fillId="12" borderId="6" xfId="0" applyFont="1" applyFill="1" applyBorder="1" applyAlignment="1">
      <alignment horizontal="center"/>
    </xf>
    <xf numFmtId="168" fontId="0" fillId="12" borderId="6" xfId="0" applyNumberFormat="1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14" fontId="21" fillId="12" borderId="6" xfId="0" applyNumberFormat="1" applyFont="1" applyFill="1" applyBorder="1" applyAlignment="1">
      <alignment horizontal="left"/>
    </xf>
    <xf numFmtId="0" fontId="0" fillId="12" borderId="6" xfId="0" applyFill="1" applyBorder="1" applyAlignment="1">
      <alignment horizontal="left" wrapText="1"/>
    </xf>
    <xf numFmtId="0" fontId="0" fillId="12" borderId="12" xfId="0" applyFill="1" applyBorder="1" applyAlignment="1">
      <alignment horizontal="left"/>
    </xf>
    <xf numFmtId="0" fontId="2" fillId="12" borderId="0" xfId="1" applyFill="1" applyAlignment="1" applyProtection="1"/>
    <xf numFmtId="164" fontId="0" fillId="12" borderId="6" xfId="0" applyNumberFormat="1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2" borderId="2" xfId="0" applyFill="1" applyBorder="1" applyAlignment="1">
      <alignment horizontal="center"/>
    </xf>
    <xf numFmtId="0" fontId="0" fillId="12" borderId="6" xfId="0" applyFill="1" applyBorder="1" applyAlignment="1">
      <alignment horizontal="center" wrapText="1"/>
    </xf>
    <xf numFmtId="0" fontId="3" fillId="12" borderId="2" xfId="1" applyFont="1" applyFill="1" applyBorder="1" applyAlignment="1" applyProtection="1">
      <alignment horizontal="center"/>
    </xf>
    <xf numFmtId="0" fontId="3" fillId="12" borderId="6" xfId="1" applyFont="1" applyFill="1" applyBorder="1" applyAlignment="1" applyProtection="1">
      <alignment horizontal="center"/>
    </xf>
    <xf numFmtId="0" fontId="2" fillId="12" borderId="6" xfId="1" applyFill="1" applyBorder="1" applyAlignment="1" applyProtection="1">
      <alignment horizontal="center"/>
    </xf>
    <xf numFmtId="0" fontId="4" fillId="12" borderId="6" xfId="0" applyFont="1" applyFill="1" applyBorder="1" applyAlignment="1">
      <alignment horizontal="center"/>
    </xf>
    <xf numFmtId="14" fontId="5" fillId="12" borderId="6" xfId="0" applyNumberFormat="1" applyFont="1" applyFill="1" applyBorder="1" applyAlignment="1">
      <alignment horizontal="center"/>
    </xf>
    <xf numFmtId="168" fontId="5" fillId="12" borderId="6" xfId="0" applyNumberFormat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left"/>
    </xf>
    <xf numFmtId="14" fontId="24" fillId="12" borderId="6" xfId="0" applyNumberFormat="1" applyFont="1" applyFill="1" applyBorder="1" applyAlignment="1">
      <alignment horizontal="left"/>
    </xf>
    <xf numFmtId="14" fontId="25" fillId="12" borderId="6" xfId="0" applyNumberFormat="1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left" wrapText="1"/>
    </xf>
    <xf numFmtId="0" fontId="25" fillId="12" borderId="6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2" borderId="12" xfId="0" applyFill="1" applyBorder="1" applyAlignment="1">
      <alignment horizontal="center"/>
    </xf>
    <xf numFmtId="0" fontId="0" fillId="12" borderId="0" xfId="0" applyFill="1" applyAlignment="1">
      <alignment horizontal="center"/>
    </xf>
    <xf numFmtId="14" fontId="6" fillId="12" borderId="6" xfId="0" applyNumberFormat="1" applyFont="1" applyFill="1" applyBorder="1" applyAlignment="1">
      <alignment horizontal="center"/>
    </xf>
    <xf numFmtId="168" fontId="6" fillId="12" borderId="6" xfId="0" applyNumberFormat="1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left"/>
    </xf>
    <xf numFmtId="0" fontId="15" fillId="12" borderId="6" xfId="0" applyFont="1" applyFill="1" applyBorder="1"/>
    <xf numFmtId="0" fontId="0" fillId="12" borderId="2" xfId="0" applyFill="1" applyBorder="1"/>
    <xf numFmtId="0" fontId="15" fillId="12" borderId="2" xfId="0" applyFont="1" applyFill="1" applyBorder="1"/>
    <xf numFmtId="0" fontId="15" fillId="12" borderId="6" xfId="0" applyFont="1" applyFill="1" applyBorder="1" applyAlignment="1">
      <alignment horizontal="center"/>
    </xf>
    <xf numFmtId="0" fontId="15" fillId="12" borderId="12" xfId="0" applyFont="1" applyFill="1" applyBorder="1"/>
    <xf numFmtId="0" fontId="15" fillId="12" borderId="0" xfId="0" applyFont="1" applyFill="1"/>
    <xf numFmtId="167" fontId="2" fillId="12" borderId="6" xfId="1" applyNumberFormat="1" applyFill="1" applyBorder="1" applyAlignment="1" applyProtection="1"/>
    <xf numFmtId="0" fontId="1" fillId="12" borderId="2" xfId="0" applyFont="1" applyFill="1" applyBorder="1" applyAlignment="1">
      <alignment horizontal="center"/>
    </xf>
    <xf numFmtId="0" fontId="29" fillId="12" borderId="0" xfId="0" applyFont="1" applyFill="1"/>
    <xf numFmtId="0" fontId="2" fillId="12" borderId="0" xfId="1" applyFill="1" applyBorder="1" applyAlignment="1" applyProtection="1"/>
    <xf numFmtId="0" fontId="2" fillId="12" borderId="6" xfId="1" applyFill="1" applyBorder="1" applyAlignment="1" applyProtection="1">
      <alignment horizontal="left"/>
    </xf>
    <xf numFmtId="0" fontId="22" fillId="12" borderId="6" xfId="0" applyFont="1" applyFill="1" applyBorder="1" applyAlignment="1">
      <alignment horizontal="center"/>
    </xf>
    <xf numFmtId="14" fontId="0" fillId="12" borderId="12" xfId="0" applyNumberFormat="1" applyFill="1" applyBorder="1" applyAlignment="1">
      <alignment horizontal="center"/>
    </xf>
    <xf numFmtId="168" fontId="0" fillId="12" borderId="12" xfId="0" applyNumberFormat="1" applyFill="1" applyBorder="1" applyAlignment="1">
      <alignment horizontal="center"/>
    </xf>
    <xf numFmtId="14" fontId="23" fillId="12" borderId="6" xfId="0" applyNumberFormat="1" applyFont="1" applyFill="1" applyBorder="1" applyAlignment="1">
      <alignment horizontal="center"/>
    </xf>
    <xf numFmtId="170" fontId="0" fillId="12" borderId="6" xfId="0" applyNumberFormat="1" applyFill="1" applyBorder="1" applyAlignment="1">
      <alignment horizontal="left"/>
    </xf>
    <xf numFmtId="170" fontId="0" fillId="12" borderId="12" xfId="0" applyNumberFormat="1" applyFill="1" applyBorder="1" applyAlignment="1">
      <alignment horizontal="left"/>
    </xf>
    <xf numFmtId="170" fontId="1" fillId="12" borderId="6" xfId="0" applyNumberFormat="1" applyFont="1" applyFill="1" applyBorder="1" applyAlignment="1">
      <alignment horizontal="left"/>
    </xf>
    <xf numFmtId="169" fontId="0" fillId="12" borderId="6" xfId="0" applyNumberFormat="1" applyFill="1" applyBorder="1" applyAlignment="1">
      <alignment horizontal="left"/>
    </xf>
    <xf numFmtId="169" fontId="0" fillId="12" borderId="12" xfId="0" applyNumberFormat="1" applyFill="1" applyBorder="1" applyAlignment="1">
      <alignment horizontal="left"/>
    </xf>
    <xf numFmtId="14" fontId="0" fillId="12" borderId="6" xfId="0" applyNumberFormat="1" applyFill="1" applyBorder="1" applyAlignment="1">
      <alignment horizontal="center" wrapText="1"/>
    </xf>
    <xf numFmtId="14" fontId="3" fillId="12" borderId="6" xfId="1" applyNumberFormat="1" applyFont="1" applyFill="1" applyBorder="1" applyAlignment="1" applyProtection="1">
      <alignment horizontal="center"/>
    </xf>
    <xf numFmtId="17" fontId="0" fillId="12" borderId="6" xfId="0" applyNumberFormat="1" applyFill="1" applyBorder="1" applyAlignment="1">
      <alignment horizontal="left"/>
    </xf>
    <xf numFmtId="170" fontId="0" fillId="12" borderId="6" xfId="0" applyNumberFormat="1" applyFill="1" applyBorder="1" applyAlignment="1">
      <alignment horizontal="center"/>
    </xf>
    <xf numFmtId="170" fontId="1" fillId="12" borderId="6" xfId="0" applyNumberFormat="1" applyFont="1" applyFill="1" applyBorder="1" applyAlignment="1">
      <alignment horizontal="center"/>
    </xf>
    <xf numFmtId="14" fontId="0" fillId="12" borderId="6" xfId="0" applyNumberFormat="1" applyFill="1" applyBorder="1" applyAlignment="1">
      <alignment horizontal="left"/>
    </xf>
    <xf numFmtId="0" fontId="26" fillId="12" borderId="6" xfId="0" applyFont="1" applyFill="1" applyBorder="1" applyAlignment="1">
      <alignment horizontal="center"/>
    </xf>
    <xf numFmtId="168" fontId="25" fillId="12" borderId="6" xfId="0" applyNumberFormat="1" applyFont="1" applyFill="1" applyBorder="1" applyAlignment="1">
      <alignment horizontal="center"/>
    </xf>
    <xf numFmtId="14" fontId="27" fillId="12" borderId="6" xfId="0" applyNumberFormat="1" applyFont="1" applyFill="1" applyBorder="1" applyAlignment="1">
      <alignment horizontal="center"/>
    </xf>
    <xf numFmtId="170" fontId="25" fillId="12" borderId="6" xfId="0" applyNumberFormat="1" applyFont="1" applyFill="1" applyBorder="1" applyAlignment="1">
      <alignment horizontal="left"/>
    </xf>
    <xf numFmtId="170" fontId="25" fillId="12" borderId="12" xfId="0" applyNumberFormat="1" applyFont="1" applyFill="1" applyBorder="1" applyAlignment="1">
      <alignment horizontal="left"/>
    </xf>
    <xf numFmtId="170" fontId="28" fillId="12" borderId="6" xfId="0" applyNumberFormat="1" applyFont="1" applyFill="1" applyBorder="1" applyAlignment="1">
      <alignment horizontal="left"/>
    </xf>
    <xf numFmtId="169" fontId="25" fillId="12" borderId="6" xfId="0" applyNumberFormat="1" applyFont="1" applyFill="1" applyBorder="1" applyAlignment="1">
      <alignment horizontal="left"/>
    </xf>
    <xf numFmtId="16" fontId="0" fillId="12" borderId="6" xfId="0" applyNumberFormat="1" applyFill="1" applyBorder="1" applyAlignment="1">
      <alignment horizontal="left"/>
    </xf>
    <xf numFmtId="14" fontId="23" fillId="12" borderId="12" xfId="0" applyNumberFormat="1" applyFont="1" applyFill="1" applyBorder="1" applyAlignment="1">
      <alignment horizontal="center"/>
    </xf>
    <xf numFmtId="0" fontId="0" fillId="12" borderId="6" xfId="0" applyFill="1" applyBorder="1" applyAlignment="1">
      <alignment horizontal="center" vertical="center"/>
    </xf>
    <xf numFmtId="170" fontId="6" fillId="12" borderId="6" xfId="0" applyNumberFormat="1" applyFont="1" applyFill="1" applyBorder="1" applyAlignment="1">
      <alignment horizontal="left"/>
    </xf>
    <xf numFmtId="169" fontId="6" fillId="12" borderId="6" xfId="0" applyNumberFormat="1" applyFont="1" applyFill="1" applyBorder="1" applyAlignment="1">
      <alignment horizontal="left"/>
    </xf>
    <xf numFmtId="170" fontId="0" fillId="12" borderId="6" xfId="0" applyNumberFormat="1" applyFill="1" applyBorder="1"/>
    <xf numFmtId="170" fontId="1" fillId="12" borderId="6" xfId="0" applyNumberFormat="1" applyFont="1" applyFill="1" applyBorder="1"/>
    <xf numFmtId="14" fontId="0" fillId="12" borderId="6" xfId="0" applyNumberFormat="1" applyFill="1" applyBorder="1"/>
    <xf numFmtId="170" fontId="6" fillId="12" borderId="6" xfId="0" applyNumberFormat="1" applyFont="1" applyFill="1" applyBorder="1"/>
    <xf numFmtId="169" fontId="0" fillId="12" borderId="4" xfId="0" applyNumberFormat="1" applyFill="1" applyBorder="1" applyAlignment="1">
      <alignment horizontal="left"/>
    </xf>
    <xf numFmtId="14" fontId="2" fillId="12" borderId="6" xfId="1" applyNumberFormat="1" applyFill="1" applyBorder="1" applyAlignment="1" applyProtection="1"/>
    <xf numFmtId="0" fontId="0" fillId="12" borderId="6" xfId="0" applyFill="1" applyBorder="1" applyAlignment="1">
      <alignment vertical="center"/>
    </xf>
    <xf numFmtId="14" fontId="0" fillId="12" borderId="12" xfId="0" applyNumberFormat="1" applyFill="1" applyBorder="1"/>
    <xf numFmtId="170" fontId="0" fillId="12" borderId="2" xfId="0" applyNumberFormat="1" applyFill="1" applyBorder="1"/>
    <xf numFmtId="170" fontId="0" fillId="12" borderId="0" xfId="0" applyNumberFormat="1" applyFill="1"/>
    <xf numFmtId="170" fontId="1" fillId="12" borderId="2" xfId="0" applyNumberFormat="1" applyFont="1" applyFill="1" applyBorder="1"/>
    <xf numFmtId="170" fontId="1" fillId="12" borderId="0" xfId="0" applyNumberFormat="1" applyFont="1" applyFill="1"/>
    <xf numFmtId="170" fontId="6" fillId="12" borderId="0" xfId="0" applyNumberFormat="1" applyFont="1" applyFill="1"/>
    <xf numFmtId="14" fontId="0" fillId="12" borderId="0" xfId="0" applyNumberFormat="1" applyFill="1" applyAlignment="1">
      <alignment horizontal="center"/>
    </xf>
    <xf numFmtId="14" fontId="2" fillId="12" borderId="0" xfId="1" applyNumberFormat="1" applyFill="1" applyAlignment="1" applyProtection="1"/>
    <xf numFmtId="14" fontId="3" fillId="12" borderId="6" xfId="1" applyNumberFormat="1" applyFont="1" applyFill="1" applyBorder="1" applyAlignment="1" applyProtection="1"/>
    <xf numFmtId="14" fontId="3" fillId="12" borderId="0" xfId="1" applyNumberFormat="1" applyFont="1" applyFill="1" applyBorder="1" applyAlignment="1" applyProtection="1"/>
    <xf numFmtId="167" fontId="0" fillId="12" borderId="6" xfId="0" applyNumberFormat="1" applyFill="1" applyBorder="1"/>
    <xf numFmtId="14" fontId="2" fillId="12" borderId="6" xfId="1" applyNumberFormat="1" applyFill="1" applyBorder="1" applyAlignment="1" applyProtection="1">
      <alignment horizontal="center"/>
    </xf>
    <xf numFmtId="14" fontId="6" fillId="12" borderId="6" xfId="1" applyNumberFormat="1" applyFont="1" applyFill="1" applyBorder="1" applyAlignment="1" applyProtection="1">
      <alignment horizontal="center"/>
    </xf>
    <xf numFmtId="0" fontId="15" fillId="12" borderId="0" xfId="0" applyFont="1" applyFill="1" applyAlignment="1">
      <alignment horizontal="center"/>
    </xf>
    <xf numFmtId="0" fontId="2" fillId="18" borderId="0" xfId="1" applyFill="1" applyAlignment="1" applyProtection="1"/>
    <xf numFmtId="0" fontId="1" fillId="2" borderId="2" xfId="0" applyFon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68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14" fontId="21" fillId="2" borderId="6" xfId="0" applyNumberFormat="1" applyFont="1" applyFill="1" applyBorder="1" applyAlignment="1">
      <alignment horizontal="left"/>
    </xf>
    <xf numFmtId="0" fontId="15" fillId="2" borderId="6" xfId="0" applyFont="1" applyFill="1" applyBorder="1"/>
    <xf numFmtId="0" fontId="0" fillId="2" borderId="6" xfId="0" applyFill="1" applyBorder="1" applyAlignment="1">
      <alignment horizontal="left" wrapText="1"/>
    </xf>
    <xf numFmtId="0" fontId="22" fillId="2" borderId="6" xfId="0" applyFont="1" applyFill="1" applyBorder="1" applyAlignment="1">
      <alignment horizontal="center"/>
    </xf>
    <xf numFmtId="14" fontId="23" fillId="2" borderId="6" xfId="0" applyNumberFormat="1" applyFont="1" applyFill="1" applyBorder="1" applyAlignment="1">
      <alignment horizontal="center"/>
    </xf>
    <xf numFmtId="0" fontId="0" fillId="2" borderId="0" xfId="0" applyFill="1"/>
    <xf numFmtId="170" fontId="0" fillId="2" borderId="0" xfId="0" applyNumberFormat="1" applyFill="1"/>
    <xf numFmtId="0" fontId="0" fillId="2" borderId="2" xfId="0" applyFill="1" applyBorder="1"/>
    <xf numFmtId="169" fontId="0" fillId="2" borderId="6" xfId="0" applyNumberFormat="1" applyFill="1" applyBorder="1" applyAlignment="1">
      <alignment horizontal="left"/>
    </xf>
    <xf numFmtId="14" fontId="0" fillId="2" borderId="6" xfId="0" applyNumberFormat="1" applyFill="1" applyBorder="1"/>
    <xf numFmtId="170" fontId="1" fillId="2" borderId="0" xfId="0" applyNumberFormat="1" applyFont="1" applyFill="1"/>
    <xf numFmtId="167" fontId="0" fillId="2" borderId="6" xfId="0" applyNumberFormat="1" applyFill="1" applyBorder="1"/>
    <xf numFmtId="16" fontId="0" fillId="12" borderId="6" xfId="0" applyNumberFormat="1" applyFill="1" applyBorder="1"/>
    <xf numFmtId="0" fontId="32" fillId="12" borderId="0" xfId="0" applyFont="1" applyFill="1"/>
    <xf numFmtId="0" fontId="31" fillId="12" borderId="0" xfId="0" applyFont="1" applyFill="1"/>
    <xf numFmtId="14" fontId="6" fillId="0" borderId="6" xfId="0" applyNumberFormat="1" applyFont="1" applyBorder="1" applyAlignment="1">
      <alignment horizontal="center"/>
    </xf>
    <xf numFmtId="168" fontId="6" fillId="15" borderId="6" xfId="0" applyNumberFormat="1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 vertical="center"/>
    </xf>
    <xf numFmtId="14" fontId="6" fillId="12" borderId="6" xfId="0" applyNumberFormat="1" applyFont="1" applyFill="1" applyBorder="1" applyAlignment="1">
      <alignment horizontal="left"/>
    </xf>
    <xf numFmtId="0" fontId="6" fillId="12" borderId="0" xfId="0" applyFont="1" applyFill="1" applyAlignment="1">
      <alignment horizontal="left"/>
    </xf>
    <xf numFmtId="0" fontId="6" fillId="12" borderId="6" xfId="0" applyFont="1" applyFill="1" applyBorder="1"/>
    <xf numFmtId="169" fontId="6" fillId="12" borderId="4" xfId="0" applyNumberFormat="1" applyFont="1" applyFill="1" applyBorder="1" applyAlignment="1">
      <alignment horizontal="left"/>
    </xf>
    <xf numFmtId="0" fontId="15" fillId="12" borderId="6" xfId="0" applyFont="1" applyFill="1" applyBorder="1" applyAlignment="1">
      <alignment horizontal="center" vertical="center"/>
    </xf>
    <xf numFmtId="14" fontId="6" fillId="12" borderId="6" xfId="0" applyNumberFormat="1" applyFont="1" applyFill="1" applyBorder="1"/>
    <xf numFmtId="0" fontId="6" fillId="12" borderId="6" xfId="0" applyFont="1" applyFill="1" applyBorder="1" applyAlignment="1">
      <alignment vertical="center"/>
    </xf>
    <xf numFmtId="0" fontId="6" fillId="12" borderId="2" xfId="0" applyFont="1" applyFill="1" applyBorder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168" fontId="6" fillId="12" borderId="6" xfId="0" applyNumberFormat="1" applyFont="1" applyFill="1" applyBorder="1"/>
    <xf numFmtId="14" fontId="23" fillId="12" borderId="6" xfId="1" applyNumberFormat="1" applyFont="1" applyFill="1" applyBorder="1" applyAlignment="1" applyProtection="1">
      <alignment horizontal="center"/>
    </xf>
    <xf numFmtId="170" fontId="6" fillId="12" borderId="2" xfId="0" applyNumberFormat="1" applyFont="1" applyFill="1" applyBorder="1"/>
    <xf numFmtId="17" fontId="0" fillId="12" borderId="6" xfId="0" applyNumberFormat="1" applyFill="1" applyBorder="1"/>
    <xf numFmtId="0" fontId="15" fillId="2" borderId="0" xfId="0" applyFont="1" applyFill="1"/>
    <xf numFmtId="16" fontId="0" fillId="2" borderId="6" xfId="0" applyNumberFormat="1" applyFill="1" applyBorder="1"/>
    <xf numFmtId="14" fontId="3" fillId="12" borderId="6" xfId="1" applyNumberFormat="1" applyFont="1" applyFill="1" applyBorder="1" applyAlignment="1" applyProtection="1">
      <alignment horizontal="right"/>
    </xf>
    <xf numFmtId="14" fontId="0" fillId="12" borderId="6" xfId="0" applyNumberFormat="1" applyFill="1" applyBorder="1" applyAlignment="1">
      <alignment horizontal="right"/>
    </xf>
    <xf numFmtId="0" fontId="0" fillId="0" borderId="2" xfId="0" applyBorder="1" applyAlignment="1">
      <alignment horizontal="left"/>
    </xf>
    <xf numFmtId="0" fontId="33" fillId="12" borderId="6" xfId="0" applyFont="1" applyFill="1" applyBorder="1"/>
    <xf numFmtId="169" fontId="0" fillId="12" borderId="2" xfId="0" applyNumberFormat="1" applyFill="1" applyBorder="1" applyAlignment="1">
      <alignment horizontal="left"/>
    </xf>
    <xf numFmtId="0" fontId="2" fillId="0" borderId="6" xfId="1" applyFill="1" applyBorder="1" applyAlignment="1" applyProtection="1"/>
    <xf numFmtId="0" fontId="2" fillId="0" borderId="6" xfId="1" applyBorder="1" applyAlignment="1" applyProtection="1"/>
    <xf numFmtId="14" fontId="0" fillId="9" borderId="6" xfId="0" applyNumberFormat="1" applyFill="1" applyBorder="1" applyAlignment="1">
      <alignment horizontal="center"/>
    </xf>
    <xf numFmtId="14" fontId="0" fillId="9" borderId="6" xfId="0" applyNumberFormat="1" applyFill="1" applyBorder="1" applyAlignment="1">
      <alignment horizontal="right"/>
    </xf>
    <xf numFmtId="14" fontId="0" fillId="9" borderId="6" xfId="0" applyNumberFormat="1" applyFill="1" applyBorder="1"/>
    <xf numFmtId="0" fontId="0" fillId="9" borderId="6" xfId="0" applyFill="1" applyBorder="1" applyAlignment="1">
      <alignment horizontal="left"/>
    </xf>
    <xf numFmtId="14" fontId="0" fillId="12" borderId="2" xfId="0" applyNumberFormat="1" applyFill="1" applyBorder="1"/>
    <xf numFmtId="169" fontId="0" fillId="15" borderId="2" xfId="0" applyNumberFormat="1" applyFill="1" applyBorder="1" applyAlignment="1">
      <alignment horizontal="left"/>
    </xf>
    <xf numFmtId="0" fontId="0" fillId="19" borderId="6" xfId="0" applyFill="1" applyBorder="1"/>
    <xf numFmtId="0" fontId="15" fillId="9" borderId="6" xfId="0" applyFont="1" applyFill="1" applyBorder="1"/>
    <xf numFmtId="0" fontId="0" fillId="9" borderId="6" xfId="0" applyFill="1" applyBorder="1" applyAlignment="1">
      <alignment horizontal="center"/>
    </xf>
    <xf numFmtId="14" fontId="0" fillId="19" borderId="6" xfId="0" applyNumberFormat="1" applyFill="1" applyBorder="1" applyAlignment="1">
      <alignment horizontal="center"/>
    </xf>
    <xf numFmtId="0" fontId="0" fillId="9" borderId="6" xfId="0" applyFill="1" applyBorder="1"/>
    <xf numFmtId="0" fontId="1" fillId="17" borderId="9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</cellXfs>
  <cellStyles count="12">
    <cellStyle name="Hyperlink" xfId="1" builtinId="8"/>
    <cellStyle name="Milliers 2" xfId="2" xr:uid="{00000000-0005-0000-0000-000003000000}"/>
    <cellStyle name="Milliers 3" xfId="3" xr:uid="{00000000-0005-0000-0000-000004000000}"/>
    <cellStyle name="Milliers 3 2" xfId="4" xr:uid="{00000000-0005-0000-0000-000005000000}"/>
    <cellStyle name="Normal" xfId="0" builtinId="0"/>
    <cellStyle name="Normal 2" xfId="5" xr:uid="{00000000-0005-0000-0000-000008000000}"/>
    <cellStyle name="Normal 3" xfId="6" xr:uid="{00000000-0005-0000-0000-000009000000}"/>
    <cellStyle name="Normal 4" xfId="7" xr:uid="{00000000-0005-0000-0000-00000A000000}"/>
    <cellStyle name="Normal 5" xfId="8" xr:uid="{00000000-0005-0000-0000-00000B000000}"/>
    <cellStyle name="Pourcentage 2" xfId="9" xr:uid="{00000000-0005-0000-0000-00000C000000}"/>
    <cellStyle name="Pourcentage 3" xfId="10" xr:uid="{00000000-0005-0000-0000-00000D000000}"/>
    <cellStyle name="Pourcentage 3 2" xfId="11" xr:uid="{00000000-0005-0000-0000-00000E000000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0&quot;1&quot;\ 00#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0&quot;1&quot;\ 00#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-* #,##0\ _€_-;\-* #,##0\ _€_-;_-* &quot;-&quot;??\ _€_-;_-@_-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family val="2"/>
        <scheme val="none"/>
      </font>
      <numFmt numFmtId="171" formatCode="d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dd/mm/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numFmt numFmtId="171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dd/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7" formatCode="0#,###"/>
      <fill>
        <patternFill patternType="solid">
          <fgColor indexed="64"/>
          <bgColor theme="6" tint="-0.49998474074526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</dxfs>
  <tableStyles count="1" defaultTableStyle="Style de tableau 1" defaultPivotStyle="PivotStyleLight16">
    <tableStyle name="Style de tableau 1" pivot="0" count="0" xr9:uid="{00000000-0011-0000-FFFF-FFFF00000000}"/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ne POTIER" id="{2B096985-C554-4D54-B6ED-066C53E40D6F}" userId="Christine POTIER" providerId="None"/>
  <person displayName="Monica Sun" id="{CCBC4F7F-0221-4D7C-A52E-BE69F8299A48}" userId="S::monica.sun@novasep.com::b260d5f4-4b5a-45f7-93a7-5240df514efb" providerId="AD"/>
  <person displayName="Christine POTIER" id="{F7347DA0-1B13-4CB1-A798-5176633944DC}" userId="S::Christine.POTIER@novasep.com::e5ffddba-889b-4a5b-896f-a1d578fe1ad8" providerId="AD"/>
  <person displayName="Christine POTIER" id="{7DB32BAB-C89C-43EF-B846-B6A0B67407BE}" userId="S::Christine.POTIER@applexion.com::de151cc8-fcbf-4e0d-b393-ade237b69c7d" providerId="AD"/>
  <person displayName="Christine POTIER" id="{81916D26-29DB-4CE6-A1AC-A53CBBE5FD6B}" userId="S::Christine.POTIER@novasep-ps.com::de151cc8-fcbf-4e0d-b393-ade237b69c7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6A94DA8-665A-449F-96AC-C30A11AF376D}" name="CHRONO_CAP" displayName="CHRONO_CAP" ref="A6:AN598" totalsRowShown="0" headerRowDxfId="50">
  <autoFilter ref="A6:AN598" xr:uid="{46A94DA8-665A-449F-96AC-C30A11AF376D}">
    <filterColumn colId="2">
      <filters>
        <filter val="NVSA"/>
      </filters>
    </filterColumn>
    <filterColumn colId="3">
      <filters>
        <dateGroupItem year="2024" dateTimeGrouping="year"/>
      </filters>
    </filterColumn>
  </autoFilter>
  <tableColumns count="40">
    <tableColumn id="1" xr3:uid="{CA0E164D-5AFF-4EA4-8C25-8471689040FC}" name="Fichier" dataDxfId="49"/>
    <tableColumn id="2" xr3:uid="{4FCBBA66-F02D-46E6-94D9-4B6B307D6A01}" name="CAP Nr" dataDxfId="48"/>
    <tableColumn id="3" xr3:uid="{85E38940-84A8-431B-B48A-69E4AFA5345E}" name="SMB/ NVSA" dataDxfId="47"/>
    <tableColumn id="4" xr3:uid="{07E0330B-805B-4E92-BE33-8028A4A0B9D3}" name="Recording_x000a_ Date" dataDxfId="46"/>
    <tableColumn id="5" xr3:uid="{7397E636-5078-482E-9DCC-B69C597D7B0D}" name="Issuer" dataDxfId="45"/>
    <tableColumn id="6" xr3:uid="{CA1E8A2D-F6F9-47AC-AD19-24D44A15ACBB}" name="Dpt" dataDxfId="44"/>
    <tableColumn id="7" xr3:uid="{3CF3C53F-30B3-4901-AD04-93D6431AAAC3}" name="Customer" dataDxfId="43"/>
    <tableColumn id="8" xr3:uid="{D534243C-1D4E-401A-B59A-EE90373D6844}" name="Supplier" dataDxfId="42"/>
    <tableColumn id="9" xr3:uid="{49BE83FF-9026-4D8D-A253-AF7D2CA8F9F4}" name="CAP TYPE" dataDxfId="41"/>
    <tableColumn id="10" xr3:uid="{D1D67D22-06DE-48F2-9FFF-856217EFF684}" name="Recuring" dataDxfId="40"/>
    <tableColumn id="11" xr3:uid="{9C5F9CBB-62DB-4AEE-A4ED-2D116611AAC8}" name="Compt Nr" dataDxfId="39"/>
    <tableColumn id="12" xr3:uid="{9B65C670-C168-4ABA-9B69-D57498975273}" name="Project Nr" dataDxfId="38"/>
    <tableColumn id="13" xr3:uid="{638703F1-7BDB-4C49-8772-0CB471B7CD18}" name="Techno*" dataDxfId="37"/>
    <tableColumn id="14" xr3:uid="{6334E483-C4F1-40F2-9882-26F788BCCFDF}" name="Description" dataDxfId="36"/>
    <tableColumn id="15" xr3:uid="{8126A1F7-613E-4792-8455-8F150A68E001}" name="Scope" dataDxfId="35"/>
    <tableColumn id="16" xr3:uid="{89740006-7DEF-454D-A9CF-E3B9DC3C0460}" name="Process" dataDxfId="34"/>
    <tableColumn id="17" xr3:uid="{063677EC-20C3-4EC8-8999-D21CE3C59873}" name="Step of Process" dataDxfId="33"/>
    <tableColumn id="18" xr3:uid="{0D4D870D-FFE4-4794-ABB8-4729B7B5A37A}" name="7M" dataDxfId="32"/>
    <tableColumn id="19" xr3:uid="{85BA3437-5330-45D2-8D90-29A512468C93}" name="OE Tool" dataDxfId="31"/>
    <tableColumn id="20" xr3:uid="{604DE6E5-16D6-4BB5-89ED-3B7C4895EC30}" name="Supplier litigation" dataDxfId="30"/>
    <tableColumn id="21" xr3:uid="{962154C0-0651-4646-8816-CF8277974390}" name="1st action _x000a_planned date" dataDxfId="29"/>
    <tableColumn id="22" xr3:uid="{F7AD96CB-92A6-4BE6-8819-A97272C1C1F6}" name="Enlarged _x000a_Treatment" dataDxfId="28"/>
    <tableColumn id="23" xr3:uid="{B97D2E70-CB3C-4E2A-9894-F6FF20DAC292}" name="Leader" dataDxfId="27"/>
    <tableColumn id="24" xr3:uid="{C9A756B2-B9DD-44FF-8765-A45936C2328F}" name="Action plan definition date" dataDxfId="26"/>
    <tableColumn id="25" xr3:uid="{806F51DC-2F43-4E8A-9B93-72E5F6EE92E8}" name="Est. _x000a_closure date" dataDxfId="25">
      <calculatedColumnFormula>EDATE(D7,3)</calculatedColumnFormula>
    </tableColumn>
    <tableColumn id="26" xr3:uid="{DAF13440-71E3-4946-B769-BA53CFE0AC72}" name="Closure Date" dataDxfId="24"/>
    <tableColumn id="27" xr3:uid="{1F21E781-7853-42CA-985D-8E1B1E8CC141}" name="Closed under_x000a_3 months" dataDxfId="23">
      <calculatedColumnFormula>IF(Z7="",IF(TODAY()&gt;Y7,"NO","YES"),IF(Z7&gt;Y7,"NO",IF(Z7&lt;Y7,"YES",IF(Y7=Z7,"YES","N/A"))))</calculatedColumnFormula>
    </tableColumn>
    <tableColumn id="28" xr3:uid="{5591F1A8-D9C0-4D03-A9C9-A2335CF426F3}" name="Claim Date" dataDxfId="22"/>
    <tableColumn id="29" xr3:uid="{089BD10A-2A7F-43A5-8AE2-9B440DBA9EA8}" name="Cust. Information Date" dataDxfId="21"/>
    <tableColumn id="30" xr3:uid="{57170B47-B46B-4833-A215-0DFD9FD5BF34}" name="Estimated date of action plan closure" dataDxfId="20"/>
    <tableColumn id="31" xr3:uid="{BDB5E513-687F-4A28-94E3-4F2756ED963F}" name="Date of action _x000a_plan closure" dataDxfId="19"/>
    <tableColumn id="32" xr3:uid="{D133D8FA-E728-4179-9A74-48B4782A1C28}" name="closed _x000a_in delay?" dataDxfId="18">
      <calculatedColumnFormula>IF(I7="Claim",IF(AD7="","",IF(AE7="",IF(TODAY()&gt;AD7,"NO","YES"),IF(AE7&gt;AD7,"NO",IF(AE7&lt;AD7,"YES",IF(AD7=AE7,"YES","N/A"))))),"N/A")</calculatedColumnFormula>
    </tableColumn>
    <tableColumn id="33" xr3:uid="{79C22C31-2C01-413B-9950-1847B939A7DC}" name="Hours (€)" dataDxfId="17"/>
    <tableColumn id="34" xr3:uid="{274E2E07-CC94-4737-A1A4-53E2BFAC4AF0}" name="Eqmt (€)" dataDxfId="16"/>
    <tableColumn id="35" xr3:uid="{B3BA4DF8-9508-47C1-980C-E419AB46FC9E}" name="TOTAL (€)" dataDxfId="15">
      <calculatedColumnFormula>AH7+AG7</calculatedColumnFormula>
    </tableColumn>
    <tableColumn id="36" xr3:uid="{7319FAFB-3CE1-4EB5-A624-5F5992A0EA69}" name="Efficient_x000a_Action ?" dataDxfId="14"/>
    <tableColumn id="37" xr3:uid="{BA00DD7A-1F7D-4D5A-B5A5-87D0955CEB36}" name="Date of effic. _x000a_measure" dataDxfId="13"/>
    <tableColumn id="38" xr3:uid="{24BD6E1E-D7EA-4AAF-A4FD-DA1562D8EB8E}" name="Comments" dataDxfId="12"/>
    <tableColumn id="39" xr3:uid="{16A27DD6-2333-45D5-9077-960FC61EB429}" name="CAP_label" dataDxfId="11">
      <calculatedColumnFormula>CONCATENATE(B7," ",G7)</calculatedColumnFormula>
    </tableColumn>
    <tableColumn id="40" xr3:uid="{AD7BEB82-45AB-48BB-A7B4-F498C3E9F291}" name="Label_CODIR" dataDxfId="10">
      <calculatedColumnFormula>CONCATENATE(B7," ",G7," : ",N7)</calculatedColumnFormula>
    </tableColumn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0BBA26-64D9-4B98-8A71-6EA098032C56}" name="Tableau4" displayName="Tableau4" ref="A2:A5" totalsRowShown="0" headerRowDxfId="9" dataDxfId="8">
  <autoFilter ref="A2:A5" xr:uid="{370BBA26-64D9-4B98-8A71-6EA098032C56}"/>
  <tableColumns count="1">
    <tableColumn id="1" xr3:uid="{BC882C38-F384-4596-8374-5DE5C6A761B8}" name="Colonne1" dataDxfId="7"/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4D376A-9946-4AA0-86FB-08F8A92974F7}" name="Tableau5" displayName="Tableau5" ref="C1:C6" totalsRowShown="0" headerRowDxfId="6">
  <autoFilter ref="C1:C6" xr:uid="{A34D376A-9946-4AA0-86FB-08F8A92974F7}"/>
  <tableColumns count="1">
    <tableColumn id="1" xr3:uid="{75FB9A67-3536-4273-8508-99ECF8CB47C3}" name="Cap_Type"/>
  </tableColumns>
  <tableStyleInfo name="Style de tableau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AB9932-5AA4-44E0-A45F-27FE3B2298C6}" name="Tableau7" displayName="Tableau7" ref="E1:E11" totalsRowShown="0" headerRowDxfId="5">
  <autoFilter ref="E1:E11" xr:uid="{2FAB9932-5AA4-44E0-A45F-27FE3B2298C6}"/>
  <tableColumns count="1">
    <tableColumn id="1" xr3:uid="{2AAE3301-CB15-4B95-93B7-6621639D8DE1}" name="Techno"/>
  </tableColumns>
  <tableStyleInfo name="Style de tableau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2CEA08-E1A3-4B86-A8F4-472B173F27C3}" name="Tableau8" displayName="Tableau8" ref="G1:G9" totalsRowShown="0" headerRowDxfId="4">
  <autoFilter ref="G1:G9" xr:uid="{B22CEA08-E1A3-4B86-A8F4-472B173F27C3}"/>
  <tableColumns count="1">
    <tableColumn id="1" xr3:uid="{9E8220D9-9E9D-49E3-A0D5-0FC7F6D0BC46}" name="5M"/>
  </tableColumns>
  <tableStyleInfo name="Style de tableau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5C6A1D-D8B9-4002-812E-1ED324E577F8}" name="Tableau9" displayName="Tableau9" ref="I1:I4" totalsRowShown="0" headerRowDxfId="3">
  <autoFilter ref="I1:I4" xr:uid="{875C6A1D-D8B9-4002-812E-1ED324E577F8}"/>
  <tableColumns count="1">
    <tableColumn id="1" xr3:uid="{F19D0FA1-AB2C-43BD-A1AF-C8FC44D984FF}" name="SCOPE"/>
  </tableColumns>
  <tableStyleInfo name="Style de tableau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4320E7-E56B-43D3-9125-3E7C194553FB}" name="Tableau10" displayName="Tableau10" ref="K1:K4" totalsRowShown="0" headerRowDxfId="2" dataDxfId="1">
  <autoFilter ref="K1:K4" xr:uid="{C84320E7-E56B-43D3-9125-3E7C194553FB}"/>
  <tableColumns count="1">
    <tableColumn id="1" xr3:uid="{7058DD87-3F91-4444-B3B7-24FCA5F7B349}" name="YES/NO" dataDxfId="0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293" dT="2021-07-06T08:59:08.33" personId="{F7347DA0-1B13-4CB1-A798-5176633944DC}" id="{F1E55C4D-B8B9-43FD-9FE4-9A24696C8736}">
    <text>MàJ le 05/07/21 avec bad debt de 166 K€ à la demande de DBR (2000 mbres)</text>
  </threadedComment>
  <threadedComment ref="AD447" dT="2021-06-24T09:10:13.35" personId="{F7347DA0-1B13-4CB1-A798-5176633944DC}" id="{FEBC486F-D6A0-44AE-8E6B-DE6E75DE30F5}">
    <text>Attente date d'ouverture TP possible par Téréos et si nécessité d'expertise par SUEZ. Au 26/07 : Suez souhaite un retour mbre pour expertise, délai + long.</text>
  </threadedComment>
  <threadedComment ref="X449" dT="2021-06-30T13:29:19.35" personId="{F7347DA0-1B13-4CB1-A798-5176633944DC}" id="{6310AB58-0D95-4E89-8642-BF398DFE40DD}">
    <text>Vu avec Monica le 8/07</text>
  </threadedComment>
  <threadedComment ref="AD451" dT="2021-11-10T13:47:43.37" personId="{F7347DA0-1B13-4CB1-A798-5176633944DC}" id="{43532B8D-914C-44A9-AC5E-9D30B2101AD5}">
    <text>6 mois de fabrication des 3 colonnes à réception cde par Gree. Négociation prix en cours.</text>
  </threadedComment>
  <threadedComment ref="G453" dT="2021-09-30T09:20:58.23" personId="{F7347DA0-1B13-4CB1-A798-5176633944DC}" id="{00FEE4A7-4AEC-4E56-8169-582E3B543E6B}">
    <text>CNQ (bad debt 166 K€) already impute on CAP17033 the 05/07/2021.</text>
  </threadedComment>
  <threadedComment ref="AD454" dT="2021-09-27T09:06:39.79" personId="{F7347DA0-1B13-4CB1-A798-5176633944DC}" id="{27625149-4B13-476E-98CC-B64934752ECF}">
    <text>too short to solve the pb.</text>
  </threadedComment>
  <threadedComment ref="AD454" dT="2021-09-29T03:35:26.92" personId="{CCBC4F7F-0221-4D7C-A52E-BE69F8299A48}" id="{29D77C23-E6DB-4DBF-B9A0-B5B24F632F78}" parentId="{27625149-4B13-476E-98CC-B64934752ECF}">
    <text>i put 6 months</text>
  </threadedComment>
  <threadedComment ref="AD469" dT="2022-02-09T16:38:14.14" personId="{F7347DA0-1B13-4CB1-A798-5176633944DC}" id="{7F71E3F4-074F-42E8-89BF-E436114A1FC0}">
    <text>dépend si expertise par Suez des 2 élt NF</text>
  </threadedComment>
  <threadedComment ref="I481" dT="2022-06-03T12:57:58.10" personId="{F7347DA0-1B13-4CB1-A798-5176633944DC}" id="{0D1E86E7-94D4-4FAF-8A81-B8F535F862B3}">
    <text>CAP ouverte en NC prodt en Mars et requalifié en REC en Mai par NVSA</text>
  </threadedComment>
  <threadedComment ref="I481" dT="2022-06-14T16:18:16.74" personId="{F7347DA0-1B13-4CB1-A798-5176633944DC}" id="{201A93F6-5B00-4CE0-877D-2FBCF4BCDEB9}" parentId="{0D1E86E7-94D4-4FAF-8A81-B8F535F862B3}">
    <text>Maintien de la CAP ouverte (cf mail erratum du 13/06/22)</text>
  </threadedComment>
  <threadedComment ref="AB490" dT="2022-05-19T08:14:27.07" personId="{F7347DA0-1B13-4CB1-A798-5176633944DC}" id="{F3700A54-9052-4D9D-AF9C-9099D277E22C}">
    <text>Insatisfaction orale durant réunion CLE/CJ du 10/05/22</text>
  </threadedComment>
  <threadedComment ref="AC490" dT="2022-05-19T08:14:02.56" personId="{F7347DA0-1B13-4CB1-A798-5176633944DC}" id="{BA839698-A3A0-4AA5-97BA-BE1E05B321C8}">
    <text>AR/prise en compte de l'insatisfaction orale durant la réunion proprement dîte par CLE</text>
  </threadedComment>
  <threadedComment ref="AD520" dT="2023-02-28T14:45:11.31" personId="{2B096985-C554-4D54-B6ED-066C53E40D6F}" id="{03DF0EF2-ECDA-4CA4-ABC2-D8F3A709E47B}">
    <text>À confirmer SGU</text>
  </threadedComment>
  <threadedComment ref="AD526" dT="2023-04-27T10:00:44.21" personId="{81916D26-29DB-4CE6-A1AC-A53CBBE5FD6B}" id="{5A2E8C82-A158-4640-8745-E51300C2F6D4}">
    <text xml:space="preserve">Pb client pour retour filtre poche abîmé </text>
  </threadedComment>
  <threadedComment ref="AD535" dT="2023-04-25T13:26:16.97" personId="{81916D26-29DB-4CE6-A1AC-A53CBBE5FD6B}" id="{7C35C6B2-9811-494D-9782-C863036D6704}">
    <text>À confirmer SGU, pb complexe, dépend CTI, suite PA du 16/05/23 : 31/12/23</text>
  </threadedComment>
  <threadedComment ref="AD543" dT="2023-11-13T17:21:40.48" personId="{7DB32BAB-C89C-43EF-B846-B6A0B67407BE}" id="{6B0E2C76-6272-41CA-8B93-14CC481C5CA0}">
    <text>10 semaines après cde vannes régul, devis tjrs en attente</text>
  </threadedComment>
  <threadedComment ref="AD544" dT="2024-05-13T13:18:06.21" personId="{7DB32BAB-C89C-43EF-B846-B6A0B67407BE}" id="{9C116FC1-167E-40C6-9025-8CE19033B6F1}">
    <text>Attente résultats des échantillons en cours de test dans colonne pour valider date de clôture</text>
  </threadedComment>
  <threadedComment ref="AD551" dT="2024-02-21T08:26:55.35" personId="{7DB32BAB-C89C-43EF-B846-B6A0B67407BE}" id="{88894846-C256-423C-B9E6-225B3BB23971}">
    <text xml:space="preserve">Postpone from client : mail ALI "client haven’t asked us for delivery till now, probably will happen in one or two months"
</text>
  </threadedComment>
  <threadedComment ref="AD553" dT="2024-01-05T15:50:59.90" personId="{7DB32BAB-C89C-43EF-B846-B6A0B67407BE}" id="{4404C4A1-77F9-4D73-8A2F-335C61245276}">
    <text>Dépendra du résultat des étapes 2 et 3 du plan d'action en cours, à redéfinir à l'issue</text>
  </threadedComment>
  <threadedComment ref="AH561" dT="2024-06-17T13:33:18.16" personId="{7DB32BAB-C89C-43EF-B846-B6A0B67407BE}" id="{002B8171-E250-4976-90F3-D423A3B6D75B}">
    <text xml:space="preserve">Mail XRO du 17/06/24 : Sur Via separation, nous venons de faire une Credit Note au client de 46 kUSD, à rajouter aux coût NQ
</text>
  </threadedComment>
  <threadedComment ref="AD572" dT="2024-07-03T13:46:26.22" personId="{7DB32BAB-C89C-43EF-B846-B6A0B67407BE}" id="{3239A396-D21A-42AD-8FA8-D950C1C4793C}">
    <text>Lié au fait que Prolactal passe une nouvelle cde, pourra être réajuster en fonction.</text>
  </threadedComment>
  <threadedComment ref="AD576" dT="2024-09-30T13:50:15.10" personId="{7DB32BAB-C89C-43EF-B846-B6A0B67407BE}" id="{FD8042F1-5FC7-4D14-B42F-950D3804B4E8}">
    <text>Lié à la remise de doc EN manquante par CTI</text>
  </threadedComment>
  <threadedComment ref="AD577" dT="2024-07-25T12:57:42.75" personId="{7DB32BAB-C89C-43EF-B846-B6A0B67407BE}" id="{6A5026BF-B724-49EB-BC0A-BA844A026A2C}">
    <text>A confirmer selon négo avec KSB.</text>
  </threadedComment>
  <threadedComment ref="AD580" dT="2024-09-16T08:55:26.56" personId="{7DB32BAB-C89C-43EF-B846-B6A0B67407BE}" id="{3EDB011C-6002-4599-B2FE-B4128B233AC3}">
    <text>A réajuster en fonction info Casa Grande et retour résines pour analyse</text>
  </threadedComment>
  <threadedComment ref="AK580" dT="2024-10-15T10:52:40.48" personId="{7DB32BAB-C89C-43EF-B846-B6A0B67407BE}" id="{DADE7F2E-E779-4309-A302-D6423FCAC9F5}">
    <text>Après réception et mise en service nvelle cde résine</text>
  </threadedComment>
  <threadedComment ref="AD581" dT="2024-09-16T08:53:42.93" personId="{7DB32BAB-C89C-43EF-B846-B6A0B67407BE}" id="{8C300144-1BB9-4CCE-8749-391C07E0E540}">
    <text>A réajuster en fonction négo avec Bray et délai d'appro</text>
  </threadedComment>
  <threadedComment ref="AD583" dT="2024-09-05T15:11:58.58" personId="{7DB32BAB-C89C-43EF-B846-B6A0B67407BE}" id="{1FE73DBD-8C6B-4A32-89BF-23F15F3C41C1}">
    <text>À valider selon retour CTI, besoin d'échantillon ou pas, et actions à engager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03T12:57:58.10" personId="{F7347DA0-1B13-4CB1-A798-5176633944DC}" id="{6ACB01E5-CF01-42E2-9D0B-05814DDBCA30}">
    <text>CAP ouverte en NC prodt en Mars et requalifié en REC en Mai par NVSA</text>
  </threadedComment>
  <threadedComment ref="H5" dT="2022-06-14T16:18:16.74" personId="{F7347DA0-1B13-4CB1-A798-5176633944DC}" id="{6234B90F-6756-44E6-9770-A9F88BC0E48F}" parentId="{6ACB01E5-CF01-42E2-9D0B-05814DDBCA30}">
    <text>Maintien de la CAP ouverte (cf mail erratum du 13/06/22)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CAP_EMISES%202021/21017%20Tereos%20Nesle-%20mbre%20NF/210604%20courrier%20REC%20SUEZ.pdf" TargetMode="External"/><Relationship Id="rId21" Type="http://schemas.openxmlformats.org/officeDocument/2006/relationships/hyperlink" Target="../../../../../ex_dvi/AppData/Roaming/Microsoft/Excel/CAP_EMISES%202017/17035%20MEFSCO%20moteurs%20&#38296;ectriques/170719%20courrier%20REC%20Sabe.pdf" TargetMode="External"/><Relationship Id="rId42" Type="http://schemas.openxmlformats.org/officeDocument/2006/relationships/hyperlink" Target="CAP_EMISES%202019/19048%20Puratos/19048%20PURATOS.docx" TargetMode="External"/><Relationship Id="rId63" Type="http://schemas.openxmlformats.org/officeDocument/2006/relationships/hyperlink" Target="CAP_EMISES%202019/19031%20ADM-%20Bollor&#233;/19031%20ADM%20-%20Bollor&#233;.docm" TargetMode="External"/><Relationship Id="rId84" Type="http://schemas.openxmlformats.org/officeDocument/2006/relationships/hyperlink" Target="CAP_EMISES%202020/20014%20CKD%20Module%20K01/200602%20mail%20CPT%20AR%20Claim.pdf" TargetMode="External"/><Relationship Id="rId138" Type="http://schemas.openxmlformats.org/officeDocument/2006/relationships/hyperlink" Target="CAP_EMISES%202021\21032%20Rousselot%20-%20raccord%20entr&#233;e-sortie\211021%20mail%20AR%20CDV_TR%20Colonnes%20r&#233;sines%20.msg" TargetMode="External"/><Relationship Id="rId159" Type="http://schemas.openxmlformats.org/officeDocument/2006/relationships/hyperlink" Target="CAP_EMISES%202022/22005%20Ram%20Sucre-%20Composites%20Vec/RE%20Cr&#233;pine%20&#224;%20filtre%20-%20colonne%20de%20d&#233;coloration%20(Filter-nozzles).msg" TargetMode="External"/><Relationship Id="rId170" Type="http://schemas.openxmlformats.org/officeDocument/2006/relationships/hyperlink" Target="CAP_EMISES%202022\22014%20Parry%20Sugar\22014%20Parry%20Sugar-liste%20de%20colisage.docx" TargetMode="External"/><Relationship Id="rId191" Type="http://schemas.openxmlformats.org/officeDocument/2006/relationships/hyperlink" Target="CAP_EMISES%202022\22029%20Beneo%20Oreye-Inace%20Inox\22029%20Beneo%20Oreye-Inace%20Inox%20ramification%20IEX.docx" TargetMode="External"/><Relationship Id="rId205" Type="http://schemas.openxmlformats.org/officeDocument/2006/relationships/hyperlink" Target="CAP_EMISES%202022\22041%20Lesaffre%20-%20casse%20membrane%20transport\22041%20Lesaffre-Casse%20membranes%20transport.docx" TargetMode="External"/><Relationship Id="rId226" Type="http://schemas.openxmlformats.org/officeDocument/2006/relationships/hyperlink" Target="CAP_EMISES%202023/23001%20Sanofi%20DNE%20membranes/230309_R&#233;clamation%20CTI_DE%20anormal%20membranes%2050KD.pdf" TargetMode="External"/><Relationship Id="rId247" Type="http://schemas.openxmlformats.org/officeDocument/2006/relationships/hyperlink" Target="CAP_EMISES%202024/24007%20Friesland/24007%20Friesland-sac%2025l%20dans%20BB.docx" TargetMode="External"/><Relationship Id="rId107" Type="http://schemas.openxmlformats.org/officeDocument/2006/relationships/hyperlink" Target="CAP_EMISES%202021/21005%20Beneo%20KSB/21005%20B&#233;n&#233;o-KSB%20retard%20livraison.docx" TargetMode="External"/><Relationship Id="rId11" Type="http://schemas.openxmlformats.org/officeDocument/2006/relationships/hyperlink" Target="../../../../../ex_dvi/AppData/Roaming/Microsoft/Excel/CAP_EMISES%202016/16020%20NUTRIBIO/160527%20Mail%20JGO%20Tr%20_%2010282%20_%20Probl&#232;me%20&#233;changeur%20&#224;%20plaques.pdf" TargetMode="External"/><Relationship Id="rId32" Type="http://schemas.openxmlformats.org/officeDocument/2006/relationships/hyperlink" Target="CAP_EMISES%202019/19024%20TEREOS%20Chevri&#37986;es/190705_Novasep%20Claim%20-%20DuPont%202019%2007%2005.pdf" TargetMode="External"/><Relationship Id="rId53" Type="http://schemas.openxmlformats.org/officeDocument/2006/relationships/hyperlink" Target="CAP_EMISES%202019/19039%20Ingredion/19039%20Ingredion.docm" TargetMode="External"/><Relationship Id="rId74" Type="http://schemas.openxmlformats.org/officeDocument/2006/relationships/hyperlink" Target="file:///\\srvshafs01\shares\public\Quality\QA-NVA%20IB\CAP\20009%20Shuangqiao10%20membrane%20type%20issue.docx" TargetMode="External"/><Relationship Id="rId128" Type="http://schemas.openxmlformats.org/officeDocument/2006/relationships/hyperlink" Target="CAP_EMISES%202021\21021%20Cargill%20Haubourdin\Cargill%20Haubourdin%20-%20fuite%20r&#233;sine%20colonne%20cationique.msg" TargetMode="External"/><Relationship Id="rId149" Type="http://schemas.openxmlformats.org/officeDocument/2006/relationships/hyperlink" Target="CAP_EMISES%202021/21036%20Cargill%20MicroBA-ABB/21036%20Cargill%20MicroBA_ABB.docx" TargetMode="External"/><Relationship Id="rId5" Type="http://schemas.openxmlformats.org/officeDocument/2006/relationships/hyperlink" Target="../../../../../ex_dvi/AppData/Roaming/Microsoft/Excel/CAP_EMISES%202015/15030%20Meihua/Lettre%20intention%20de%20commande%20CTI.pdf" TargetMode="External"/><Relationship Id="rId95" Type="http://schemas.openxmlformats.org/officeDocument/2006/relationships/hyperlink" Target="CAP_EMISES%202021/21002%20CAPUA%20sortie%20effluents/21002%20CAPUA%20sortie%20effluent.docx" TargetMode="External"/><Relationship Id="rId160" Type="http://schemas.openxmlformats.org/officeDocument/2006/relationships/hyperlink" Target="CAP_EMISES%202022/22005%20Ram%20Sucre-%20Composites%20Vec/Probl&#232;me%20sur%20cr&#233;pine.msg" TargetMode="External"/><Relationship Id="rId181" Type="http://schemas.openxmlformats.org/officeDocument/2006/relationships/hyperlink" Target="file:///\\10.120.30.211\Shares\Public\Quality\archieve\QA-NVA%20IB\CAP\Closed%20CAP\22013%20ENSIGN%20-%20Rubber%20lining%20cracking.docx" TargetMode="External"/><Relationship Id="rId216" Type="http://schemas.openxmlformats.org/officeDocument/2006/relationships/hyperlink" Target="CAP_EMISES%202023\23003%20Cargill%20BOZ-%20joints%20EPDM\23003%20Cargill%20BOZ-gasket%20of%20side%20glasses.docx" TargetMode="External"/><Relationship Id="rId237" Type="http://schemas.openxmlformats.org/officeDocument/2006/relationships/hyperlink" Target="CAP_EMISES%202023/23025%20Cargill%20Zest-%20Lining/23025%20Cargill%20Zest-Probl&#233;matique%20Ebonite.docx" TargetMode="External"/><Relationship Id="rId258" Type="http://schemas.microsoft.com/office/2017/10/relationships/threadedComment" Target="../threadedComments/threadedComment1.xml"/><Relationship Id="rId22" Type="http://schemas.openxmlformats.org/officeDocument/2006/relationships/hyperlink" Target="../../../../../assso/AppData/Roaming/Microsoft/Excel/CAP_EMISES%202018/18015%20YCSR%20Yemen%20buses%20K1/R&#38287;lamation%20Composites%20VEC%20Buses%20K1.pdf" TargetMode="External"/><Relationship Id="rId43" Type="http://schemas.openxmlformats.org/officeDocument/2006/relationships/hyperlink" Target="CAP_EMISES%202019/19053%20Etihad%20-%20Licence/19053%20Etihad%20-%20licence%20d'exportation.docx" TargetMode="External"/><Relationship Id="rId64" Type="http://schemas.openxmlformats.org/officeDocument/2006/relationships/hyperlink" Target="CAP_EMISES%202019/19034%20Chengxin%20Bollor&#233;/19034%20Chengxin%20Bollor&#233;.docm" TargetMode="External"/><Relationship Id="rId118" Type="http://schemas.openxmlformats.org/officeDocument/2006/relationships/hyperlink" Target="CAP_EMISES%202021/21017%20Tereos%20Nesle-%20mbre%20NF/210531%20mail%20TEREOS%20Nesle%20R&#233;clamation%20sur%202%20membranes%20DURACON%2050D.msg" TargetMode="External"/><Relationship Id="rId139" Type="http://schemas.openxmlformats.org/officeDocument/2006/relationships/hyperlink" Target="CAP_EMISES%202021/21032%20Rousselot%20-%20raccord%20entr&#233;e-sortie/Colonnes%20r&#233;sines%20.msg" TargetMode="External"/><Relationship Id="rId85" Type="http://schemas.openxmlformats.org/officeDocument/2006/relationships/hyperlink" Target="CAP_EMISES%202020/20018%20Cargill/20018%20Cargill%20Boz.docx" TargetMode="External"/><Relationship Id="rId150" Type="http://schemas.openxmlformats.org/officeDocument/2006/relationships/hyperlink" Target="CAP_EMISES%202021/21035%20Etihad-Aqua%20Com/211209_%20r&#233;clamation%20Novasep_Aqua%20Com.pdf" TargetMode="External"/><Relationship Id="rId171" Type="http://schemas.openxmlformats.org/officeDocument/2006/relationships/hyperlink" Target="CAP_EMISES%202022\22014%20Parry%20Sugar\220311%20AR%20REC%20SSI_TR%20Confirmation%20on%20the%20nomination%20for%20Consignment%20Pick%20Up%20from%20France%20to%20Chennai%20on%20CIP%20Chennai%20Airport%20LYS220245467%2015773514140.msg" TargetMode="External"/><Relationship Id="rId192" Type="http://schemas.openxmlformats.org/officeDocument/2006/relationships/hyperlink" Target="CAP_EMISES%202022/22030%20CTI%20pollution%20mbre/22030%20Pollution%20membranes%20KERASEP-%20CTI.docx" TargetMode="External"/><Relationship Id="rId206" Type="http://schemas.openxmlformats.org/officeDocument/2006/relationships/hyperlink" Target="CAP_EMISES%202022\22041%20Lesaffre%20-%20casse%20membrane%20transport\221007_claim%20Novasep-Inopor.pdf" TargetMode="External"/><Relationship Id="rId227" Type="http://schemas.openxmlformats.org/officeDocument/2006/relationships/hyperlink" Target="CAP_EMISES%202023/23011%20Lier%20-membranes%2015%20KD/23011%20Lier-membranes%2015%20KD.docx" TargetMode="External"/><Relationship Id="rId248" Type="http://schemas.openxmlformats.org/officeDocument/2006/relationships/hyperlink" Target="CAP_EMISES%202024/24007%20Friesland/240223_RECLAMATION%20BOLLORE%20-%20sac%20vide%20dans%20BB.pdf" TargetMode="External"/><Relationship Id="rId12" Type="http://schemas.openxmlformats.org/officeDocument/2006/relationships/hyperlink" Target="../../../../../ex_dvi/AppData/Roaming/Microsoft/Excel/CAP_EMISES%202016/16031%20pilote%20polypeptide/160826_REC%20NVS_CAP16031.pdf" TargetMode="External"/><Relationship Id="rId33" Type="http://schemas.openxmlformats.org/officeDocument/2006/relationships/hyperlink" Target="CAP_EMISES%202019/19042%20Beneo%20Orafti-retards%20livraisons%20r&#38303;ines/191003%20mail%20CPT%20AR_Retard%20livraison%20r&#38303;ines.pdf" TargetMode="External"/><Relationship Id="rId108" Type="http://schemas.openxmlformats.org/officeDocument/2006/relationships/hyperlink" Target="CAP_EMISES%202021/21004%20BENEO%20Oreye/210201_%20r&#233;clamation%20Bollor&#233;-palette%20oubli&#233;e.pdf" TargetMode="External"/><Relationship Id="rId129" Type="http://schemas.openxmlformats.org/officeDocument/2006/relationships/hyperlink" Target="CAP_EMISES%202021/21022%20Hochdorf%20Swiss%20Nutrition%20AG/210921_REC%20Novasep_CAP21022.pdf" TargetMode="External"/><Relationship Id="rId54" Type="http://schemas.openxmlformats.org/officeDocument/2006/relationships/hyperlink" Target="CAP_EMISES%202019/19038%20Tate&amp;Lyle_D&#233;douanement%20produit%20R&amp;D/19038%20Tate%20&amp;%20Lyle%208D-KT.xls" TargetMode="External"/><Relationship Id="rId75" Type="http://schemas.openxmlformats.org/officeDocument/2006/relationships/hyperlink" Target="file:///\\srvshafs01\shares\public\Quality\QA-NVA%20IB\CAP\20010%20Fufeng10%20gravel%20quality%20issue.docm" TargetMode="External"/><Relationship Id="rId96" Type="http://schemas.openxmlformats.org/officeDocument/2006/relationships/hyperlink" Target="CAP_EMISES%202021/21003%20GOI%20&#233;tiquetage%20r&#233;sine/21003%20GOI%20Erreur%20&#233;tiquetage.docx" TargetMode="External"/><Relationship Id="rId140" Type="http://schemas.openxmlformats.org/officeDocument/2006/relationships/hyperlink" Target="CAP_EMISES%202021/21031%20Rousselot%20-anneaux%20de%20renfort/21031%20Rousselot-position%20anneaux%20de%20renfort.docx" TargetMode="External"/><Relationship Id="rId161" Type="http://schemas.openxmlformats.org/officeDocument/2006/relationships/hyperlink" Target="CAP_EMISES%202022/22001%20Ter&#233;os%20-%20Suez/220117_%20reclamation%20Novasep_Suez.pdf" TargetMode="External"/><Relationship Id="rId182" Type="http://schemas.openxmlformats.org/officeDocument/2006/relationships/hyperlink" Target="file:///\\10.120.30.211\Shares\Public\Quality\archieve\QA-NVA%20IB\CAP\Closed%20CAP\22015%20Sucro%20-%20FRP%20sand%20filter%20nozzle%20plate%20thickness%20issue.docx" TargetMode="External"/><Relationship Id="rId217" Type="http://schemas.openxmlformats.org/officeDocument/2006/relationships/hyperlink" Target="CAP_EMISES%202023/23004%20Cevital-%20d&#233;formation%20buses/23004%20Cevital-d&#233;formation%20buses%20.docx" TargetMode="External"/><Relationship Id="rId6" Type="http://schemas.openxmlformats.org/officeDocument/2006/relationships/hyperlink" Target="../../../../../ex_dvi/AppData/Roaming/Microsoft/Excel/CAP_EMISES%202015/15024%20Joints%20Maagtechnic/15024_Tr%20_%20R&#233;ponse%20fournisseur%20suite%20CAP15024.pdf" TargetMode="External"/><Relationship Id="rId238" Type="http://schemas.openxmlformats.org/officeDocument/2006/relationships/hyperlink" Target="CAP_EMISES%202023/23026%20COPAM-billes%20noires%20r&#233;sine/23026%20COPAM-billes%20noires%20r&#233;sines.docx" TargetMode="External"/><Relationship Id="rId23" Type="http://schemas.openxmlformats.org/officeDocument/2006/relationships/hyperlink" Target="../../../../../assso/AppData/Roaming/Microsoft/Excel/CAP_EMISES%202018/18008%20CJ%20Malaisie/180430%20CTI%20Suite%20r&#38287;lamation%20membranes%20BE.pdf" TargetMode="External"/><Relationship Id="rId119" Type="http://schemas.openxmlformats.org/officeDocument/2006/relationships/hyperlink" Target="CAP_EMISES%202021/21018%20Sucro%20-%20DOW%20resin%20order/21018%20Sucro-resin%20order.docx" TargetMode="External"/><Relationship Id="rId44" Type="http://schemas.openxmlformats.org/officeDocument/2006/relationships/hyperlink" Target="CAP_EMISES%202018/18030%20BDU_KLIM3-Bollor&#233;.docm" TargetMode="External"/><Relationship Id="rId65" Type="http://schemas.openxmlformats.org/officeDocument/2006/relationships/hyperlink" Target="CAP_EMISES%202020/20003%20Cargill%20Butterfly/20003%20CARGILL%20BUTTERFLY%20-%20FT%20DEM.docx" TargetMode="External"/><Relationship Id="rId86" Type="http://schemas.openxmlformats.org/officeDocument/2006/relationships/hyperlink" Target="file:///\\srvshafs01\shares\Public\Quality\archieve\QA-NVA%20IB\CAP\Closed%20CAP\20019%20Mipeng%20NF%20housing%20leakage%20issue-20210325-close.docm" TargetMode="External"/><Relationship Id="rId130" Type="http://schemas.openxmlformats.org/officeDocument/2006/relationships/hyperlink" Target="CAP_EMISES%202021\21025%20CEVITAL\21025%20CEVITAL%20origine%20r&#233;sines%20EUR1.docx" TargetMode="External"/><Relationship Id="rId151" Type="http://schemas.openxmlformats.org/officeDocument/2006/relationships/hyperlink" Target="file:///\\srvshafs01\shares\public\Quality\archieve\QA-NVA%20IB\CAP\21037-Dysfunction%20of%20supplier%20Guanxing.docx" TargetMode="External"/><Relationship Id="rId172" Type="http://schemas.openxmlformats.org/officeDocument/2006/relationships/hyperlink" Target="CAP_EMISES%202022/22017%20Fuite%20eau%20chaude%20atelier%20membrane/22017%20Deconnexion%20tuyau%20eau%20chaude%20atelier%20membrane.docx" TargetMode="External"/><Relationship Id="rId193" Type="http://schemas.openxmlformats.org/officeDocument/2006/relationships/hyperlink" Target="CAP_EMISES%202022\22031%20Cristal%20Union%20-%20Inace%20Inox%20cr&#233;pines\22031%20Cristal%20Union%20-%20Inace%20Inox%20cr&#233;pines%20inox.docx" TargetMode="External"/><Relationship Id="rId207" Type="http://schemas.openxmlformats.org/officeDocument/2006/relationships/hyperlink" Target="CAP_EMISES%202022\22039%20HPLC%20M&#233;trologie\220930_R&#233;clamation%20Novasep-VWR.pdf" TargetMode="External"/><Relationship Id="rId228" Type="http://schemas.openxmlformats.org/officeDocument/2006/relationships/hyperlink" Target="CAP_EMISES%202023/23007%20DSM-Qualifiltre/230224%20mail%20DSM_RE%20Siebec%20Filter%20Bags%20-%20DSM%20stock%20code%20UV02911209.msg" TargetMode="External"/><Relationship Id="rId249" Type="http://schemas.openxmlformats.org/officeDocument/2006/relationships/hyperlink" Target="CAP_EMISES%202024/24025%20B&#233;n&#233;o%20Chili-KSB/Reclamation%20ppe%20KSB.pdf" TargetMode="External"/><Relationship Id="rId13" Type="http://schemas.openxmlformats.org/officeDocument/2006/relationships/hyperlink" Target="../../../../../ex_dvi/AppData/Roaming/Microsoft/Excel/CAP_EMISES%202016/16033%20Tetrapak/Claim%20Mega%2030092016%20CAP%2016033.pdf" TargetMode="External"/><Relationship Id="rId109" Type="http://schemas.openxmlformats.org/officeDocument/2006/relationships/hyperlink" Target="CAP_EMISES%202021/21012%20A&#231;ucareira%20Quat&#225;%20-%20CUF/21012%20A&#231;ucareira%20Quat&#225;-CUF.docx" TargetMode="External"/><Relationship Id="rId34" Type="http://schemas.openxmlformats.org/officeDocument/2006/relationships/hyperlink" Target="CAP_EMISES%202019/19042%20Beneo%20Orafti-retards%20livraisons%20r&#38303;ines/R&#38287;lamation%20Lanxess%202019%2010%2002.pdf" TargetMode="External"/><Relationship Id="rId55" Type="http://schemas.openxmlformats.org/officeDocument/2006/relationships/hyperlink" Target="CAP_EMISES%202019/19003%20Friesland%20GOS75_Labbe/19003%20GOS75_LABBE.docm" TargetMode="External"/><Relationship Id="rId76" Type="http://schemas.openxmlformats.org/officeDocument/2006/relationships/hyperlink" Target="file:///\\srvshafs01\shares\public\Quality\QA-NVA%20IB\CAP\20011%20front%20piping%20budget%20for%20small%20columns%20issue.docm" TargetMode="External"/><Relationship Id="rId97" Type="http://schemas.openxmlformats.org/officeDocument/2006/relationships/hyperlink" Target="CAP_EMISES%202021/21003%20GOI%20&#233;tiquetage%20r&#233;sine/210118%20mail%20AR%20Claim_%20Supplier_Non-conformance_Novasep_wrong%20resin%20labels-%2013012021-1.msg" TargetMode="External"/><Relationship Id="rId120" Type="http://schemas.openxmlformats.org/officeDocument/2006/relationships/hyperlink" Target="file:///\\srvshafs01\shares\public\Quality\archieve\QA-NVA%20IB\CAP\Closed%20CAP\21019%20Jindan%20wrong%20internal%20diameter%20of%20PPH+FRP%20pipe.docx" TargetMode="External"/><Relationship Id="rId141" Type="http://schemas.openxmlformats.org/officeDocument/2006/relationships/hyperlink" Target="CAP_EMISES%202021/21032%20Rousselot%20-%20raccord%20entr&#233;e-sortie/21032%20Rousselot-raccords%20DIN-SMS.docx" TargetMode="External"/><Relationship Id="rId7" Type="http://schemas.openxmlformats.org/officeDocument/2006/relationships/hyperlink" Target="../../../../../ex_dvi/AppData/Roaming/Microsoft/Excel/CAP_EMISES%202015/15006%20TEREOS%20Nesle/150217_REC%20NVS_CAP15006.pdf" TargetMode="External"/><Relationship Id="rId162" Type="http://schemas.openxmlformats.org/officeDocument/2006/relationships/hyperlink" Target="CAP_EMISES%202022\22001%20Ter&#233;os%20-%20Suez\220114%20mail%20AR%20MGL_RE%20Probl&#232;me%20jeu%20de%202%20membranes.msg" TargetMode="External"/><Relationship Id="rId183" Type="http://schemas.openxmlformats.org/officeDocument/2006/relationships/hyperlink" Target="file:///\\10.120.30.211\Shares\Public\Quality\archieve\QA-NVA%20IB\CAP\22023%20BBCA%20-%20Order%20placing%20late.docx" TargetMode="External"/><Relationship Id="rId218" Type="http://schemas.openxmlformats.org/officeDocument/2006/relationships/hyperlink" Target="CAP_EMISES%202023\23005%20GSK%20-%20gestion%20interne%20envoi%20information%20client\23005%20GSK%20-%20Gestion%20interne%20envoi%20information%20client%20.docx" TargetMode="External"/><Relationship Id="rId239" Type="http://schemas.openxmlformats.org/officeDocument/2006/relationships/hyperlink" Target="CAP_EMISES%202023/23027%20Inovyn-D&#233;faut%20cabl&#226;ge%20&#233;lectrique/OLd/23027%20Inovyn%20-%20probl&#232;mes%20c&#226;blage%20&#233;lectriques.docx" TargetMode="External"/><Relationship Id="rId250" Type="http://schemas.openxmlformats.org/officeDocument/2006/relationships/hyperlink" Target="CAP_EMISES%202024/24024%20Ethiad/240722_RECLAMATION_OTIME.pdf" TargetMode="External"/><Relationship Id="rId24" Type="http://schemas.openxmlformats.org/officeDocument/2006/relationships/hyperlink" Target="../../../../../assso/AppData/Roaming/Microsoft/Excel/CAP_EMISES%202017/17046%20Biospringer%20-casse%20mbre/171208%20CTI%20R&#38287;lamation%20membranes%20BE.pdf" TargetMode="External"/><Relationship Id="rId45" Type="http://schemas.openxmlformats.org/officeDocument/2006/relationships/hyperlink" Target="CAP_EMISES%202019/19052%20Galactic/191212%20AR%20REC%20Galactic%20_%20NC-2020-039%20CF201302%20NOVASEP.pdf" TargetMode="External"/><Relationship Id="rId66" Type="http://schemas.openxmlformats.org/officeDocument/2006/relationships/hyperlink" Target="CAP_EMISES%202020/20004%20Cargill%20Butterfly-pompes%20KSB/20004%20Cargill%20Butterfly-Sheet-Pump%20quotation.docx" TargetMode="External"/><Relationship Id="rId87" Type="http://schemas.openxmlformats.org/officeDocument/2006/relationships/hyperlink" Target="CAP_EMISES%202020/20020%20BENEO%20Oreye/20020%20BENEO%20Oreye.docx" TargetMode="External"/><Relationship Id="rId110" Type="http://schemas.openxmlformats.org/officeDocument/2006/relationships/hyperlink" Target="CAP_EMISES%202021/21013%20Cevital-%20licence%20exportation/21013%20Cevital%20-%20licence%20exportation.docx" TargetMode="External"/><Relationship Id="rId131" Type="http://schemas.openxmlformats.org/officeDocument/2006/relationships/hyperlink" Target="CAP_EMISES%202021/21024%20Fufneg%20Longjiang/Letter%20of%20notication-FF%20longjiang.docx" TargetMode="External"/><Relationship Id="rId152" Type="http://schemas.openxmlformats.org/officeDocument/2006/relationships/hyperlink" Target="CAP_EMISES%202021/21038%20Gambro-%20CTI%20erreur%20impression%20cut%20off%20membrane/211202%20mail%20CTI%20SGU_RE%20Erreur%20impression%20cut%20off%20sur%20KERASEP%20BX%2015%20KD.msg" TargetMode="External"/><Relationship Id="rId173" Type="http://schemas.openxmlformats.org/officeDocument/2006/relationships/hyperlink" Target="CAP_EMISES%202022\22018%20Savola-doc%20exp&#233;dition\22018%20Savola-exp&#233;dition%20ACID%20Cargo%20X.docx" TargetMode="External"/><Relationship Id="rId194" Type="http://schemas.openxmlformats.org/officeDocument/2006/relationships/hyperlink" Target="CAP_EMISES%202022\22030%20CTI%20pollution%20mbre\220726%20R&#233;clamation%20CTI-pollution%20membranes.pdf" TargetMode="External"/><Relationship Id="rId208" Type="http://schemas.openxmlformats.org/officeDocument/2006/relationships/hyperlink" Target="CAP_EMISES%202022\22035%20B&#233;n&#233;o-Certificat%20Etalonnage\220922_R&#233;clamation%20Novasep_E&amp;H.pdf" TargetMode="External"/><Relationship Id="rId229" Type="http://schemas.openxmlformats.org/officeDocument/2006/relationships/hyperlink" Target="../../../../../nscpt/OneDrive%20-%20Novasep%20Process%20Solutions/AQHSE/1-Qualite/1-FICHES_CAP/CAP_EMISES%202023/23012%20Capua%201880%20-%20erreur%20de%20membrane/23012%20CAPUA-%20erreur%20membrane%20(4).docx" TargetMode="External"/><Relationship Id="rId240" Type="http://schemas.openxmlformats.org/officeDocument/2006/relationships/hyperlink" Target="CAP_EMISES%202023/23028%20Via%20S&#233;paration-%20pompes%20Sulzer/23028%20Via%20Separation%20-%20pompes%20Sulzer.docx" TargetMode="External"/><Relationship Id="rId14" Type="http://schemas.openxmlformats.org/officeDocument/2006/relationships/hyperlink" Target="../../../../../ex_dvi/AppData/Roaming/Microsoft/Excel/CAP_EMISES%202016/16059%20Tereos%20Nesle/161219%20REC%20NVS%20CAP16059.pdf" TargetMode="External"/><Relationship Id="rId35" Type="http://schemas.openxmlformats.org/officeDocument/2006/relationships/hyperlink" Target="CAP_EMISES%202019/19046%20Ennolys/191120%20mail%20AR%20CPT_R&#38287;lamation%2019C132%20Ennolys.pdf" TargetMode="External"/><Relationship Id="rId56" Type="http://schemas.openxmlformats.org/officeDocument/2006/relationships/hyperlink" Target="file:///\\srvshafs01\shares\public\Quality\QA-NVA%20IB\CAP\19044%20CJ%20Liaocheng%20Bray%20butterfly%20valves%20quality%20issue.docx" TargetMode="External"/><Relationship Id="rId77" Type="http://schemas.openxmlformats.org/officeDocument/2006/relationships/hyperlink" Target="file:///\\srvshafs01\shares\public\Quality\QA-NVA%20IB\CAP\20012%20Fufeng10%20complain%20for%20gravel%20issue.docm" TargetMode="External"/><Relationship Id="rId100" Type="http://schemas.openxmlformats.org/officeDocument/2006/relationships/hyperlink" Target="file:///\\srvshafs01\shares\Public\Quality\archieve\QA-NVA%20IB\CAP\Closed%20CAP\21006%20Cargill%20Mounting%20issue%20of%20internal%20box.docm" TargetMode="External"/><Relationship Id="rId8" Type="http://schemas.openxmlformats.org/officeDocument/2006/relationships/hyperlink" Target="../../../../../ex_dvi/AppData/Roaming/Microsoft/Excel/CAP_EMISES%202015/15018%20Sunpaper%20DOW/R&#233;clamation%20Dow%20retards%20de%20livraison.pdf" TargetMode="External"/><Relationship Id="rId98" Type="http://schemas.openxmlformats.org/officeDocument/2006/relationships/hyperlink" Target="CAP_EMISES%202021/21003%20GOI%20&#233;tiquetage%20r&#233;sine/210121%20R&#233;clamation%20Bollor&#233;%20d&#233;marquage-marquage%20r&#233;sine.pdf" TargetMode="External"/><Relationship Id="rId121" Type="http://schemas.openxmlformats.org/officeDocument/2006/relationships/hyperlink" Target="CAP_EMISES%202021/21016%20Cargill-SPA/21016%20Cargill%20SPA%20column%20rust.%20M&#224;J%20Kiro.docx" TargetMode="External"/><Relationship Id="rId142" Type="http://schemas.openxmlformats.org/officeDocument/2006/relationships/hyperlink" Target="CAP_EMISES%202021/21032%20Rousselot%20-%20raccord%20entr&#233;e-sortie/REC%20Rousselot/211029_R&#233;clamation%20Novasep_CAP21031_032.pdf" TargetMode="External"/><Relationship Id="rId163" Type="http://schemas.openxmlformats.org/officeDocument/2006/relationships/hyperlink" Target="CAP_EMISES%202022\22006%20Sucro-Bossard\22006%20SUCRO-CPU%20sizing.docx" TargetMode="External"/><Relationship Id="rId184" Type="http://schemas.openxmlformats.org/officeDocument/2006/relationships/hyperlink" Target="file:///\\10.120.30.211\Shares\Public\Quality\archieve\QA-NVA%20IB\CAP\22024%20SQ12%20-%20Internal%20leakage%20in%20rubber%20lining%20connection%20piping.docx" TargetMode="External"/><Relationship Id="rId219" Type="http://schemas.openxmlformats.org/officeDocument/2006/relationships/hyperlink" Target="CAP_EMISES%202023/23007%20DSM-Qualifiltre/23007%20DSM-Qualifiltre.docx" TargetMode="External"/><Relationship Id="rId230" Type="http://schemas.openxmlformats.org/officeDocument/2006/relationships/hyperlink" Target="CAP_EMISES%202023/23016%20Sanofi%20DE%20membranes%20anormal/23016%20Sanofi-D&#233;bit%20eau%20membrane%20Kerasep%20BP%20BX%2050%20kD%20anormal.docx" TargetMode="External"/><Relationship Id="rId251" Type="http://schemas.openxmlformats.org/officeDocument/2006/relationships/hyperlink" Target="CAP_EMISES%202024/24029%20ViaSeparation%20-%20vannes/240822%20REC%20Bray%20XRO-JNJ.pdf" TargetMode="External"/><Relationship Id="rId25" Type="http://schemas.openxmlformats.org/officeDocument/2006/relationships/hyperlink" Target="../../../../../assso/AppData/Roaming/Microsoft/Excel/CAP_EMISES%202018/18027%20M&#38302;ial%20St-Priest/180813%20mail%20AR%20PBO_%20MERIAL%20-%20Non%20conformit" TargetMode="External"/><Relationship Id="rId46" Type="http://schemas.openxmlformats.org/officeDocument/2006/relationships/hyperlink" Target="CAP_EMISES%202019/19005%20GOI%20conditionnement%20r&#233;sine/19005%20GOI%20conditionnement%20r&#233;sines.docm" TargetMode="External"/><Relationship Id="rId67" Type="http://schemas.openxmlformats.org/officeDocument/2006/relationships/hyperlink" Target="CAP_EMISES%202020/20005%20Tereos%20Nesle/20005%20TEREOS%20NESLE.docx" TargetMode="External"/><Relationship Id="rId88" Type="http://schemas.openxmlformats.org/officeDocument/2006/relationships/hyperlink" Target="CAP_EMISES%202020/20021%20PT%20SUJ%20d&#233;douanement/20021%20PT%20SUJ%20d&#233;douanement.docx" TargetMode="External"/><Relationship Id="rId111" Type="http://schemas.openxmlformats.org/officeDocument/2006/relationships/hyperlink" Target="CAP_EMISES%202021/21014%20Savola-Purolite/21014%20Savola-R&#233;sine%20Purolite.docx" TargetMode="External"/><Relationship Id="rId132" Type="http://schemas.openxmlformats.org/officeDocument/2006/relationships/hyperlink" Target="CAP_EMISES%202021/21028%20Savola/21028%20Savola%20skid%20NF%20-%20tank%20level.docx" TargetMode="External"/><Relationship Id="rId153" Type="http://schemas.openxmlformats.org/officeDocument/2006/relationships/hyperlink" Target="CAP_EMISES%202021\21038%20Gambro-%20CTI%20erreur%20impression%20cut%20off%20membrane\21038%20Gambro%20-%20CTI%20erreur%20impression%20cut%20off%20membrane%20KERASEP.docx" TargetMode="External"/><Relationship Id="rId174" Type="http://schemas.openxmlformats.org/officeDocument/2006/relationships/hyperlink" Target="CAP_EMISES%202022\22019%20ADM%20CHAMTOR%20-%20Erreur%20chiffrage%20tuyauterie\22019%20ADM%20CHAMTOR%20-%20Chiffrage%20budget%20tuyauterie.docx" TargetMode="External"/><Relationship Id="rId195" Type="http://schemas.openxmlformats.org/officeDocument/2006/relationships/hyperlink" Target="CAP_EMISES%202022\22033%20Bonumose\22033%20Bonumose%20-%20Small%20column%20design.docx" TargetMode="External"/><Relationship Id="rId209" Type="http://schemas.openxmlformats.org/officeDocument/2006/relationships/hyperlink" Target="CAP_EMISES%202022\22029%20Beneo%20Oreye-Inace%20Inox\221007%20mail%20TPI_18021%20-%20Cationic%20columns%20project%20analysis.msg" TargetMode="External"/><Relationship Id="rId220" Type="http://schemas.openxmlformats.org/officeDocument/2006/relationships/hyperlink" Target="CAP_EMISES%202023/23007%20DSM-Qualifiltre/230227%20mail%20AR%20R&#233;clamation%20DBA_Siebec%20Filter%20Bags%20-%20DSM%20stock%20code%20UV02911209.msg" TargetMode="External"/><Relationship Id="rId241" Type="http://schemas.openxmlformats.org/officeDocument/2006/relationships/hyperlink" Target="CAP_EMISES%202023/23029%20Inovyn%20-%20Montage%20Interconnection/23029%20Inovyn%20-%20pb%20tuyauteries%20interconnection.docx" TargetMode="External"/><Relationship Id="rId15" Type="http://schemas.openxmlformats.org/officeDocument/2006/relationships/hyperlink" Target="../../../../../ex_dvi/AppData/Roaming/Microsoft/Excel/CAP_EMISES%202017/17015%20Beneo%20Orafti%20Dow/170313%20R&#233;clamation%20DOW%20retard%20livraison%20r&#233;sine.pdf" TargetMode="External"/><Relationship Id="rId36" Type="http://schemas.openxmlformats.org/officeDocument/2006/relationships/hyperlink" Target="CAP_EMISES%202019/19048%20Puratos/191122%20AR%20R&#38287;lamation_D&#38296;ai%20de%20mise" TargetMode="External"/><Relationship Id="rId57" Type="http://schemas.openxmlformats.org/officeDocument/2006/relationships/hyperlink" Target="CAP_EMISES%202019/19046%20Ennolys/19046%20ENNOLYS%20.docx" TargetMode="External"/><Relationship Id="rId78" Type="http://schemas.openxmlformats.org/officeDocument/2006/relationships/hyperlink" Target="file:///\\srvshafs01\shares\public\Quality\QA-NVA%20IB\CAP\20013%20Cargill%20Zest%20PP%20fixation%20plate%20machining%20dimensions%20issue.docm" TargetMode="External"/><Relationship Id="rId99" Type="http://schemas.openxmlformats.org/officeDocument/2006/relationships/hyperlink" Target="CAP_EMISES%202021/21004%20BENEO%20Oreye/21004%20BENO%20OREYE.docx" TargetMode="External"/><Relationship Id="rId101" Type="http://schemas.openxmlformats.org/officeDocument/2006/relationships/hyperlink" Target="CAP_EMISES%202021/21007%20HSN-Tetrapak/21007%20HSN-Tetrapak.docx" TargetMode="External"/><Relationship Id="rId122" Type="http://schemas.openxmlformats.org/officeDocument/2006/relationships/hyperlink" Target="file:///\\srvshafs01\shares\public\Quality\archieve\QA-NVA%20IB\CAP\21020%20Micro%20BA%20packing%20&amp;%20saddles%20and%20lifting%20issue.docx" TargetMode="External"/><Relationship Id="rId143" Type="http://schemas.openxmlformats.org/officeDocument/2006/relationships/hyperlink" Target="CAP_EMISES%202021/21032%20Rousselot%20-%20raccord%20entr&#233;e-sortie/REC%20Rousselot/211029_R&#233;clamation%20Novasep_CAP21031_032.pdf" TargetMode="External"/><Relationship Id="rId164" Type="http://schemas.openxmlformats.org/officeDocument/2006/relationships/hyperlink" Target="CAP_EMISES%202022/22007%20Cristal%20Union/22007%20Cristal%20Union-FACADE.docx" TargetMode="External"/><Relationship Id="rId185" Type="http://schemas.openxmlformats.org/officeDocument/2006/relationships/hyperlink" Target="file:///\\10.120.30.211\Shares\Public\Quality\archieve\QA-NVA%20IB\CAP\22025%20SQ%2010%20-Fine%20particle%20in%20gravel%20of%20SQ10%20SSMB.docx" TargetMode="External"/><Relationship Id="rId9" Type="http://schemas.openxmlformats.org/officeDocument/2006/relationships/hyperlink" Target="../../../../../ex_dvi/AppData/Roaming/Microsoft/Excel/CAP_EMISES%202015/15045%20RE_%20REQUEST%20FOR%20QUOTATION%20N&#176;2013_10.pdf" TargetMode="External"/><Relationship Id="rId210" Type="http://schemas.openxmlformats.org/officeDocument/2006/relationships/hyperlink" Target="CAP_EMISES%202022\22042%20Commande%20ISIS-Navision\22042%20Transfert%20commande%20ISIS-Navision.docx" TargetMode="External"/><Relationship Id="rId26" Type="http://schemas.openxmlformats.org/officeDocument/2006/relationships/hyperlink" Target="../../../../../assso/AppData/Roaming/Microsoft/Excel/CAP_EMISES%202018/18032%20Cargill%20Spain/Quality%20issue%20in%20ion%20exchanger%2053CL1167B%20-%20Cargill%20Spain.pdf" TargetMode="External"/><Relationship Id="rId231" Type="http://schemas.openxmlformats.org/officeDocument/2006/relationships/hyperlink" Target="CAP_EMISES%202023/23017%20C&#233;vital-doc%20d'exp&#233;dition/23017%20Cevital%20exp&#233;dition.docx" TargetMode="External"/><Relationship Id="rId252" Type="http://schemas.openxmlformats.org/officeDocument/2006/relationships/hyperlink" Target="CAP_EMISES%202024/24031%20GSK%20-%20marques%20Kerasep/240906_R&#233;clamation%20Applexion_CTI_CAP24031.pdf" TargetMode="External"/><Relationship Id="rId47" Type="http://schemas.openxmlformats.org/officeDocument/2006/relationships/hyperlink" Target="file:///\\srvshafs01\shares\public\Quality\QA-NVA%20IB\CAP\19054%20CJ%20Liaocheng%20Bray%20butterfly%20valves%20issue.docm" TargetMode="External"/><Relationship Id="rId68" Type="http://schemas.openxmlformats.org/officeDocument/2006/relationships/hyperlink" Target="file:///\\srvshafs01\shares\public\Quality\QA-NVA%20IB\CAP\20006%20CJ%20P6%20stud%20welded%20rod%20fall%20off%20from%20internal%20box%20issue.docm" TargetMode="External"/><Relationship Id="rId89" Type="http://schemas.openxmlformats.org/officeDocument/2006/relationships/hyperlink" Target="CAP_EMISES%202020/20022%20Pilotage%20Laredo-Colonne%20IEX/20022%20pilotage%20Laredo%20-%20Colonne%20IEX.docx" TargetMode="External"/><Relationship Id="rId112" Type="http://schemas.openxmlformats.org/officeDocument/2006/relationships/hyperlink" Target="CAP_EMISES%202021/21015%20Nutribio-Suez/21015%20NUTRIBIO-Suez.docx" TargetMode="External"/><Relationship Id="rId133" Type="http://schemas.openxmlformats.org/officeDocument/2006/relationships/hyperlink" Target="CAP_EMISES%202021/21026%2021027%20Bonumose/21026%20Bonumose-Heating%20system%20unit.docx" TargetMode="External"/><Relationship Id="rId154" Type="http://schemas.openxmlformats.org/officeDocument/2006/relationships/hyperlink" Target="CAP_EMISES%202021/21036%20Cargill%20MicroBA-ABB/211207%20Echange%20mail%20SML-ABB_TR%2016382%20-%20Cargill%20MicroBA%20%20Erreurs%20sur%20r&#233;f&#233;rences%20instruments%20ABB%20livr&#233;s.msg" TargetMode="External"/><Relationship Id="rId175" Type="http://schemas.openxmlformats.org/officeDocument/2006/relationships/hyperlink" Target="CAP_EMISES%202022/22020%20Fuite%20IBC%20saumure%20Tredi/22020%20Fuite%20Saumure%20Tr&#233;di.docx" TargetMode="External"/><Relationship Id="rId196" Type="http://schemas.openxmlformats.org/officeDocument/2006/relationships/hyperlink" Target="CAP_EMISES%202022\22034%20Bonumose-Silex\22034%20Bonumose%20-%20Silex.docx" TargetMode="External"/><Relationship Id="rId200" Type="http://schemas.openxmlformats.org/officeDocument/2006/relationships/hyperlink" Target="CAP_EMISES%202022\22038%20Nexira-sonde%20conductivit&#233;\22038%20Nexira%20-%20Sonde%20de%20conductivit&#233;.docx" TargetMode="External"/><Relationship Id="rId16" Type="http://schemas.openxmlformats.org/officeDocument/2006/relationships/hyperlink" Target="../../../../../ex_dvi/AppData/Roaming/Microsoft/Excel/CAP_EMISES%202017/17018%20Vitalus/R&#233;clamation%20Purolite%20MN502%20FDA.pdf" TargetMode="External"/><Relationship Id="rId221" Type="http://schemas.openxmlformats.org/officeDocument/2006/relationships/hyperlink" Target="CAP_EMISES%202023/23001%20Sanofi%20DNE%20membranes/230106%20mail%20SGU_RE%20RF%20NOVASEP%20-%20PR590905%20-%20Test%20DNE%20non%20conforme%20sur%20&#233;quipement%20UF%20min&#233;ral%20PRP%20V16.msg" TargetMode="External"/><Relationship Id="rId242" Type="http://schemas.openxmlformats.org/officeDocument/2006/relationships/hyperlink" Target="CAP_EMISES%202023/23028%20Via%20S&#233;paration-%20pompes%20Sulzer/Couurier%20sulzer.docx" TargetMode="External"/><Relationship Id="rId37" Type="http://schemas.openxmlformats.org/officeDocument/2006/relationships/hyperlink" Target="CAP_EMISES%202019/19047%20CKD/191121%20mail%20EWI" TargetMode="External"/><Relationship Id="rId58" Type="http://schemas.openxmlformats.org/officeDocument/2006/relationships/hyperlink" Target="CAP_EMISES%202020/20001%20Evapo%20verre/20001%20Casse%20Evapo%20verre.docm" TargetMode="External"/><Relationship Id="rId79" Type="http://schemas.openxmlformats.org/officeDocument/2006/relationships/hyperlink" Target="CAP_EMISES%202020/20014%20CKD%20Module%20K01/20014%20CKD%20module%20K01.docx" TargetMode="External"/><Relationship Id="rId102" Type="http://schemas.openxmlformats.org/officeDocument/2006/relationships/hyperlink" Target="CAP_EMISES%202021/21008%20Polypeptide%20US/21008%20%20pb%20cr&#233;ation%20projet%20comptable%20US%20sur%20ISIS.docx" TargetMode="External"/><Relationship Id="rId123" Type="http://schemas.openxmlformats.org/officeDocument/2006/relationships/hyperlink" Target="CAP_EMISES%202021/21020%20Cargill%20MicroBA/21%2006%2028%20mail%20Client_RE%20MicroBA%20-%20Novasep%20-%20Info%20on%20delivery.msg" TargetMode="External"/><Relationship Id="rId144" Type="http://schemas.openxmlformats.org/officeDocument/2006/relationships/hyperlink" Target="CAP_EMISES%202021/21024%20Fufneg%20Longjiang/REC%20CTI/211102_R&#233;clamation%20Novasep_CAP21024.pdf" TargetMode="External"/><Relationship Id="rId90" Type="http://schemas.openxmlformats.org/officeDocument/2006/relationships/hyperlink" Target="CAP_EMISES%202020/20014%20CKD%20Module%20K01/CAP20014%20-%20Courrier%20R&#233;clamation%20Grayel.doc" TargetMode="External"/><Relationship Id="rId165" Type="http://schemas.openxmlformats.org/officeDocument/2006/relationships/hyperlink" Target="CAP_EMISES%202022/22006%20Sucro-Bossard/220201_R&#233;clamation%20Novasep%20Bossard.pdf" TargetMode="External"/><Relationship Id="rId186" Type="http://schemas.openxmlformats.org/officeDocument/2006/relationships/hyperlink" Target="CAP_EMISES%202022\22026%20B&#233;n&#233;o\22026%20Beneo%20-%20Montage%20FT%20sur%20fa&#231;ades.docx" TargetMode="External"/><Relationship Id="rId211" Type="http://schemas.openxmlformats.org/officeDocument/2006/relationships/hyperlink" Target="CAP_EMISES%202022\22043%20Rousselot-Cr&#233;pines%20trop%20longues\22043%20Rousselot-%20longuer%20cr&#233;pines%20inox.docx" TargetMode="External"/><Relationship Id="rId232" Type="http://schemas.openxmlformats.org/officeDocument/2006/relationships/hyperlink" Target="CAP_EMISES%202023/23020%20fuite%20eau%20bureau%20membrane/23020%20Fuite%20eau%20bureau%20atelier%20membrane.docx" TargetMode="External"/><Relationship Id="rId253" Type="http://schemas.openxmlformats.org/officeDocument/2006/relationships/hyperlink" Target="CAP_EMISES%202024/24034%20CJ%20US-Lanxess/241004_Claim%20Applexion-Lanxess.pdf" TargetMode="External"/><Relationship Id="rId27" Type="http://schemas.openxmlformats.org/officeDocument/2006/relationships/hyperlink" Target="../../../../../assso/AppData/Roaming/Microsoft/Excel/CAP_EMISES%202018/18033%20Cargill%20Manchester%20Sight%20glass%20leak/180914%20mail%20reponse%20client_RE_%20Resin%20loss%20incident%20in%20Manchester%20IX%20system.pdf" TargetMode="External"/><Relationship Id="rId48" Type="http://schemas.openxmlformats.org/officeDocument/2006/relationships/hyperlink" Target="CAP_EMISES%202019/19043%20LAICA-&#233;tiquettage%20r&#233;sine%20erron&#233;/19043%20LAICA-%20&#233;tiquatage%20r&#233;sine.docx" TargetMode="External"/><Relationship Id="rId69" Type="http://schemas.openxmlformats.org/officeDocument/2006/relationships/hyperlink" Target="CAP_EMISES%202020/20005%20Tereos%20Nesle/Courrier%20R&#233;clamation%20SUEZ%20WTS%20FRANCE.pdf" TargetMode="External"/><Relationship Id="rId113" Type="http://schemas.openxmlformats.org/officeDocument/2006/relationships/hyperlink" Target="CAP_EMISES%202021/21013%20Cevital-%20licence%20exportation/21013%20C&#233;vital-%208D.xls" TargetMode="External"/><Relationship Id="rId134" Type="http://schemas.openxmlformats.org/officeDocument/2006/relationships/hyperlink" Target="CAP_EMISES%202021/21026%2021027%20Bonumose/21027%20Bonumose-Ultrafiltration%20unit.docx" TargetMode="External"/><Relationship Id="rId80" Type="http://schemas.openxmlformats.org/officeDocument/2006/relationships/hyperlink" Target="file:///\\srvshafs01\shares\public\Quality\QA-NVA%20IB\CAP\20015%20Huakang%202%20PP%20Support%20issue.docx" TargetMode="External"/><Relationship Id="rId155" Type="http://schemas.openxmlformats.org/officeDocument/2006/relationships/hyperlink" Target="CAP_EMISES%202021/21024%20Fufneg%20Longjiang/21024-Fufeng%20Longjiang%20Membrane%20breakage%20issue%20CPT%20MSU.docx" TargetMode="External"/><Relationship Id="rId176" Type="http://schemas.openxmlformats.org/officeDocument/2006/relationships/hyperlink" Target="CAP_EMISES%202022\22021%20Fuite%20eau%20glycol&#233;e\22021%20Fuite%20Eau%20Glycol&#233;e.docx" TargetMode="External"/><Relationship Id="rId197" Type="http://schemas.openxmlformats.org/officeDocument/2006/relationships/hyperlink" Target="CAP_EMISES%202022\22035%20B&#233;n&#233;o-Certificat%20Etalonnage\22035%20Beneo-Certificat%20&#233;talonnage%20IN.docx" TargetMode="External"/><Relationship Id="rId201" Type="http://schemas.openxmlformats.org/officeDocument/2006/relationships/hyperlink" Target="CAP_EMISES%202022\22039%20HPLC%20M&#233;trologie\22039%20V&#233;rification%20HPLC.docx" TargetMode="External"/><Relationship Id="rId222" Type="http://schemas.openxmlformats.org/officeDocument/2006/relationships/hyperlink" Target="CAP_EMISES%202023/23003%20Cargill%20BOZ-%20joints%20EPDM/230123%20mail%20XRO_RE%20Cargill-BoZ-ISEP%20Gaskets%20side%20window%20looks%20already%20worn-out%20and%20easy%20failure%20of%20the%20side%20glass..msg" TargetMode="External"/><Relationship Id="rId243" Type="http://schemas.openxmlformats.org/officeDocument/2006/relationships/hyperlink" Target="CAP_EMISES%202023/23026%20COPAM-billes%20noires%20r&#233;sine/231107_%20R&#233;clamation%20APPLEXION-DUPONT.pdf" TargetMode="External"/><Relationship Id="rId17" Type="http://schemas.openxmlformats.org/officeDocument/2006/relationships/hyperlink" Target="../../../../../ex_dvi/AppData/Roaming/Microsoft/Excel/CAP_EMISES%202017/17016%20M&#233;rial%20S52/R&#233;clamation%20Valorel/170322%20R&#233;clamation%20Valorel.pdf" TargetMode="External"/><Relationship Id="rId38" Type="http://schemas.openxmlformats.org/officeDocument/2006/relationships/hyperlink" Target="CAP_EMISES%202019/19052%20Galactic/19052%20Galactic.docx" TargetMode="External"/><Relationship Id="rId59" Type="http://schemas.openxmlformats.org/officeDocument/2006/relationships/hyperlink" Target="CAP_EMISES%202019/19047%20CKD/19047%20CKD.docx" TargetMode="External"/><Relationship Id="rId103" Type="http://schemas.openxmlformats.org/officeDocument/2006/relationships/hyperlink" Target="CAP_EMISES%202021/21009%20Tereos%20-sight%20glass/21009%20Tereos_Sight%20glass.docx" TargetMode="External"/><Relationship Id="rId124" Type="http://schemas.openxmlformats.org/officeDocument/2006/relationships/hyperlink" Target="CAP_EMISES%202021/21020%20Cargill%20MicroBA/21%2006%2029%20mail%20ABN%20Client_%20MicroBA%20-%20Novasep%20-%20Info%20on%20delivery.msg" TargetMode="External"/><Relationship Id="rId70" Type="http://schemas.openxmlformats.org/officeDocument/2006/relationships/hyperlink" Target="CAP_EMISES%202020/20007%20SOFIVO/20007%20SOFIVO-%20MEGA.docx" TargetMode="External"/><Relationship Id="rId91" Type="http://schemas.openxmlformats.org/officeDocument/2006/relationships/hyperlink" Target="CAP_EMISES%202019/19035%20OLON%20MTCI/19035%20OLON_MTCI%20drain%20MF.docm" TargetMode="External"/><Relationship Id="rId145" Type="http://schemas.openxmlformats.org/officeDocument/2006/relationships/hyperlink" Target="CAP_EMISES%202021/21033%20SQ-%20Silex%20Sibelco/21033%20SQ%20-%20Silex%20Sibelco.docx" TargetMode="External"/><Relationship Id="rId166" Type="http://schemas.openxmlformats.org/officeDocument/2006/relationships/hyperlink" Target="CAP_EMISES%202022\22008%20Tessier-casse%20mbre%20&#224;%20r&#233;ception\22008%20Tessier_Membrane%20cass&#233;e%20&#224;%20r&#233;ception.docx" TargetMode="External"/><Relationship Id="rId187" Type="http://schemas.openxmlformats.org/officeDocument/2006/relationships/hyperlink" Target="CAP_EMISES%202022\22027%20LEKAI%20-%20civil%20works%20drawing\22027%20LEKAI-Civil%20works%20drawing.docx" TargetMode="External"/><Relationship Id="rId1" Type="http://schemas.openxmlformats.org/officeDocument/2006/relationships/hyperlink" Target="../../../../../ex_dvi/AppData/Roaming/Microsoft/Excel/CAP_EMISES%202015/15017%20SEDAMYL/R&#233;clamation%20GE%20membranes%20Sedamyl.pdf" TargetMode="External"/><Relationship Id="rId212" Type="http://schemas.openxmlformats.org/officeDocument/2006/relationships/hyperlink" Target="CAP_EMISES%202022\22045%20Cristal%20Union-%20Gonflement%20r&#233;sine\22045%20Cristal%20Union%20Erstein-gonflement%20r&#233;sine.docx" TargetMode="External"/><Relationship Id="rId233" Type="http://schemas.openxmlformats.org/officeDocument/2006/relationships/hyperlink" Target="../../../../../christine.potier/OneDrive%20-%20Novasep%20Process%20Solutions/AQHSE/1-Qualite/1-FICHES_CAP/CAP_EMISES%202023/23021%20Bonumose-corrosion%20tank/23021%20Bonumose%20-%20pb%20corrosion%20tank-piping.docx" TargetMode="External"/><Relationship Id="rId254" Type="http://schemas.openxmlformats.org/officeDocument/2006/relationships/printerSettings" Target="../printerSettings/printerSettings1.bin"/><Relationship Id="rId28" Type="http://schemas.openxmlformats.org/officeDocument/2006/relationships/hyperlink" Target="../../../../../assso/AppData/Roaming/Microsoft/Excel/CAP_EMISES%202019/19006%20PARAG%20Bollor&#38280;R&#38287;lamation%20Bollor" TargetMode="External"/><Relationship Id="rId49" Type="http://schemas.openxmlformats.org/officeDocument/2006/relationships/hyperlink" Target="CAP_EMISES%202019/19041%20Parry%20Sugar%20livraison%20mbres%20NF/19041%20Parry%20Sugar-livraison%20mbres%20NF.docm" TargetMode="External"/><Relationship Id="rId114" Type="http://schemas.openxmlformats.org/officeDocument/2006/relationships/hyperlink" Target="CAP_EMISES%202021/21011%20Praj-fuite%20module%20NF/21011%20PRAJ_8D.xls" TargetMode="External"/><Relationship Id="rId60" Type="http://schemas.openxmlformats.org/officeDocument/2006/relationships/hyperlink" Target="CAP_EMISES%202020/20002%20ADM%20US/20002%20ADM.docx" TargetMode="External"/><Relationship Id="rId81" Type="http://schemas.openxmlformats.org/officeDocument/2006/relationships/hyperlink" Target="file:///\\srvshafs01\shares\public\Quality\QA-NVA%20IB\CAP\20016%20CJ%20GMP3%20PP-FRP%20pipe%20broken%20issue.docm" TargetMode="External"/><Relationship Id="rId135" Type="http://schemas.openxmlformats.org/officeDocument/2006/relationships/hyperlink" Target="CAP_EMISES%202021/21029%20Rousselot/21029%20Rousselot.docx" TargetMode="External"/><Relationship Id="rId156" Type="http://schemas.openxmlformats.org/officeDocument/2006/relationships/hyperlink" Target="CAP_EMISES%202022\22001%20Ter&#233;os%20-%20Suez\22001%20TEREOS%20Nesle%20-%20mbre%20NF.docx" TargetMode="External"/><Relationship Id="rId177" Type="http://schemas.openxmlformats.org/officeDocument/2006/relationships/hyperlink" Target="CAP_EMISES%202022\22022%20CJ%20Bio\22022%20CJ%20Bio.docx" TargetMode="External"/><Relationship Id="rId198" Type="http://schemas.openxmlformats.org/officeDocument/2006/relationships/hyperlink" Target="CAP_EMISES%202022\22036%20GSK%20-%20Etanchement\22036%20GSK%20-%20&#233;tanchement.docx" TargetMode="External"/><Relationship Id="rId202" Type="http://schemas.openxmlformats.org/officeDocument/2006/relationships/hyperlink" Target="CAP_EMISES%202022\22040%20Sanofi-Etiquette\22040%20Sanofi-Etiquette%20caisse%20(4).docx" TargetMode="External"/><Relationship Id="rId223" Type="http://schemas.openxmlformats.org/officeDocument/2006/relationships/hyperlink" Target="CAP_EMISES%202023/23009%20C&#233;vital-%20Bollor&#233;%20erreur%20d&#233;marquage/2023.02.22%20courrier%20C&#233;vital.pdf" TargetMode="External"/><Relationship Id="rId244" Type="http://schemas.openxmlformats.org/officeDocument/2006/relationships/hyperlink" Target="CAP_EMISES%202023/23033%20ADM-pilotage%20SSMB/23033%20ADM-pilotage%20SSMB%20m&#233;lange%20Raffinat-Extrait.docx" TargetMode="External"/><Relationship Id="rId18" Type="http://schemas.openxmlformats.org/officeDocument/2006/relationships/hyperlink" Target="../../../../../ex_dvi/AppData/Roaming/Microsoft/Excel/CAP_EMISES%202017/17023%20Armor%20prot&#233;ine/LRAR%20_CTI_7985_12052017.pdf" TargetMode="External"/><Relationship Id="rId39" Type="http://schemas.openxmlformats.org/officeDocument/2006/relationships/hyperlink" Target="CAP_EMISES%202019/19049%20S&#233;parateur%20pilote%20Evapo/19049%20S&#233;parateur%20pilote%20Evapo%20R&amp;D.docx" TargetMode="External"/><Relationship Id="rId50" Type="http://schemas.openxmlformats.org/officeDocument/2006/relationships/hyperlink" Target="CAP_EMISES%202019/19036%20Etuve%20labo/19036%20Etuve%20labo.docm" TargetMode="External"/><Relationship Id="rId104" Type="http://schemas.openxmlformats.org/officeDocument/2006/relationships/hyperlink" Target="CAP_EMISES%202021/21010%20Tereos%20-perte%20de%20charge/21010%20TEREOS_perte%20de%20charge%20DK.docx" TargetMode="External"/><Relationship Id="rId125" Type="http://schemas.openxmlformats.org/officeDocument/2006/relationships/hyperlink" Target="CAP_EMISES%202021\21021%20Cargill%20Haubourdin\21021%20Cargill%20Haubourdin%20joints%20EPDM-&#233;bonite.docx" TargetMode="External"/><Relationship Id="rId146" Type="http://schemas.openxmlformats.org/officeDocument/2006/relationships/hyperlink" Target="CAP_EMISES%202021/21033%20SQ-%20Silex%20Sibelco/211124_%20courrier%20RECLAMATION%20NOVASEP.pdf" TargetMode="External"/><Relationship Id="rId167" Type="http://schemas.openxmlformats.org/officeDocument/2006/relationships/hyperlink" Target="CAP_EMISES%202022/22010%20Fuite%20appareil%20Kjeldahl/22010%20Fuite%20appareil%20Kjedahl.docx" TargetMode="External"/><Relationship Id="rId188" Type="http://schemas.openxmlformats.org/officeDocument/2006/relationships/hyperlink" Target="CAP_EMISES%202022\22016%20Cargill%20BOZ-Manholes%20&amp;%20davit%20design\22016%20Cargill%20BOZ-Manholes%20and%20davit%20design%20.docx" TargetMode="External"/><Relationship Id="rId71" Type="http://schemas.openxmlformats.org/officeDocument/2006/relationships/hyperlink" Target="CAP_EMISES%202020/20007%20SOFIVO/20%2003%2010%20Mail%20r&#233;clamation%20DBA%20&#224;%20M&#233;ga.pdf" TargetMode="External"/><Relationship Id="rId92" Type="http://schemas.openxmlformats.org/officeDocument/2006/relationships/hyperlink" Target="CAP_EMISES%202019/19035%20OLON%20MTCI/190823%20mail%20XDE_MTCI_13929%20-%20drain%20MF.pdf" TargetMode="External"/><Relationship Id="rId213" Type="http://schemas.openxmlformats.org/officeDocument/2006/relationships/hyperlink" Target="CAP_EMISES%202022\22045%20Cristal%20Union-%20Gonflement%20r&#233;sine\221026_R&#233;clamation%20Dupont%20-%20Gonflement%20r&#233;sine.pdf" TargetMode="External"/><Relationship Id="rId234" Type="http://schemas.openxmlformats.org/officeDocument/2006/relationships/hyperlink" Target="../../../../../christine.potier/OneDrive%20-%20Novasep%20Process%20Solutions/AQHSE/1-Qualite/1-FICHES_CAP/CAP_EMISES%202023/23022%20Inovyn-D&#233;faut%20&#233;bonitage/23022%20Inovyn%20-%20d&#233;faut%20&#233;bonite%20colonnes.docx" TargetMode="External"/><Relationship Id="rId2" Type="http://schemas.openxmlformats.org/officeDocument/2006/relationships/hyperlink" Target="../../../../../ex_dvi/AppData/Roaming/Microsoft/Excel/CAP_EMISES%202015/15038%20DOW/R&#38287;lamation%20Dow%20Mono%2088.pdf" TargetMode="External"/><Relationship Id="rId29" Type="http://schemas.openxmlformats.org/officeDocument/2006/relationships/hyperlink" Target="CAP_EMISES%202019/19031%20ADM-%20Bollor&#38280;R&#38287;lamation%20Bollor" TargetMode="External"/><Relationship Id="rId255" Type="http://schemas.openxmlformats.org/officeDocument/2006/relationships/vmlDrawing" Target="../drawings/vmlDrawing1.vml"/><Relationship Id="rId40" Type="http://schemas.openxmlformats.org/officeDocument/2006/relationships/hyperlink" Target="file:///\\srvshafs01\shares\public\Quality\QA-NVA%20IB\CAP\19051%20CJ%20P6%20columns%20delay%20issue.docx" TargetMode="External"/><Relationship Id="rId115" Type="http://schemas.openxmlformats.org/officeDocument/2006/relationships/hyperlink" Target="CAP_EMISES%202021/21017%20Tereos%20Nesle-%20mbre%20NF/21017%20TEREOS%20Nesle%20-%20mbre%20NF.docx" TargetMode="External"/><Relationship Id="rId136" Type="http://schemas.openxmlformats.org/officeDocument/2006/relationships/hyperlink" Target="CAP_EMISES%202021/21030%20Inopor/21030%20Inopor-%20Mbres%20abim&#233;es-&#233;br&#233;ch&#233;es%20en%20p&#233;riph&#233;rie.docx" TargetMode="External"/><Relationship Id="rId157" Type="http://schemas.openxmlformats.org/officeDocument/2006/relationships/hyperlink" Target="CAP_EMISES%202022/22002%20SQ%20-%20Polarimeter/22002%20SQ%2010%20-%20polarimeter.docx" TargetMode="External"/><Relationship Id="rId178" Type="http://schemas.openxmlformats.org/officeDocument/2006/relationships/hyperlink" Target="file:///\\10.120.30.211\Shares\Public\Quality\archieve\QA-NVA%20IB\CAP\Closed%20CAP" TargetMode="External"/><Relationship Id="rId61" Type="http://schemas.openxmlformats.org/officeDocument/2006/relationships/hyperlink" Target="CAP_EMISES%202020/20002%20ADM%20US/20%2001%2031%20Dissatisfaction%20Novasep%20intervention.pdf" TargetMode="External"/><Relationship Id="rId82" Type="http://schemas.openxmlformats.org/officeDocument/2006/relationships/hyperlink" Target="CAP_EMISES%202020/20017%20Prolactal/20017%20Prolactal.docx" TargetMode="External"/><Relationship Id="rId199" Type="http://schemas.openxmlformats.org/officeDocument/2006/relationships/hyperlink" Target="CAP_EMISES%202022\22037%20Cristal%20union-%20FT\22037%20Cristal%20Union-Espace%20insuffisant%20pour%20d&#233;montage%20d&#233;bitm&#232;tre.docx" TargetMode="External"/><Relationship Id="rId203" Type="http://schemas.openxmlformats.org/officeDocument/2006/relationships/hyperlink" Target="CAP_EMISES%202022/22040%20Sanofi-Etiquette/220921%20mail%20r&#233;ponse%20SGU_PR590548.msg" TargetMode="External"/><Relationship Id="rId19" Type="http://schemas.openxmlformats.org/officeDocument/2006/relationships/hyperlink" Target="../../../../../ex_dvi/AppData/Roaming/Microsoft/Excel/CAP_EMISES%202017/17055%20Vitalus%20Dow/Claim%20Dow%20FDA%20test%20and%20black%20particles.pdf" TargetMode="External"/><Relationship Id="rId224" Type="http://schemas.openxmlformats.org/officeDocument/2006/relationships/hyperlink" Target="CAP_EMISES%202023/23008%20VRS-%20Bollor&#233;%20erreur%20exp&#233;dition%20ref%20r&#233;sine/23008%20VRS%20Bollor&#233;-erreur%20d'exp&#233;dition%20ref%20r&#233;sines.docx" TargetMode="External"/><Relationship Id="rId245" Type="http://schemas.openxmlformats.org/officeDocument/2006/relationships/hyperlink" Target="CAP_EMISES%202023/23029%20Inovyn%20-%20Montage%20Interconnection/APPLEXION%20RECLAMATION%20PACT%20-%20INOVYN.pdf" TargetMode="External"/><Relationship Id="rId30" Type="http://schemas.openxmlformats.org/officeDocument/2006/relationships/hyperlink" Target="CAP_EMISES%202019/19040%20Rousselot/190917%20AR_R&#38287;lamation%20St" TargetMode="External"/><Relationship Id="rId105" Type="http://schemas.openxmlformats.org/officeDocument/2006/relationships/hyperlink" Target="CAP_EMISES%202021/21005%20Beneo%20KSB/210208%20R&#233;clamation%20KSB_livraison%20pompes.pdf" TargetMode="External"/><Relationship Id="rId126" Type="http://schemas.openxmlformats.org/officeDocument/2006/relationships/hyperlink" Target="CAP_EMISES%202021/21021%20Cargill%20Haubourdin/210821%20mail%20client_10.15842%20Cargill%20Haubourdin%20%20Ouverture%20CAP.msg" TargetMode="External"/><Relationship Id="rId147" Type="http://schemas.openxmlformats.org/officeDocument/2006/relationships/hyperlink" Target="CAP_EMISES%202021/21034%20Cargill%20MicroBA/21034%20Cargill%20MicroBA%20-%20Tag%20plates%20inversion.docx" TargetMode="External"/><Relationship Id="rId168" Type="http://schemas.openxmlformats.org/officeDocument/2006/relationships/hyperlink" Target="CAP_EMISES%202022/22011%20Sucro%20-%20incoh&#233;rence%20PID-3D/22011%20SUCRO_3D%20Skid%20NF%20not%20updated.docx" TargetMode="External"/><Relationship Id="rId51" Type="http://schemas.openxmlformats.org/officeDocument/2006/relationships/hyperlink" Target="CAP_EMISES%202019/19053%20Etihad%20-%20Licence/R&#233;clamation%20Bollor&#233;%20membranes%20Irak.pdf" TargetMode="External"/><Relationship Id="rId72" Type="http://schemas.openxmlformats.org/officeDocument/2006/relationships/hyperlink" Target="file:///\\srvshafs01\shares\public\Quality\QA-NVA%20IB\CAP\20008%20CJ%20P6%20S%20parts%20welding%20issue.docm" TargetMode="External"/><Relationship Id="rId93" Type="http://schemas.openxmlformats.org/officeDocument/2006/relationships/hyperlink" Target="CAP_EMISES%202019/19034%20Chengxin%20Bollor&#233;/190807%20mail%20JNJ%20Bollor&#233;%20_%20R&#233;clamation.pdf" TargetMode="External"/><Relationship Id="rId189" Type="http://schemas.openxmlformats.org/officeDocument/2006/relationships/hyperlink" Target="CAP_EMISES%202022\22008%20Tessier-casse%20mbre%20&#224;%20r&#233;ception\RE%20MARCHANDISES%20CASSEES%20-%20LIVRAISON%20TESSIER%20-%20Membranes%20KERASEP%20.msg" TargetMode="External"/><Relationship Id="rId3" Type="http://schemas.openxmlformats.org/officeDocument/2006/relationships/hyperlink" Target="../../../../../ex_dvi/AppData/Roaming/Microsoft/Excel/CAP_EMISES%202015/15040%20Intervention%20sorbonnes/Mail%20R&#233;clamation%20Vinci.pdf" TargetMode="External"/><Relationship Id="rId214" Type="http://schemas.openxmlformats.org/officeDocument/2006/relationships/hyperlink" Target="CAP_EMISES%202023\23002%20Friesland-r&#233;sine%20Halal\23002%20-%20Friesland%20r&#233;sine%20Halal.docx" TargetMode="External"/><Relationship Id="rId235" Type="http://schemas.openxmlformats.org/officeDocument/2006/relationships/hyperlink" Target="CAP_EMISES%202023/23023%20Fuite%20toiture%20Halle%20R&amp;D%20N&#176;2/23023%20Fuite%20toiture%20halle%20R&amp;D%20N&#176;2.docx" TargetMode="External"/><Relationship Id="rId256" Type="http://schemas.openxmlformats.org/officeDocument/2006/relationships/table" Target="../tables/table1.xml"/><Relationship Id="rId116" Type="http://schemas.openxmlformats.org/officeDocument/2006/relationships/hyperlink" Target="CAP_EMISES%202021/21017%20Tereos%20Nesle-%20mbre%20NF/210604%20AR%20REC_R&#233;clamation%20membranes%20NF.msg" TargetMode="External"/><Relationship Id="rId137" Type="http://schemas.openxmlformats.org/officeDocument/2006/relationships/hyperlink" Target="CAP_EMISES%202021/21030%20Inopor/211005_Claim%20Novasep_CAP21030.pdf" TargetMode="External"/><Relationship Id="rId158" Type="http://schemas.openxmlformats.org/officeDocument/2006/relationships/hyperlink" Target="CAP_EMISES%202022/22005%20Ram%20Sucre-%20Composites%20Vec/22005%20RAM%20SUCRE%20-%20buses%20d&#233;colo.docx" TargetMode="External"/><Relationship Id="rId20" Type="http://schemas.openxmlformats.org/officeDocument/2006/relationships/hyperlink" Target="../../../../../ex_dvi/AppData/Roaming/Microsoft/Excel/CAP_EMISES%202017/17019%20CLS%20Alpha%20laval/reclamation%20Alfa%20Laval%20cde%20%20A10191.pdf" TargetMode="External"/><Relationship Id="rId41" Type="http://schemas.openxmlformats.org/officeDocument/2006/relationships/hyperlink" Target="CAP_EMISES%202019/19050%20Ingredion%20-%20DP%20C201/19050%20Ingredion%20-%20pressure%20drops%20on%20lower%20network%20cell%20C201.docm" TargetMode="External"/><Relationship Id="rId62" Type="http://schemas.openxmlformats.org/officeDocument/2006/relationships/hyperlink" Target="CAP_EMISES%202019/19006%20PARAG%20Bollor&#233;/19006%20PARAG%20Bollor&#233;.docm" TargetMode="External"/><Relationship Id="rId83" Type="http://schemas.openxmlformats.org/officeDocument/2006/relationships/hyperlink" Target="CAP_EMISES%202020/20017%20Prolactal/20%2006%2026%20AR%20R&#233;clamation%20Prolactal.pdf" TargetMode="External"/><Relationship Id="rId179" Type="http://schemas.openxmlformats.org/officeDocument/2006/relationships/hyperlink" Target="file:///\\10.120.30.211\Shares\Public\Quality\archieve\QA-NVA%20IB\CAP\Closed%20CAP" TargetMode="External"/><Relationship Id="rId190" Type="http://schemas.openxmlformats.org/officeDocument/2006/relationships/hyperlink" Target="CAP_EMISES%202022\22028%20Kirsanov-envoi%20Silex\22026%20Kirsanov-envoi%20Silex.docx" TargetMode="External"/><Relationship Id="rId204" Type="http://schemas.openxmlformats.org/officeDocument/2006/relationships/hyperlink" Target="CAP_EMISES%202022\22040%20Sanofi-Etiquette\220921%20mail%20r&#233;ponse%20SGU_PR590548.msg" TargetMode="External"/><Relationship Id="rId225" Type="http://schemas.openxmlformats.org/officeDocument/2006/relationships/hyperlink" Target="CAP_EMISES%202023/23009%20C&#233;vital-%20Bollor&#233;%20erreur%20d&#233;marquage/23009%20C&#233;vital-Bollor&#233;%20erreur%20d&#233;marquage.docx" TargetMode="External"/><Relationship Id="rId246" Type="http://schemas.openxmlformats.org/officeDocument/2006/relationships/hyperlink" Target="CAP_EMISES%202024/24001%20Omnia/24001%20Omnia.docx" TargetMode="External"/><Relationship Id="rId106" Type="http://schemas.openxmlformats.org/officeDocument/2006/relationships/hyperlink" Target="CAP_EMISES%202021/21011%20Praj-fuite%20module%20NF/21011%20Praj-fuite%20module%20NF.docx" TargetMode="External"/><Relationship Id="rId127" Type="http://schemas.openxmlformats.org/officeDocument/2006/relationships/hyperlink" Target="CAP_EMISES%202021/21022%20Hochdorf%20Swiss%20Nutrition%20AG/21022%20Hochdorf%20Swiss%20Nutrition-d&#233;marquage%20r&#233;sine.docx" TargetMode="External"/><Relationship Id="rId10" Type="http://schemas.openxmlformats.org/officeDocument/2006/relationships/hyperlink" Target="../../../../../ex_dvi/AppData/Roaming/Microsoft/Excel/CAP_EMISES%202015/15034%20Conaprole%20cablage%20client/Mail%20PGA_%20RE_%209726_%20Probl&#232;me%20de%20transmission%20de%20sch&#233;mas%20&#233;lectriques.pdf" TargetMode="External"/><Relationship Id="rId31" Type="http://schemas.openxmlformats.org/officeDocument/2006/relationships/hyperlink" Target="CAP_EMISES%202019/19040%20Rousselot/R&#38287;lamation%20CTI%20CAP%2019040.pdf" TargetMode="External"/><Relationship Id="rId52" Type="http://schemas.openxmlformats.org/officeDocument/2006/relationships/hyperlink" Target="CAP_EMISES%202019/19052%20Galactic/191220%20mail%20EWI%20&#224;%20DuPont_Erreur%20de%20conditionnement%20CA-1908-0151.pdf" TargetMode="External"/><Relationship Id="rId73" Type="http://schemas.openxmlformats.org/officeDocument/2006/relationships/hyperlink" Target="CAP_EMISES%202020/20005%20Tereos%20Nesle/RE_%20R&#233;clamation%20pour%20d&#233;faut%20membrane.pdf" TargetMode="External"/><Relationship Id="rId94" Type="http://schemas.openxmlformats.org/officeDocument/2006/relationships/hyperlink" Target="file:///\\srvshafs01\shares\public\Quality\archieve\QA-NVA%20IB\CAP\Closed%20CAP\21001%20NF%20housing%20leakage%20issue%20CLOSE%20210514.docx" TargetMode="External"/><Relationship Id="rId148" Type="http://schemas.openxmlformats.org/officeDocument/2006/relationships/hyperlink" Target="CAP_EMISES%202021/21035%20Etihad-Aqua%20Com/21035%20Etihad-TP%20Aqua%20Com.docx" TargetMode="External"/><Relationship Id="rId169" Type="http://schemas.openxmlformats.org/officeDocument/2006/relationships/hyperlink" Target="CAP_EMISES%202022/22012%20Beneo%20Oreyes-%20InaceInox/22012%20Beneo%20Oreye%20-%20InaceInox.docx" TargetMode="External"/><Relationship Id="rId4" Type="http://schemas.openxmlformats.org/officeDocument/2006/relationships/hyperlink" Target="../../../../../ex_dvi/AppData/Roaming/Microsoft/Excel/CAP_EMISES%202015/15027%20Sunoko%20Trislot/MISE%20EN%20DEMEURE.doc" TargetMode="External"/><Relationship Id="rId180" Type="http://schemas.openxmlformats.org/officeDocument/2006/relationships/hyperlink" Target="file:///\\10.120.30.211\Shares\Public\Quality\archieve\QA-NVA%20IB\CAP\Closed%20CAP" TargetMode="External"/><Relationship Id="rId215" Type="http://schemas.openxmlformats.org/officeDocument/2006/relationships/hyperlink" Target="CAP_EMISES%202023/23001%20Sanofi%20DNE%20membranes/23001%20Sanofi-Evolution%20anormale%20d&#233;bit%20eau%20membrane%20Kerasep%20BP%20BX%2050%20kD.docx" TargetMode="External"/><Relationship Id="rId236" Type="http://schemas.openxmlformats.org/officeDocument/2006/relationships/hyperlink" Target="CAP_EMISES%202023/23024%20B&#233;n&#233;o-%20corrosion/23024%20B&#233;n&#233;o%20-%20Corrosion%20Piping%20Dem1.docx" TargetMode="External"/><Relationship Id="rId25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>
    <tabColor theme="5"/>
    <pageSetUpPr fitToPage="1"/>
  </sheetPr>
  <dimension ref="A1:AN598"/>
  <sheetViews>
    <sheetView topLeftCell="A2" zoomScaleNormal="100" workbookViewId="0">
      <pane ySplit="5" topLeftCell="A554" activePane="bottomLeft" state="frozen"/>
      <selection pane="bottomLeft" activeCell="A2" sqref="A2:XFD6"/>
    </sheetView>
  </sheetViews>
  <sheetFormatPr defaultColWidth="8.81640625" defaultRowHeight="12.5" outlineLevelCol="1" x14ac:dyDescent="0.25"/>
  <cols>
    <col min="1" max="1" width="6.90625" customWidth="1"/>
    <col min="2" max="2" width="8.81640625" customWidth="1"/>
    <col min="3" max="3" width="13.26953125" hidden="1" customWidth="1"/>
    <col min="4" max="4" width="8.90625" hidden="1" customWidth="1" outlineLevel="1"/>
    <col min="5" max="5" width="7.81640625" hidden="1" customWidth="1" outlineLevel="1"/>
    <col min="6" max="6" width="6.08984375" customWidth="1" outlineLevel="1"/>
    <col min="7" max="7" width="12.1796875" style="3" customWidth="1" outlineLevel="1"/>
    <col min="8" max="8" width="11.36328125" style="3" customWidth="1" outlineLevel="1"/>
    <col min="9" max="9" width="15.08984375" customWidth="1"/>
    <col min="10" max="10" width="6.7265625" hidden="1" customWidth="1" outlineLevel="1"/>
    <col min="11" max="11" width="5.08984375" hidden="1" customWidth="1" outlineLevel="1"/>
    <col min="12" max="12" width="8.90625" hidden="1" customWidth="1" outlineLevel="1"/>
    <col min="13" max="13" width="10.54296875" hidden="1" customWidth="1" collapsed="1"/>
    <col min="14" max="14" width="45.453125" customWidth="1" outlineLevel="1"/>
    <col min="15" max="15" width="10.453125" hidden="1" customWidth="1" outlineLevel="1"/>
    <col min="16" max="16" width="7.26953125" hidden="1" customWidth="1" outlineLevel="1"/>
    <col min="17" max="17" width="7.36328125" customWidth="1"/>
    <col min="18" max="18" width="24" bestFit="1" customWidth="1" outlineLevel="1"/>
    <col min="19" max="19" width="5.7265625" customWidth="1" outlineLevel="1"/>
    <col min="20" max="20" width="4.54296875" customWidth="1" outlineLevel="1"/>
    <col min="21" max="21" width="4.6328125" customWidth="1" outlineLevel="1"/>
    <col min="22" max="22" width="4.08984375" customWidth="1" outlineLevel="1"/>
    <col min="23" max="23" width="4.08984375" customWidth="1"/>
    <col min="24" max="24" width="9.54296875" customWidth="1"/>
    <col min="25" max="25" width="8.81640625" customWidth="1"/>
    <col min="26" max="26" width="10.81640625" customWidth="1" outlineLevel="1"/>
    <col min="27" max="27" width="6.81640625" customWidth="1" outlineLevel="1"/>
    <col min="28" max="28" width="12.26953125" customWidth="1" outlineLevel="1"/>
    <col min="29" max="29" width="11.453125" customWidth="1" outlineLevel="1"/>
    <col min="30" max="30" width="8.7265625" customWidth="1" outlineLevel="1"/>
    <col min="31" max="31" width="11.36328125" customWidth="1" outlineLevel="1"/>
    <col min="32" max="32" width="6" customWidth="1" outlineLevel="1"/>
    <col min="33" max="36" width="11.54296875" customWidth="1"/>
    <col min="37" max="37" width="11.453125" customWidth="1"/>
    <col min="38" max="38" width="12.453125" customWidth="1"/>
    <col min="39" max="39" width="22.453125" customWidth="1"/>
    <col min="40" max="40" width="91.36328125" bestFit="1" customWidth="1"/>
  </cols>
  <sheetData>
    <row r="1" spans="1:40" hidden="1" x14ac:dyDescent="0.25">
      <c r="A1" t="s">
        <v>30</v>
      </c>
      <c r="B1" t="s">
        <v>31</v>
      </c>
      <c r="C1" t="s">
        <v>0</v>
      </c>
      <c r="D1" t="s">
        <v>27</v>
      </c>
      <c r="E1" t="s">
        <v>32</v>
      </c>
      <c r="F1" t="s">
        <v>33</v>
      </c>
      <c r="G1" s="3" t="s">
        <v>34</v>
      </c>
      <c r="H1" s="3" t="s">
        <v>35</v>
      </c>
      <c r="I1" t="s">
        <v>26</v>
      </c>
      <c r="J1" t="s">
        <v>36</v>
      </c>
      <c r="K1" t="s">
        <v>37</v>
      </c>
      <c r="L1" t="s">
        <v>22</v>
      </c>
      <c r="M1" t="s">
        <v>38</v>
      </c>
      <c r="N1" t="s">
        <v>39</v>
      </c>
      <c r="O1" t="s">
        <v>1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</row>
    <row r="2" spans="1:40" ht="13" x14ac:dyDescent="0.3">
      <c r="A2" s="4" t="s">
        <v>64</v>
      </c>
      <c r="B2" s="5"/>
      <c r="C2" s="6"/>
      <c r="D2" s="5"/>
      <c r="E2" s="5"/>
      <c r="F2" s="5"/>
      <c r="G2" s="7"/>
      <c r="H2" s="7"/>
      <c r="I2" s="5"/>
      <c r="J2" s="5"/>
      <c r="K2" s="14"/>
      <c r="L2" s="14"/>
      <c r="M2" s="14"/>
      <c r="N2" s="15"/>
      <c r="O2" s="14"/>
      <c r="P2" s="16"/>
      <c r="Q2" s="31"/>
      <c r="R2" s="16"/>
      <c r="S2" s="16"/>
      <c r="T2" s="16"/>
      <c r="U2" s="16"/>
      <c r="V2" s="16"/>
      <c r="W2" s="16"/>
      <c r="X2" s="16"/>
      <c r="Y2" s="32"/>
      <c r="Z2" s="14"/>
      <c r="AA2" s="14"/>
      <c r="AB2" s="14"/>
      <c r="AC2" s="14"/>
      <c r="AD2" s="15"/>
      <c r="AE2" s="15"/>
      <c r="AF2" s="48"/>
      <c r="AG2" s="76"/>
      <c r="AH2" s="76"/>
      <c r="AI2" s="76"/>
      <c r="AJ2" s="49">
        <f ca="1">EDATE(AJ3,-3)</f>
        <v>45959</v>
      </c>
      <c r="AK2" s="50"/>
      <c r="AL2" s="50"/>
      <c r="AM2" s="50"/>
      <c r="AN2" s="50"/>
    </row>
    <row r="3" spans="1:40" ht="13" x14ac:dyDescent="0.3">
      <c r="A3" s="8"/>
      <c r="B3" s="8"/>
      <c r="C3" s="8"/>
      <c r="D3" s="8"/>
      <c r="E3" s="8"/>
      <c r="F3" s="8"/>
      <c r="G3" s="9"/>
      <c r="H3" s="9"/>
      <c r="I3" s="17"/>
      <c r="J3" s="8"/>
      <c r="K3" s="18"/>
      <c r="L3" s="18" t="s">
        <v>65</v>
      </c>
      <c r="M3" s="19"/>
      <c r="N3" s="20"/>
      <c r="O3" s="21" t="s">
        <v>66</v>
      </c>
      <c r="P3" s="22"/>
      <c r="Q3" s="22"/>
      <c r="R3" s="33"/>
      <c r="S3" s="22"/>
      <c r="T3" s="34" t="s">
        <v>67</v>
      </c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265" t="s">
        <v>68</v>
      </c>
      <c r="AH3" s="265"/>
      <c r="AI3" s="265"/>
      <c r="AJ3" s="51">
        <f ca="1">TODAY()</f>
        <v>46051</v>
      </c>
      <c r="AK3" s="37"/>
      <c r="AL3" s="56"/>
      <c r="AM3" s="57"/>
      <c r="AN3" s="57"/>
    </row>
    <row r="4" spans="1:40" ht="13" x14ac:dyDescent="0.3">
      <c r="A4" s="10"/>
      <c r="B4" s="10"/>
      <c r="C4" s="10"/>
      <c r="D4" s="10"/>
      <c r="E4" s="10"/>
      <c r="F4" s="10"/>
      <c r="G4" s="11"/>
      <c r="H4" s="11"/>
      <c r="I4" s="23"/>
      <c r="J4" s="10"/>
      <c r="K4" s="24"/>
      <c r="L4" s="24"/>
      <c r="M4" s="25"/>
      <c r="N4" s="26"/>
      <c r="O4" s="27"/>
      <c r="P4" s="28"/>
      <c r="Q4" s="28"/>
      <c r="R4" s="36"/>
      <c r="S4" s="28"/>
      <c r="T4" s="34" t="s">
        <v>69</v>
      </c>
      <c r="U4" s="37"/>
      <c r="V4" s="38" t="s">
        <v>70</v>
      </c>
      <c r="W4" s="39"/>
      <c r="X4" s="40"/>
      <c r="Y4" s="41" t="s">
        <v>71</v>
      </c>
      <c r="Z4" s="52"/>
      <c r="AA4" s="53"/>
      <c r="AB4" s="267" t="s">
        <v>72</v>
      </c>
      <c r="AC4" s="268"/>
      <c r="AD4" s="268"/>
      <c r="AE4" s="268"/>
      <c r="AF4" s="269"/>
      <c r="AG4" s="264" t="s">
        <v>68</v>
      </c>
      <c r="AH4" s="265"/>
      <c r="AI4" s="266"/>
      <c r="AJ4" s="34" t="s">
        <v>73</v>
      </c>
      <c r="AK4" s="37"/>
      <c r="AL4" s="58"/>
      <c r="AM4" s="59"/>
      <c r="AN4" s="59"/>
    </row>
    <row r="5" spans="1:40" ht="12" hidden="1" customHeight="1" x14ac:dyDescent="0.3">
      <c r="A5" s="12"/>
      <c r="B5" s="12"/>
      <c r="C5" s="12"/>
      <c r="D5" s="12"/>
      <c r="E5" s="12"/>
      <c r="F5" s="12"/>
      <c r="G5" s="13"/>
      <c r="H5" s="13"/>
      <c r="I5" s="29"/>
      <c r="J5" s="30"/>
      <c r="K5" s="12"/>
      <c r="L5" s="12"/>
      <c r="M5" s="29"/>
      <c r="N5" s="30"/>
      <c r="O5" s="12"/>
      <c r="P5" s="12"/>
      <c r="Q5" s="29"/>
      <c r="R5" s="42"/>
      <c r="S5" s="77"/>
      <c r="T5" s="43"/>
      <c r="U5" s="44"/>
      <c r="V5" s="45"/>
      <c r="W5" s="46"/>
      <c r="X5" s="47"/>
      <c r="Y5" s="47"/>
      <c r="Z5" s="47"/>
      <c r="AA5" s="44"/>
      <c r="AB5" s="54"/>
      <c r="AC5" s="54"/>
      <c r="AD5" s="54"/>
      <c r="AE5" s="45"/>
      <c r="AF5" s="42"/>
      <c r="AG5" s="77"/>
      <c r="AH5" s="77"/>
      <c r="AI5" s="77"/>
      <c r="AJ5" s="43"/>
      <c r="AK5" s="55"/>
      <c r="AL5" s="60"/>
      <c r="AM5" s="61"/>
    </row>
    <row r="6" spans="1:40" ht="62.5" customHeight="1" x14ac:dyDescent="0.25">
      <c r="A6" s="87" t="s">
        <v>30</v>
      </c>
      <c r="B6" s="88" t="s">
        <v>31</v>
      </c>
      <c r="C6" s="89" t="s">
        <v>0</v>
      </c>
      <c r="D6" s="90" t="s">
        <v>27</v>
      </c>
      <c r="E6" s="89" t="s">
        <v>32</v>
      </c>
      <c r="F6" s="89" t="s">
        <v>33</v>
      </c>
      <c r="G6" s="91" t="s">
        <v>34</v>
      </c>
      <c r="H6" s="91" t="s">
        <v>35</v>
      </c>
      <c r="I6" s="92" t="s">
        <v>26</v>
      </c>
      <c r="J6" s="89" t="s">
        <v>36</v>
      </c>
      <c r="K6" s="93" t="s">
        <v>37</v>
      </c>
      <c r="L6" s="93" t="s">
        <v>22</v>
      </c>
      <c r="M6" s="93" t="s">
        <v>38</v>
      </c>
      <c r="N6" s="93" t="s">
        <v>39</v>
      </c>
      <c r="O6" s="84" t="s">
        <v>1</v>
      </c>
      <c r="P6" s="84" t="s">
        <v>40</v>
      </c>
      <c r="Q6" s="84" t="s">
        <v>41</v>
      </c>
      <c r="R6" s="84" t="s">
        <v>42</v>
      </c>
      <c r="S6" s="84" t="s">
        <v>43</v>
      </c>
      <c r="T6" s="63" t="s">
        <v>44</v>
      </c>
      <c r="U6" s="63" t="s">
        <v>74</v>
      </c>
      <c r="V6" s="85" t="s">
        <v>45</v>
      </c>
      <c r="W6" s="85" t="s">
        <v>46</v>
      </c>
      <c r="X6" s="85" t="s">
        <v>47</v>
      </c>
      <c r="Y6" s="86" t="s">
        <v>48</v>
      </c>
      <c r="Z6" s="86" t="s">
        <v>49</v>
      </c>
      <c r="AA6" s="86" t="s">
        <v>50</v>
      </c>
      <c r="AB6" s="83" t="s">
        <v>51</v>
      </c>
      <c r="AC6" s="83" t="s">
        <v>52</v>
      </c>
      <c r="AD6" s="83" t="s">
        <v>2059</v>
      </c>
      <c r="AE6" s="83" t="s">
        <v>2060</v>
      </c>
      <c r="AF6" s="83" t="s">
        <v>55</v>
      </c>
      <c r="AG6" s="94" t="s">
        <v>56</v>
      </c>
      <c r="AH6" s="94" t="s">
        <v>57</v>
      </c>
      <c r="AI6" s="94" t="s">
        <v>58</v>
      </c>
      <c r="AJ6" s="63" t="s">
        <v>59</v>
      </c>
      <c r="AK6" s="63" t="s">
        <v>60</v>
      </c>
      <c r="AL6" s="63" t="s">
        <v>61</v>
      </c>
      <c r="AM6" s="95" t="s">
        <v>62</v>
      </c>
      <c r="AN6" s="95" t="s">
        <v>63</v>
      </c>
    </row>
    <row r="7" spans="1:40" ht="11.5" hidden="1" customHeight="1" x14ac:dyDescent="0.35">
      <c r="A7" s="82"/>
      <c r="B7" s="96" t="s">
        <v>75</v>
      </c>
      <c r="C7" s="81"/>
      <c r="D7" s="97"/>
      <c r="E7" s="67"/>
      <c r="F7" s="67"/>
      <c r="G7" s="68"/>
      <c r="H7" s="98"/>
      <c r="I7" s="99"/>
      <c r="J7" s="100"/>
      <c r="K7" s="101"/>
      <c r="L7" s="67"/>
      <c r="M7" s="102"/>
      <c r="N7" s="98"/>
      <c r="O7" s="68"/>
      <c r="P7" s="68"/>
      <c r="Q7" s="74"/>
      <c r="R7" s="68"/>
      <c r="S7" s="68"/>
      <c r="T7" s="74"/>
      <c r="U7" s="74"/>
      <c r="V7" s="79"/>
      <c r="W7" s="67"/>
      <c r="X7" s="227"/>
      <c r="Y7" s="228">
        <f t="shared" ref="Y7:Y70" si="0">EDATE(D7,3)</f>
        <v>91</v>
      </c>
      <c r="Z7" s="109">
        <v>40544</v>
      </c>
      <c r="AA7" s="106" t="str">
        <f ca="1">IF(Z7="",IF(TODAY()&gt;Y7,"NO","YES"),IF(Z7&gt;Y7,"NO",IF(Z7&lt;Y7,"YES",IF(Y7=Z7,"YES","N/A"))))</f>
        <v>NO</v>
      </c>
      <c r="AB7" s="81"/>
      <c r="AC7" s="74"/>
      <c r="AD7" s="74"/>
      <c r="AE7" s="74"/>
      <c r="AF7" s="62" t="str">
        <f ca="1">IF(I7="Claim",IF(AD7="","",IF(AE7="",IF(TODAY()&gt;AD7,"NO","YES"),IF(AE7&gt;AD7,"NO",IF(AE7&lt;AD7,"YES",IF(AD7=AE7,"YES","N/A"))))),"N/A")</f>
        <v>N/A</v>
      </c>
      <c r="AG7" s="103"/>
      <c r="AH7" s="104"/>
      <c r="AI7" s="107">
        <f>AH7+AG7</f>
        <v>0</v>
      </c>
      <c r="AJ7" s="105"/>
      <c r="AK7" s="74"/>
      <c r="AL7" s="74"/>
      <c r="AM7" s="108" t="str">
        <f>CONCATENATE(B7," ",G7)</f>
        <v xml:space="preserve">xxxxx </v>
      </c>
      <c r="AN7" s="108" t="str">
        <f>CONCATENATE(B7," ",G7," : ",N7)</f>
        <v xml:space="preserve">xxxxx  : </v>
      </c>
    </row>
    <row r="8" spans="1:40" s="76" customFormat="1" ht="13" hidden="1" x14ac:dyDescent="0.3">
      <c r="A8" s="115"/>
      <c r="B8" s="116">
        <v>11011</v>
      </c>
      <c r="C8" s="113" t="s">
        <v>4</v>
      </c>
      <c r="D8" s="117">
        <v>40634</v>
      </c>
      <c r="E8" s="118" t="s">
        <v>76</v>
      </c>
      <c r="F8" s="118"/>
      <c r="G8" s="111" t="s">
        <v>77</v>
      </c>
      <c r="H8" s="111"/>
      <c r="I8" s="119" t="s">
        <v>2057</v>
      </c>
      <c r="J8" s="113"/>
      <c r="K8" s="118"/>
      <c r="L8" s="118" t="s">
        <v>78</v>
      </c>
      <c r="M8" s="118"/>
      <c r="N8" s="120" t="s">
        <v>79</v>
      </c>
      <c r="O8" s="111" t="s">
        <v>29</v>
      </c>
      <c r="P8" s="121" t="s">
        <v>80</v>
      </c>
      <c r="Q8" s="111" t="s">
        <v>81</v>
      </c>
      <c r="R8" s="111" t="s">
        <v>9</v>
      </c>
      <c r="S8" s="121"/>
      <c r="T8" s="118"/>
      <c r="U8" s="64">
        <v>40633</v>
      </c>
      <c r="V8" s="158" t="s">
        <v>10</v>
      </c>
      <c r="W8" s="118"/>
      <c r="X8" s="159"/>
      <c r="Y8" s="160">
        <f t="shared" si="0"/>
        <v>40725</v>
      </c>
      <c r="Z8" s="117">
        <v>40662</v>
      </c>
      <c r="AA8" s="161" t="str">
        <f t="shared" ref="AA8:AA71" ca="1" si="1">IF(Z8="",IF(TODAY()&gt;Y8,"NO","YES"),IF(Z8&gt;Y8,"NO",IF(Z8&lt;Y8,"YES",IF(Y8=Z8,"YES","N/A"))))</f>
        <v>YES</v>
      </c>
      <c r="AB8" s="159"/>
      <c r="AC8" s="117"/>
      <c r="AD8" s="121"/>
      <c r="AE8" s="121"/>
      <c r="AF8" s="111" t="str">
        <f t="shared" ref="AF8:AF71" ca="1" si="2">IF(I8="Claim",IF(AD8="","",IF(AE8="",IF(TODAY()&gt;AD8,"NO","YES"),IF(AE8&gt;AD8,"NO",IF(AE8&lt;AD8,"YES",IF(AD8=AE8,"YES","N/A"))))),"N/A")</f>
        <v>N/A</v>
      </c>
      <c r="AG8" s="162"/>
      <c r="AH8" s="163"/>
      <c r="AI8" s="164">
        <f t="shared" ref="AI8:AI71" si="3">AH8+AG8</f>
        <v>0</v>
      </c>
      <c r="AJ8" s="118"/>
      <c r="AK8" s="113"/>
      <c r="AL8" s="141"/>
      <c r="AM8" s="165" t="str">
        <f t="shared" ref="AM8:AM71" si="4">CONCATENATE(B8," ",G8)</f>
        <v xml:space="preserve">11011 INDENA </v>
      </c>
      <c r="AN8" s="166" t="str">
        <f t="shared" ref="AN8:AN71" si="5">CONCATENATE(B8," ",G8," : ",N8)</f>
        <v>11011 INDENA  : Commande</v>
      </c>
    </row>
    <row r="9" spans="1:40" s="76" customFormat="1" ht="13" hidden="1" x14ac:dyDescent="0.3">
      <c r="A9" s="122"/>
      <c r="B9" s="116">
        <v>11012</v>
      </c>
      <c r="C9" s="113" t="s">
        <v>4</v>
      </c>
      <c r="D9" s="117">
        <v>40638</v>
      </c>
      <c r="E9" s="118" t="s">
        <v>82</v>
      </c>
      <c r="F9" s="118"/>
      <c r="G9" s="111" t="s">
        <v>83</v>
      </c>
      <c r="H9" s="111"/>
      <c r="I9" s="119" t="s">
        <v>5</v>
      </c>
      <c r="J9" s="113"/>
      <c r="K9" s="118"/>
      <c r="L9" s="118" t="s">
        <v>84</v>
      </c>
      <c r="M9" s="118"/>
      <c r="N9" s="120" t="s">
        <v>85</v>
      </c>
      <c r="O9" s="111" t="s">
        <v>29</v>
      </c>
      <c r="P9" s="111" t="s">
        <v>86</v>
      </c>
      <c r="Q9" s="111"/>
      <c r="R9" s="111" t="s">
        <v>87</v>
      </c>
      <c r="S9" s="111"/>
      <c r="T9" s="118"/>
      <c r="U9" s="64">
        <v>40512</v>
      </c>
      <c r="V9" s="158" t="s">
        <v>10</v>
      </c>
      <c r="W9" s="118"/>
      <c r="X9" s="113"/>
      <c r="Y9" s="117">
        <f t="shared" si="0"/>
        <v>40729</v>
      </c>
      <c r="Z9" s="117">
        <v>41697</v>
      </c>
      <c r="AA9" s="161" t="str">
        <f t="shared" ca="1" si="1"/>
        <v>NO</v>
      </c>
      <c r="AB9" s="113"/>
      <c r="AC9" s="117"/>
      <c r="AD9" s="111"/>
      <c r="AE9" s="111"/>
      <c r="AF9" s="111" t="str">
        <f t="shared" ca="1" si="2"/>
        <v/>
      </c>
      <c r="AG9" s="162"/>
      <c r="AH9" s="162"/>
      <c r="AI9" s="164">
        <f t="shared" si="3"/>
        <v>0</v>
      </c>
      <c r="AJ9" s="118"/>
      <c r="AK9" s="113"/>
      <c r="AL9" s="118"/>
      <c r="AM9" s="165" t="str">
        <f t="shared" si="4"/>
        <v>11012 Beldem</v>
      </c>
      <c r="AN9" s="165" t="str">
        <f t="shared" si="5"/>
        <v>11012 Beldem : Casses mécaniques / Performances</v>
      </c>
    </row>
    <row r="10" spans="1:40" s="76" customFormat="1" ht="13" hidden="1" x14ac:dyDescent="0.3">
      <c r="A10" s="122"/>
      <c r="B10" s="116">
        <v>11013</v>
      </c>
      <c r="C10" s="113" t="s">
        <v>4</v>
      </c>
      <c r="D10" s="117">
        <v>40640</v>
      </c>
      <c r="E10" s="118" t="s">
        <v>82</v>
      </c>
      <c r="F10" s="118"/>
      <c r="G10" s="111" t="s">
        <v>88</v>
      </c>
      <c r="H10" s="111"/>
      <c r="I10" s="119" t="s">
        <v>5</v>
      </c>
      <c r="J10" s="113"/>
      <c r="K10" s="118"/>
      <c r="L10" s="118" t="s">
        <v>89</v>
      </c>
      <c r="M10" s="118"/>
      <c r="N10" s="120" t="s">
        <v>90</v>
      </c>
      <c r="O10" s="111" t="s">
        <v>29</v>
      </c>
      <c r="P10" s="111" t="s">
        <v>86</v>
      </c>
      <c r="Q10" s="111"/>
      <c r="R10" s="111" t="s">
        <v>9</v>
      </c>
      <c r="S10" s="111"/>
      <c r="T10" s="118"/>
      <c r="U10" s="64">
        <v>40549</v>
      </c>
      <c r="V10" s="158" t="s">
        <v>10</v>
      </c>
      <c r="W10" s="118"/>
      <c r="X10" s="113"/>
      <c r="Y10" s="117">
        <f t="shared" si="0"/>
        <v>40731</v>
      </c>
      <c r="Z10" s="117">
        <v>40828</v>
      </c>
      <c r="AA10" s="161" t="str">
        <f t="shared" ca="1" si="1"/>
        <v>NO</v>
      </c>
      <c r="AB10" s="113"/>
      <c r="AC10" s="117"/>
      <c r="AD10" s="111"/>
      <c r="AE10" s="111"/>
      <c r="AF10" s="111" t="str">
        <f t="shared" ca="1" si="2"/>
        <v/>
      </c>
      <c r="AG10" s="162"/>
      <c r="AH10" s="162"/>
      <c r="AI10" s="164">
        <f t="shared" si="3"/>
        <v>0</v>
      </c>
      <c r="AJ10" s="118"/>
      <c r="AK10" s="113"/>
      <c r="AL10" s="118"/>
      <c r="AM10" s="165" t="str">
        <f t="shared" si="4"/>
        <v>11013 CJ Liaocheng GMP</v>
      </c>
      <c r="AN10" s="165" t="str">
        <f t="shared" si="5"/>
        <v>11013 CJ Liaocheng GMP :  Performances</v>
      </c>
    </row>
    <row r="11" spans="1:40" s="76" customFormat="1" ht="13" hidden="1" x14ac:dyDescent="0.3">
      <c r="A11" s="122"/>
      <c r="B11" s="116">
        <v>11014</v>
      </c>
      <c r="C11" s="113" t="s">
        <v>4</v>
      </c>
      <c r="D11" s="117">
        <v>40640</v>
      </c>
      <c r="E11" s="118" t="s">
        <v>91</v>
      </c>
      <c r="F11" s="118"/>
      <c r="G11" s="111" t="s">
        <v>92</v>
      </c>
      <c r="H11" s="111"/>
      <c r="I11" s="119" t="s">
        <v>2056</v>
      </c>
      <c r="J11" s="113"/>
      <c r="K11" s="118"/>
      <c r="L11" s="118" t="s">
        <v>93</v>
      </c>
      <c r="M11" s="118"/>
      <c r="N11" s="120" t="s">
        <v>94</v>
      </c>
      <c r="O11" s="111" t="s">
        <v>29</v>
      </c>
      <c r="P11" s="111" t="s">
        <v>86</v>
      </c>
      <c r="Q11" s="111"/>
      <c r="R11" s="111" t="s">
        <v>9</v>
      </c>
      <c r="S11" s="111"/>
      <c r="T11" s="118"/>
      <c r="U11" s="64">
        <v>40655</v>
      </c>
      <c r="V11" s="158" t="s">
        <v>10</v>
      </c>
      <c r="W11" s="118"/>
      <c r="X11" s="113"/>
      <c r="Y11" s="117">
        <f t="shared" si="0"/>
        <v>40731</v>
      </c>
      <c r="Z11" s="117">
        <v>40690</v>
      </c>
      <c r="AA11" s="161" t="str">
        <f t="shared" ca="1" si="1"/>
        <v>YES</v>
      </c>
      <c r="AB11" s="113"/>
      <c r="AC11" s="117"/>
      <c r="AD11" s="111"/>
      <c r="AE11" s="111"/>
      <c r="AF11" s="111" t="str">
        <f t="shared" ca="1" si="2"/>
        <v>N/A</v>
      </c>
      <c r="AG11" s="162"/>
      <c r="AH11" s="162"/>
      <c r="AI11" s="164">
        <f t="shared" si="3"/>
        <v>0</v>
      </c>
      <c r="AJ11" s="118"/>
      <c r="AK11" s="113"/>
      <c r="AL11" s="118"/>
      <c r="AM11" s="165" t="str">
        <f t="shared" si="4"/>
        <v>11014 OTIME</v>
      </c>
      <c r="AN11" s="165" t="str">
        <f t="shared" si="5"/>
        <v>11014 OTIME : Mauvais positionnement des clarinettes skid UF/MF</v>
      </c>
    </row>
    <row r="12" spans="1:40" s="76" customFormat="1" ht="13" hidden="1" x14ac:dyDescent="0.3">
      <c r="A12" s="122"/>
      <c r="B12" s="116">
        <v>11015</v>
      </c>
      <c r="C12" s="113" t="s">
        <v>4</v>
      </c>
      <c r="D12" s="117">
        <v>40647</v>
      </c>
      <c r="E12" s="118" t="s">
        <v>95</v>
      </c>
      <c r="F12" s="118"/>
      <c r="G12" s="111" t="s">
        <v>96</v>
      </c>
      <c r="H12" s="111"/>
      <c r="I12" s="119" t="s">
        <v>5</v>
      </c>
      <c r="J12" s="113"/>
      <c r="K12" s="118"/>
      <c r="L12" s="118" t="s">
        <v>97</v>
      </c>
      <c r="M12" s="118"/>
      <c r="N12" s="120" t="s">
        <v>98</v>
      </c>
      <c r="O12" s="111" t="s">
        <v>29</v>
      </c>
      <c r="P12" s="111" t="s">
        <v>86</v>
      </c>
      <c r="Q12" s="111"/>
      <c r="R12" s="111" t="s">
        <v>9</v>
      </c>
      <c r="S12" s="111"/>
      <c r="T12" s="118"/>
      <c r="U12" s="64">
        <v>40648</v>
      </c>
      <c r="V12" s="158" t="s">
        <v>10</v>
      </c>
      <c r="W12" s="118"/>
      <c r="X12" s="113"/>
      <c r="Y12" s="117">
        <f t="shared" si="0"/>
        <v>40738</v>
      </c>
      <c r="Z12" s="117">
        <v>40694</v>
      </c>
      <c r="AA12" s="161" t="str">
        <f t="shared" ca="1" si="1"/>
        <v>YES</v>
      </c>
      <c r="AB12" s="113"/>
      <c r="AC12" s="117"/>
      <c r="AD12" s="111"/>
      <c r="AE12" s="111"/>
      <c r="AF12" s="111" t="str">
        <f t="shared" ca="1" si="2"/>
        <v/>
      </c>
      <c r="AG12" s="162"/>
      <c r="AH12" s="162"/>
      <c r="AI12" s="164">
        <f t="shared" si="3"/>
        <v>0</v>
      </c>
      <c r="AJ12" s="118"/>
      <c r="AK12" s="113"/>
      <c r="AL12" s="118"/>
      <c r="AM12" s="165" t="str">
        <f t="shared" si="4"/>
        <v>11015 Parry India</v>
      </c>
      <c r="AN12" s="165" t="str">
        <f t="shared" si="5"/>
        <v>11015 Parry India : Débit mètre diafiltration sous air, en défaut</v>
      </c>
    </row>
    <row r="13" spans="1:40" s="76" customFormat="1" ht="13" hidden="1" x14ac:dyDescent="0.3">
      <c r="A13" s="122"/>
      <c r="B13" s="116">
        <v>11016</v>
      </c>
      <c r="C13" s="113" t="s">
        <v>4</v>
      </c>
      <c r="D13" s="117">
        <v>40651</v>
      </c>
      <c r="E13" s="118" t="s">
        <v>99</v>
      </c>
      <c r="F13" s="118"/>
      <c r="G13" s="111" t="s">
        <v>100</v>
      </c>
      <c r="H13" s="111"/>
      <c r="I13" s="119" t="s">
        <v>5</v>
      </c>
      <c r="J13" s="113"/>
      <c r="K13" s="118"/>
      <c r="L13" s="118" t="s">
        <v>101</v>
      </c>
      <c r="M13" s="118"/>
      <c r="N13" s="120" t="s">
        <v>102</v>
      </c>
      <c r="O13" s="111" t="s">
        <v>28</v>
      </c>
      <c r="P13" s="111" t="s">
        <v>103</v>
      </c>
      <c r="Q13" s="111"/>
      <c r="R13" s="111" t="s">
        <v>87</v>
      </c>
      <c r="S13" s="111"/>
      <c r="T13" s="118"/>
      <c r="U13" s="64">
        <v>40651</v>
      </c>
      <c r="V13" s="158" t="s">
        <v>10</v>
      </c>
      <c r="W13" s="118"/>
      <c r="X13" s="113"/>
      <c r="Y13" s="117">
        <f t="shared" si="0"/>
        <v>40742</v>
      </c>
      <c r="Z13" s="117">
        <v>40709</v>
      </c>
      <c r="AA13" s="161" t="str">
        <f t="shared" ca="1" si="1"/>
        <v>YES</v>
      </c>
      <c r="AB13" s="113"/>
      <c r="AC13" s="117"/>
      <c r="AD13" s="111"/>
      <c r="AE13" s="111"/>
      <c r="AF13" s="111" t="str">
        <f t="shared" ca="1" si="2"/>
        <v/>
      </c>
      <c r="AG13" s="162"/>
      <c r="AH13" s="162"/>
      <c r="AI13" s="164">
        <f t="shared" si="3"/>
        <v>0</v>
      </c>
      <c r="AJ13" s="118"/>
      <c r="AK13" s="113"/>
      <c r="AL13" s="118"/>
      <c r="AM13" s="165" t="str">
        <f t="shared" si="4"/>
        <v>11016 Roquette Lestrem/CTI</v>
      </c>
      <c r="AN13" s="165" t="str">
        <f t="shared" si="5"/>
        <v>11016 Roquette Lestrem/CTI : Diamètre membrane hors spec</v>
      </c>
    </row>
    <row r="14" spans="1:40" s="76" customFormat="1" ht="13" hidden="1" x14ac:dyDescent="0.3">
      <c r="A14" s="122"/>
      <c r="B14" s="116">
        <v>11017</v>
      </c>
      <c r="C14" s="113" t="s">
        <v>4</v>
      </c>
      <c r="D14" s="117">
        <v>40679</v>
      </c>
      <c r="E14" s="118" t="s">
        <v>76</v>
      </c>
      <c r="F14" s="118"/>
      <c r="G14" s="111" t="s">
        <v>104</v>
      </c>
      <c r="H14" s="111"/>
      <c r="I14" s="119" t="s">
        <v>2057</v>
      </c>
      <c r="J14" s="113"/>
      <c r="K14" s="118"/>
      <c r="L14" s="118" t="s">
        <v>105</v>
      </c>
      <c r="M14" s="118"/>
      <c r="N14" s="120" t="s">
        <v>106</v>
      </c>
      <c r="O14" s="111" t="s">
        <v>29</v>
      </c>
      <c r="P14" s="111" t="s">
        <v>80</v>
      </c>
      <c r="Q14" s="111" t="s">
        <v>81</v>
      </c>
      <c r="R14" s="111" t="s">
        <v>9</v>
      </c>
      <c r="S14" s="111"/>
      <c r="T14" s="118"/>
      <c r="U14" s="64">
        <v>40672</v>
      </c>
      <c r="V14" s="158" t="s">
        <v>10</v>
      </c>
      <c r="W14" s="118"/>
      <c r="X14" s="113"/>
      <c r="Y14" s="117">
        <f t="shared" si="0"/>
        <v>40771</v>
      </c>
      <c r="Z14" s="117">
        <v>40757</v>
      </c>
      <c r="AA14" s="161" t="str">
        <f t="shared" ca="1" si="1"/>
        <v>YES</v>
      </c>
      <c r="AB14" s="113"/>
      <c r="AC14" s="117"/>
      <c r="AD14" s="111"/>
      <c r="AE14" s="111"/>
      <c r="AF14" s="111" t="str">
        <f t="shared" ca="1" si="2"/>
        <v>N/A</v>
      </c>
      <c r="AG14" s="162"/>
      <c r="AH14" s="162"/>
      <c r="AI14" s="164">
        <f t="shared" si="3"/>
        <v>0</v>
      </c>
      <c r="AJ14" s="118"/>
      <c r="AK14" s="113"/>
      <c r="AL14" s="118"/>
      <c r="AM14" s="165" t="str">
        <f t="shared" si="4"/>
        <v>11017 ARD</v>
      </c>
      <c r="AN14" s="165" t="str">
        <f t="shared" si="5"/>
        <v>11017 ARD : Oubli envoi pièces / Pilotage</v>
      </c>
    </row>
    <row r="15" spans="1:40" s="76" customFormat="1" ht="13" hidden="1" x14ac:dyDescent="0.3">
      <c r="A15" s="122"/>
      <c r="B15" s="116">
        <v>11018</v>
      </c>
      <c r="C15" s="113" t="s">
        <v>4</v>
      </c>
      <c r="D15" s="117">
        <v>40681</v>
      </c>
      <c r="E15" s="118" t="s">
        <v>82</v>
      </c>
      <c r="F15" s="118"/>
      <c r="G15" s="111" t="s">
        <v>107</v>
      </c>
      <c r="H15" s="111"/>
      <c r="I15" s="119" t="s">
        <v>2057</v>
      </c>
      <c r="J15" s="113"/>
      <c r="K15" s="118"/>
      <c r="L15" s="118" t="s">
        <v>108</v>
      </c>
      <c r="M15" s="118"/>
      <c r="N15" s="120" t="s">
        <v>109</v>
      </c>
      <c r="O15" s="111" t="s">
        <v>29</v>
      </c>
      <c r="P15" s="111" t="s">
        <v>86</v>
      </c>
      <c r="Q15" s="111"/>
      <c r="R15" s="111" t="s">
        <v>9</v>
      </c>
      <c r="S15" s="111"/>
      <c r="T15" s="118"/>
      <c r="U15" s="64">
        <v>40676</v>
      </c>
      <c r="V15" s="158" t="s">
        <v>10</v>
      </c>
      <c r="W15" s="118"/>
      <c r="X15" s="113"/>
      <c r="Y15" s="117">
        <f t="shared" si="0"/>
        <v>40773</v>
      </c>
      <c r="Z15" s="117">
        <v>40757</v>
      </c>
      <c r="AA15" s="161" t="str">
        <f t="shared" ca="1" si="1"/>
        <v>YES</v>
      </c>
      <c r="AB15" s="113"/>
      <c r="AC15" s="117"/>
      <c r="AD15" s="111"/>
      <c r="AE15" s="111"/>
      <c r="AF15" s="111" t="str">
        <f t="shared" ca="1" si="2"/>
        <v>N/A</v>
      </c>
      <c r="AG15" s="162"/>
      <c r="AH15" s="162"/>
      <c r="AI15" s="164">
        <f t="shared" si="3"/>
        <v>0</v>
      </c>
      <c r="AJ15" s="118"/>
      <c r="AK15" s="113"/>
      <c r="AL15" s="118"/>
      <c r="AM15" s="165" t="str">
        <f t="shared" si="4"/>
        <v>11018 De Smet</v>
      </c>
      <c r="AN15" s="165" t="str">
        <f t="shared" si="5"/>
        <v>11018 De Smet : Oubli commande rotamètre</v>
      </c>
    </row>
    <row r="16" spans="1:40" s="76" customFormat="1" ht="13" hidden="1" x14ac:dyDescent="0.3">
      <c r="A16" s="122"/>
      <c r="B16" s="116">
        <v>11019</v>
      </c>
      <c r="C16" s="113" t="s">
        <v>4</v>
      </c>
      <c r="D16" s="117">
        <v>40715</v>
      </c>
      <c r="E16" s="118" t="s">
        <v>110</v>
      </c>
      <c r="F16" s="118"/>
      <c r="G16" s="111" t="s">
        <v>111</v>
      </c>
      <c r="H16" s="111"/>
      <c r="I16" s="119" t="s">
        <v>2057</v>
      </c>
      <c r="J16" s="113"/>
      <c r="K16" s="118"/>
      <c r="L16" s="118" t="s">
        <v>112</v>
      </c>
      <c r="M16" s="118"/>
      <c r="N16" s="120" t="s">
        <v>113</v>
      </c>
      <c r="O16" s="111" t="s">
        <v>29</v>
      </c>
      <c r="P16" s="111" t="s">
        <v>80</v>
      </c>
      <c r="Q16" s="111" t="s">
        <v>81</v>
      </c>
      <c r="R16" s="111" t="s">
        <v>9</v>
      </c>
      <c r="S16" s="111"/>
      <c r="T16" s="118"/>
      <c r="U16" s="64">
        <v>40709</v>
      </c>
      <c r="V16" s="158" t="s">
        <v>10</v>
      </c>
      <c r="W16" s="118"/>
      <c r="X16" s="113"/>
      <c r="Y16" s="117">
        <f t="shared" si="0"/>
        <v>40807</v>
      </c>
      <c r="Z16" s="117">
        <v>40757</v>
      </c>
      <c r="AA16" s="161" t="str">
        <f t="shared" ca="1" si="1"/>
        <v>YES</v>
      </c>
      <c r="AB16" s="113"/>
      <c r="AC16" s="117"/>
      <c r="AD16" s="111"/>
      <c r="AE16" s="111"/>
      <c r="AF16" s="111" t="str">
        <f t="shared" ca="1" si="2"/>
        <v>N/A</v>
      </c>
      <c r="AG16" s="162"/>
      <c r="AH16" s="162"/>
      <c r="AI16" s="164">
        <f t="shared" si="3"/>
        <v>0</v>
      </c>
      <c r="AJ16" s="118"/>
      <c r="AK16" s="113"/>
      <c r="AL16" s="118"/>
      <c r="AM16" s="165" t="str">
        <f t="shared" si="4"/>
        <v>11019 FACEO</v>
      </c>
      <c r="AN16" s="165" t="str">
        <f t="shared" si="5"/>
        <v>11019 FACEO : Coupure électricité/Arrêt gpe froid/Chambre froide</v>
      </c>
    </row>
    <row r="17" spans="1:40" s="76" customFormat="1" ht="13" hidden="1" x14ac:dyDescent="0.3">
      <c r="A17" s="122"/>
      <c r="B17" s="116">
        <v>11020</v>
      </c>
      <c r="C17" s="113" t="s">
        <v>4</v>
      </c>
      <c r="D17" s="117">
        <v>40715</v>
      </c>
      <c r="E17" s="118" t="s">
        <v>110</v>
      </c>
      <c r="F17" s="118"/>
      <c r="G17" s="111" t="s">
        <v>114</v>
      </c>
      <c r="H17" s="111"/>
      <c r="I17" s="119" t="s">
        <v>2057</v>
      </c>
      <c r="J17" s="113"/>
      <c r="K17" s="118"/>
      <c r="L17" s="118" t="s">
        <v>112</v>
      </c>
      <c r="M17" s="118"/>
      <c r="N17" s="120" t="s">
        <v>115</v>
      </c>
      <c r="O17" s="111" t="s">
        <v>29</v>
      </c>
      <c r="P17" s="111" t="s">
        <v>80</v>
      </c>
      <c r="Q17" s="111" t="s">
        <v>81</v>
      </c>
      <c r="R17" s="111" t="s">
        <v>9</v>
      </c>
      <c r="S17" s="111"/>
      <c r="T17" s="118"/>
      <c r="U17" s="64">
        <v>40709</v>
      </c>
      <c r="V17" s="158" t="s">
        <v>10</v>
      </c>
      <c r="W17" s="118"/>
      <c r="X17" s="113"/>
      <c r="Y17" s="117">
        <f t="shared" si="0"/>
        <v>40807</v>
      </c>
      <c r="Z17" s="117">
        <v>40757</v>
      </c>
      <c r="AA17" s="161" t="str">
        <f t="shared" ca="1" si="1"/>
        <v>YES</v>
      </c>
      <c r="AB17" s="113"/>
      <c r="AC17" s="117"/>
      <c r="AD17" s="111"/>
      <c r="AE17" s="111"/>
      <c r="AF17" s="111" t="str">
        <f t="shared" ca="1" si="2"/>
        <v>N/A</v>
      </c>
      <c r="AG17" s="162"/>
      <c r="AH17" s="162"/>
      <c r="AI17" s="164">
        <f t="shared" si="3"/>
        <v>0</v>
      </c>
      <c r="AJ17" s="118"/>
      <c r="AK17" s="113"/>
      <c r="AL17" s="118"/>
      <c r="AM17" s="165" t="str">
        <f t="shared" si="4"/>
        <v>11020 FACEO / E2MI</v>
      </c>
      <c r="AN17" s="165" t="str">
        <f t="shared" si="5"/>
        <v>11020 FACEO / E2MI : Perçage cuve par chariot élévateur</v>
      </c>
    </row>
    <row r="18" spans="1:40" s="76" customFormat="1" ht="13" hidden="1" x14ac:dyDescent="0.3">
      <c r="A18" s="122"/>
      <c r="B18" s="116">
        <v>11021</v>
      </c>
      <c r="C18" s="113" t="s">
        <v>4</v>
      </c>
      <c r="D18" s="117">
        <v>40717</v>
      </c>
      <c r="E18" s="118" t="s">
        <v>116</v>
      </c>
      <c r="F18" s="118"/>
      <c r="G18" s="111" t="s">
        <v>117</v>
      </c>
      <c r="H18" s="111"/>
      <c r="I18" s="119" t="s">
        <v>2057</v>
      </c>
      <c r="J18" s="113"/>
      <c r="K18" s="118"/>
      <c r="L18" s="118" t="s">
        <v>118</v>
      </c>
      <c r="M18" s="118"/>
      <c r="N18" s="120" t="s">
        <v>119</v>
      </c>
      <c r="O18" s="111" t="s">
        <v>29</v>
      </c>
      <c r="P18" s="111" t="s">
        <v>86</v>
      </c>
      <c r="Q18" s="111"/>
      <c r="R18" s="111" t="s">
        <v>9</v>
      </c>
      <c r="S18" s="111"/>
      <c r="T18" s="118"/>
      <c r="U18" s="64">
        <v>40710</v>
      </c>
      <c r="V18" s="158" t="s">
        <v>6</v>
      </c>
      <c r="W18" s="118" t="s">
        <v>116</v>
      </c>
      <c r="X18" s="113"/>
      <c r="Y18" s="117">
        <f t="shared" si="0"/>
        <v>40809</v>
      </c>
      <c r="Z18" s="117">
        <v>40934</v>
      </c>
      <c r="AA18" s="161" t="str">
        <f t="shared" ca="1" si="1"/>
        <v>NO</v>
      </c>
      <c r="AB18" s="113"/>
      <c r="AC18" s="117"/>
      <c r="AD18" s="111"/>
      <c r="AE18" s="111"/>
      <c r="AF18" s="111" t="str">
        <f t="shared" ca="1" si="2"/>
        <v>N/A</v>
      </c>
      <c r="AG18" s="162"/>
      <c r="AH18" s="162"/>
      <c r="AI18" s="164">
        <f t="shared" si="3"/>
        <v>0</v>
      </c>
      <c r="AJ18" s="118"/>
      <c r="AK18" s="113"/>
      <c r="AL18" s="118"/>
      <c r="AM18" s="165" t="str">
        <f t="shared" si="4"/>
        <v>11021 CJ Indonesia-PROSEL 2</v>
      </c>
      <c r="AN18" s="165" t="str">
        <f t="shared" si="5"/>
        <v xml:space="preserve">11021 CJ Indonesia-PROSEL 2 : Griffes for modules have not been ordered </v>
      </c>
    </row>
    <row r="19" spans="1:40" s="76" customFormat="1" ht="13" hidden="1" x14ac:dyDescent="0.3">
      <c r="A19" s="122"/>
      <c r="B19" s="116">
        <v>11022</v>
      </c>
      <c r="C19" s="113" t="s">
        <v>4</v>
      </c>
      <c r="D19" s="117">
        <v>40722</v>
      </c>
      <c r="E19" s="118" t="s">
        <v>120</v>
      </c>
      <c r="F19" s="118"/>
      <c r="G19" s="111" t="s">
        <v>121</v>
      </c>
      <c r="H19" s="111"/>
      <c r="I19" s="119" t="s">
        <v>2056</v>
      </c>
      <c r="J19" s="113"/>
      <c r="K19" s="118"/>
      <c r="L19" s="118" t="s">
        <v>122</v>
      </c>
      <c r="M19" s="118"/>
      <c r="N19" s="120" t="s">
        <v>123</v>
      </c>
      <c r="O19" s="111" t="s">
        <v>29</v>
      </c>
      <c r="P19" s="111" t="s">
        <v>86</v>
      </c>
      <c r="Q19" s="111"/>
      <c r="R19" s="111" t="s">
        <v>9</v>
      </c>
      <c r="S19" s="111"/>
      <c r="T19" s="118"/>
      <c r="U19" s="64">
        <v>40744</v>
      </c>
      <c r="V19" s="158" t="s">
        <v>10</v>
      </c>
      <c r="W19" s="118"/>
      <c r="X19" s="113"/>
      <c r="Y19" s="117">
        <f t="shared" si="0"/>
        <v>40814</v>
      </c>
      <c r="Z19" s="117">
        <v>40808</v>
      </c>
      <c r="AA19" s="161" t="str">
        <f t="shared" ca="1" si="1"/>
        <v>YES</v>
      </c>
      <c r="AB19" s="113"/>
      <c r="AC19" s="117"/>
      <c r="AD19" s="111"/>
      <c r="AE19" s="111"/>
      <c r="AF19" s="111" t="str">
        <f t="shared" ca="1" si="2"/>
        <v>N/A</v>
      </c>
      <c r="AG19" s="162"/>
      <c r="AH19" s="162"/>
      <c r="AI19" s="164">
        <f t="shared" si="3"/>
        <v>0</v>
      </c>
      <c r="AJ19" s="118"/>
      <c r="AK19" s="113"/>
      <c r="AL19" s="118"/>
      <c r="AM19" s="165" t="str">
        <f t="shared" si="4"/>
        <v>11022 JOHNSON</v>
      </c>
      <c r="AN19" s="165" t="str">
        <f t="shared" si="5"/>
        <v>11022 JOHNSON : Diamètre crépines pas respecté / plans</v>
      </c>
    </row>
    <row r="20" spans="1:40" s="76" customFormat="1" ht="13" hidden="1" x14ac:dyDescent="0.3">
      <c r="A20" s="122"/>
      <c r="B20" s="116">
        <v>11023</v>
      </c>
      <c r="C20" s="113" t="s">
        <v>4</v>
      </c>
      <c r="D20" s="117">
        <v>40722</v>
      </c>
      <c r="E20" s="118" t="s">
        <v>120</v>
      </c>
      <c r="F20" s="118"/>
      <c r="G20" s="111" t="s">
        <v>124</v>
      </c>
      <c r="H20" s="111"/>
      <c r="I20" s="119" t="s">
        <v>2057</v>
      </c>
      <c r="J20" s="113"/>
      <c r="K20" s="118"/>
      <c r="L20" s="118" t="s">
        <v>122</v>
      </c>
      <c r="M20" s="118"/>
      <c r="N20" s="120" t="s">
        <v>125</v>
      </c>
      <c r="O20" s="111" t="s">
        <v>29</v>
      </c>
      <c r="P20" s="111" t="s">
        <v>86</v>
      </c>
      <c r="Q20" s="111"/>
      <c r="R20" s="111" t="s">
        <v>9</v>
      </c>
      <c r="S20" s="111"/>
      <c r="T20" s="118"/>
      <c r="U20" s="64">
        <v>40766</v>
      </c>
      <c r="V20" s="158" t="s">
        <v>10</v>
      </c>
      <c r="W20" s="118"/>
      <c r="X20" s="113"/>
      <c r="Y20" s="117">
        <f t="shared" si="0"/>
        <v>40814</v>
      </c>
      <c r="Z20" s="117">
        <v>40806</v>
      </c>
      <c r="AA20" s="161" t="str">
        <f t="shared" ca="1" si="1"/>
        <v>YES</v>
      </c>
      <c r="AB20" s="113"/>
      <c r="AC20" s="117"/>
      <c r="AD20" s="111"/>
      <c r="AE20" s="111"/>
      <c r="AF20" s="111" t="str">
        <f t="shared" ca="1" si="2"/>
        <v>N/A</v>
      </c>
      <c r="AG20" s="162"/>
      <c r="AH20" s="162"/>
      <c r="AI20" s="164">
        <f t="shared" si="3"/>
        <v>0</v>
      </c>
      <c r="AJ20" s="118"/>
      <c r="AK20" s="113"/>
      <c r="AL20" s="118"/>
      <c r="AM20" s="165" t="str">
        <f t="shared" si="4"/>
        <v>11023 IANSA</v>
      </c>
      <c r="AN20" s="165" t="str">
        <f t="shared" si="5"/>
        <v>11023 IANSA : Vérif plans / Diamètre externe de tige</v>
      </c>
    </row>
    <row r="21" spans="1:40" s="76" customFormat="1" ht="13" hidden="1" x14ac:dyDescent="0.3">
      <c r="A21" s="122"/>
      <c r="B21" s="116">
        <v>11024</v>
      </c>
      <c r="C21" s="113" t="s">
        <v>4</v>
      </c>
      <c r="D21" s="117">
        <v>40722</v>
      </c>
      <c r="E21" s="118" t="s">
        <v>120</v>
      </c>
      <c r="F21" s="118"/>
      <c r="G21" s="111" t="s">
        <v>124</v>
      </c>
      <c r="H21" s="111"/>
      <c r="I21" s="119" t="s">
        <v>2057</v>
      </c>
      <c r="J21" s="113"/>
      <c r="K21" s="118"/>
      <c r="L21" s="118" t="s">
        <v>122</v>
      </c>
      <c r="M21" s="118"/>
      <c r="N21" s="120" t="s">
        <v>126</v>
      </c>
      <c r="O21" s="111" t="s">
        <v>29</v>
      </c>
      <c r="P21" s="111" t="s">
        <v>86</v>
      </c>
      <c r="Q21" s="111"/>
      <c r="R21" s="111" t="s">
        <v>9</v>
      </c>
      <c r="S21" s="111"/>
      <c r="T21" s="118"/>
      <c r="U21" s="64">
        <v>40766</v>
      </c>
      <c r="V21" s="158" t="s">
        <v>10</v>
      </c>
      <c r="W21" s="118"/>
      <c r="X21" s="113"/>
      <c r="Y21" s="117">
        <f t="shared" si="0"/>
        <v>40814</v>
      </c>
      <c r="Z21" s="117">
        <v>40806</v>
      </c>
      <c r="AA21" s="161" t="str">
        <f t="shared" ca="1" si="1"/>
        <v>YES</v>
      </c>
      <c r="AB21" s="113"/>
      <c r="AC21" s="117"/>
      <c r="AD21" s="111"/>
      <c r="AE21" s="111"/>
      <c r="AF21" s="111" t="str">
        <f t="shared" ca="1" si="2"/>
        <v>N/A</v>
      </c>
      <c r="AG21" s="162"/>
      <c r="AH21" s="162"/>
      <c r="AI21" s="164">
        <f t="shared" si="3"/>
        <v>0</v>
      </c>
      <c r="AJ21" s="118"/>
      <c r="AK21" s="113"/>
      <c r="AL21" s="118"/>
      <c r="AM21" s="165" t="str">
        <f t="shared" si="4"/>
        <v>11024 IANSA</v>
      </c>
      <c r="AN21" s="165" t="str">
        <f t="shared" si="5"/>
        <v>11024 IANSA : Vérification plans / connexion des soupapes</v>
      </c>
    </row>
    <row r="22" spans="1:40" s="76" customFormat="1" ht="13" hidden="1" x14ac:dyDescent="0.3">
      <c r="A22" s="122"/>
      <c r="B22" s="116">
        <v>11025</v>
      </c>
      <c r="C22" s="113" t="s">
        <v>4</v>
      </c>
      <c r="D22" s="117">
        <v>40725</v>
      </c>
      <c r="E22" s="118" t="s">
        <v>120</v>
      </c>
      <c r="F22" s="118"/>
      <c r="G22" s="111" t="s">
        <v>127</v>
      </c>
      <c r="H22" s="111"/>
      <c r="I22" s="119" t="s">
        <v>2056</v>
      </c>
      <c r="J22" s="113"/>
      <c r="K22" s="118"/>
      <c r="L22" s="118" t="s">
        <v>122</v>
      </c>
      <c r="M22" s="118" t="s">
        <v>13</v>
      </c>
      <c r="N22" s="120" t="s">
        <v>128</v>
      </c>
      <c r="O22" s="111" t="s">
        <v>29</v>
      </c>
      <c r="P22" s="111" t="s">
        <v>86</v>
      </c>
      <c r="Q22" s="111"/>
      <c r="R22" s="111" t="s">
        <v>9</v>
      </c>
      <c r="S22" s="111"/>
      <c r="T22" s="118"/>
      <c r="U22" s="64">
        <v>40717</v>
      </c>
      <c r="V22" s="158" t="s">
        <v>10</v>
      </c>
      <c r="W22" s="118"/>
      <c r="X22" s="113"/>
      <c r="Y22" s="117">
        <f t="shared" si="0"/>
        <v>40817</v>
      </c>
      <c r="Z22" s="117">
        <v>40806</v>
      </c>
      <c r="AA22" s="161" t="str">
        <f t="shared" ca="1" si="1"/>
        <v>YES</v>
      </c>
      <c r="AB22" s="113"/>
      <c r="AC22" s="117"/>
      <c r="AD22" s="111"/>
      <c r="AE22" s="111"/>
      <c r="AF22" s="111" t="str">
        <f t="shared" ca="1" si="2"/>
        <v>N/A</v>
      </c>
      <c r="AG22" s="162"/>
      <c r="AH22" s="162"/>
      <c r="AI22" s="164">
        <f t="shared" si="3"/>
        <v>0</v>
      </c>
      <c r="AJ22" s="118"/>
      <c r="AK22" s="113"/>
      <c r="AL22" s="118"/>
      <c r="AM22" s="165" t="str">
        <f t="shared" si="4"/>
        <v>11025 IANSA / VAPOR INDUSTRIAL</v>
      </c>
      <c r="AN22" s="165" t="str">
        <f t="shared" si="5"/>
        <v>11025 IANSA / VAPOR INDUSTRIAL : Pb orientation axiale fond colonne / Tuyauterie</v>
      </c>
    </row>
    <row r="23" spans="1:40" s="76" customFormat="1" ht="13" hidden="1" x14ac:dyDescent="0.3">
      <c r="A23" s="122"/>
      <c r="B23" s="116">
        <v>11026</v>
      </c>
      <c r="C23" s="113" t="s">
        <v>4</v>
      </c>
      <c r="D23" s="117">
        <v>40732</v>
      </c>
      <c r="E23" s="118" t="s">
        <v>129</v>
      </c>
      <c r="F23" s="118"/>
      <c r="G23" s="111" t="s">
        <v>130</v>
      </c>
      <c r="H23" s="111"/>
      <c r="I23" s="119" t="s">
        <v>5</v>
      </c>
      <c r="J23" s="113"/>
      <c r="K23" s="118"/>
      <c r="L23" s="118" t="s">
        <v>131</v>
      </c>
      <c r="M23" s="118" t="s">
        <v>16</v>
      </c>
      <c r="N23" s="120" t="s">
        <v>132</v>
      </c>
      <c r="O23" s="111" t="s">
        <v>28</v>
      </c>
      <c r="P23" s="111" t="s">
        <v>103</v>
      </c>
      <c r="Q23" s="111"/>
      <c r="R23" s="111" t="s">
        <v>87</v>
      </c>
      <c r="S23" s="111"/>
      <c r="T23" s="118"/>
      <c r="U23" s="64">
        <v>40750</v>
      </c>
      <c r="V23" s="158" t="s">
        <v>10</v>
      </c>
      <c r="W23" s="118"/>
      <c r="X23" s="113"/>
      <c r="Y23" s="117">
        <f t="shared" si="0"/>
        <v>40824</v>
      </c>
      <c r="Z23" s="117">
        <v>40765</v>
      </c>
      <c r="AA23" s="161" t="str">
        <f t="shared" ca="1" si="1"/>
        <v>YES</v>
      </c>
      <c r="AB23" s="113"/>
      <c r="AC23" s="117"/>
      <c r="AD23" s="111"/>
      <c r="AE23" s="111"/>
      <c r="AF23" s="111" t="str">
        <f t="shared" ca="1" si="2"/>
        <v/>
      </c>
      <c r="AG23" s="162"/>
      <c r="AH23" s="162"/>
      <c r="AI23" s="164">
        <f t="shared" si="3"/>
        <v>0</v>
      </c>
      <c r="AJ23" s="118"/>
      <c r="AK23" s="113"/>
      <c r="AL23" s="118"/>
      <c r="AM23" s="165" t="str">
        <f t="shared" si="4"/>
        <v>11026 Mantequerias Arias</v>
      </c>
      <c r="AN23" s="165" t="str">
        <f t="shared" si="5"/>
        <v>11026 Mantequerias Arias : Casse mbne nette longitudinale</v>
      </c>
    </row>
    <row r="24" spans="1:40" s="76" customFormat="1" ht="13" hidden="1" x14ac:dyDescent="0.3">
      <c r="A24" s="122"/>
      <c r="B24" s="116">
        <v>11027</v>
      </c>
      <c r="C24" s="113" t="s">
        <v>4</v>
      </c>
      <c r="D24" s="117">
        <v>40735</v>
      </c>
      <c r="E24" s="118" t="s">
        <v>133</v>
      </c>
      <c r="F24" s="118"/>
      <c r="G24" s="111" t="s">
        <v>134</v>
      </c>
      <c r="H24" s="111"/>
      <c r="I24" s="119" t="s">
        <v>5</v>
      </c>
      <c r="J24" s="113"/>
      <c r="K24" s="118"/>
      <c r="L24" s="118" t="s">
        <v>135</v>
      </c>
      <c r="M24" s="118" t="s">
        <v>13</v>
      </c>
      <c r="N24" s="120" t="s">
        <v>136</v>
      </c>
      <c r="O24" s="123" t="s">
        <v>28</v>
      </c>
      <c r="P24" s="123" t="s">
        <v>103</v>
      </c>
      <c r="Q24" s="123"/>
      <c r="R24" s="123" t="s">
        <v>87</v>
      </c>
      <c r="S24" s="123"/>
      <c r="T24" s="118"/>
      <c r="U24" s="64">
        <v>40617</v>
      </c>
      <c r="V24" s="158" t="s">
        <v>10</v>
      </c>
      <c r="W24" s="118"/>
      <c r="X24" s="113"/>
      <c r="Y24" s="117">
        <f t="shared" si="0"/>
        <v>40827</v>
      </c>
      <c r="Z24" s="117">
        <v>40807</v>
      </c>
      <c r="AA24" s="161" t="str">
        <f t="shared" ca="1" si="1"/>
        <v>YES</v>
      </c>
      <c r="AB24" s="113"/>
      <c r="AC24" s="117"/>
      <c r="AD24" s="111"/>
      <c r="AE24" s="111"/>
      <c r="AF24" s="111" t="str">
        <f t="shared" ca="1" si="2"/>
        <v/>
      </c>
      <c r="AG24" s="162"/>
      <c r="AH24" s="162"/>
      <c r="AI24" s="164">
        <f t="shared" si="3"/>
        <v>0</v>
      </c>
      <c r="AJ24" s="118"/>
      <c r="AK24" s="113"/>
      <c r="AL24" s="118"/>
      <c r="AM24" s="165" t="str">
        <f t="shared" si="4"/>
        <v>11027 GARDOVIAL</v>
      </c>
      <c r="AN24" s="165" t="str">
        <f t="shared" si="5"/>
        <v>11027 GARDOVIAL : Pb de coloration / moût de raisin</v>
      </c>
    </row>
    <row r="25" spans="1:40" s="76" customFormat="1" ht="13" hidden="1" x14ac:dyDescent="0.3">
      <c r="A25" s="122"/>
      <c r="B25" s="116">
        <v>11028</v>
      </c>
      <c r="C25" s="113" t="s">
        <v>4</v>
      </c>
      <c r="D25" s="117">
        <v>40744</v>
      </c>
      <c r="E25" s="118" t="s">
        <v>116</v>
      </c>
      <c r="F25" s="118"/>
      <c r="G25" s="111" t="s">
        <v>137</v>
      </c>
      <c r="H25" s="111"/>
      <c r="I25" s="119" t="s">
        <v>2056</v>
      </c>
      <c r="J25" s="113"/>
      <c r="K25" s="118"/>
      <c r="L25" s="118"/>
      <c r="M25" s="118"/>
      <c r="N25" s="120" t="s">
        <v>138</v>
      </c>
      <c r="O25" s="111" t="s">
        <v>29</v>
      </c>
      <c r="P25" s="111" t="s">
        <v>86</v>
      </c>
      <c r="Q25" s="111"/>
      <c r="R25" s="111" t="s">
        <v>87</v>
      </c>
      <c r="S25" s="111"/>
      <c r="T25" s="118"/>
      <c r="U25" s="64">
        <v>40830</v>
      </c>
      <c r="V25" s="158" t="s">
        <v>10</v>
      </c>
      <c r="W25" s="118"/>
      <c r="X25" s="113"/>
      <c r="Y25" s="117">
        <f t="shared" si="0"/>
        <v>40836</v>
      </c>
      <c r="Z25" s="117">
        <v>40835</v>
      </c>
      <c r="AA25" s="161" t="str">
        <f t="shared" ca="1" si="1"/>
        <v>YES</v>
      </c>
      <c r="AB25" s="113"/>
      <c r="AC25" s="117"/>
      <c r="AD25" s="111"/>
      <c r="AE25" s="111"/>
      <c r="AF25" s="111" t="str">
        <f t="shared" ca="1" si="2"/>
        <v>N/A</v>
      </c>
      <c r="AG25" s="162"/>
      <c r="AH25" s="162"/>
      <c r="AI25" s="164">
        <f t="shared" si="3"/>
        <v>0</v>
      </c>
      <c r="AJ25" s="118"/>
      <c r="AK25" s="113"/>
      <c r="AL25" s="118"/>
      <c r="AM25" s="165" t="str">
        <f t="shared" si="4"/>
        <v>11028 FRIENDLINK</v>
      </c>
      <c r="AN25" s="165" t="str">
        <f t="shared" si="5"/>
        <v>11028 FRIENDLINK : CRANE valves sold to NVS by FRIENDLINK</v>
      </c>
    </row>
    <row r="26" spans="1:40" s="76" customFormat="1" ht="13" hidden="1" x14ac:dyDescent="0.3">
      <c r="A26" s="122"/>
      <c r="B26" s="116">
        <v>11029</v>
      </c>
      <c r="C26" s="113" t="s">
        <v>4</v>
      </c>
      <c r="D26" s="117">
        <v>40744</v>
      </c>
      <c r="E26" s="118" t="s">
        <v>116</v>
      </c>
      <c r="F26" s="118"/>
      <c r="G26" s="111" t="s">
        <v>139</v>
      </c>
      <c r="H26" s="111"/>
      <c r="I26" s="119" t="s">
        <v>2056</v>
      </c>
      <c r="J26" s="113"/>
      <c r="K26" s="118"/>
      <c r="L26" s="118" t="s">
        <v>140</v>
      </c>
      <c r="M26" s="118" t="s">
        <v>11</v>
      </c>
      <c r="N26" s="120" t="s">
        <v>141</v>
      </c>
      <c r="O26" s="111" t="s">
        <v>29</v>
      </c>
      <c r="P26" s="111" t="s">
        <v>86</v>
      </c>
      <c r="Q26" s="111"/>
      <c r="R26" s="111" t="s">
        <v>87</v>
      </c>
      <c r="S26" s="111"/>
      <c r="T26" s="118"/>
      <c r="U26" s="64">
        <v>40732</v>
      </c>
      <c r="V26" s="158" t="s">
        <v>10</v>
      </c>
      <c r="W26" s="118"/>
      <c r="X26" s="113"/>
      <c r="Y26" s="117">
        <f t="shared" si="0"/>
        <v>40836</v>
      </c>
      <c r="Z26" s="117">
        <v>40835</v>
      </c>
      <c r="AA26" s="161" t="str">
        <f t="shared" ca="1" si="1"/>
        <v>YES</v>
      </c>
      <c r="AB26" s="113"/>
      <c r="AC26" s="117"/>
      <c r="AD26" s="111"/>
      <c r="AE26" s="111"/>
      <c r="AF26" s="111" t="str">
        <f t="shared" ca="1" si="2"/>
        <v>N/A</v>
      </c>
      <c r="AG26" s="162"/>
      <c r="AH26" s="162"/>
      <c r="AI26" s="164">
        <f t="shared" si="3"/>
        <v>0</v>
      </c>
      <c r="AJ26" s="118"/>
      <c r="AK26" s="113"/>
      <c r="AL26" s="118"/>
      <c r="AM26" s="165" t="str">
        <f t="shared" si="4"/>
        <v>11029 MERSEN XIANDA</v>
      </c>
      <c r="AN26" s="165" t="str">
        <f t="shared" si="5"/>
        <v>11029 MERSEN XIANDA : Wrong size of gaskets manhole</v>
      </c>
    </row>
    <row r="27" spans="1:40" s="76" customFormat="1" ht="13" hidden="1" x14ac:dyDescent="0.3">
      <c r="A27" s="122"/>
      <c r="B27" s="116">
        <v>11030</v>
      </c>
      <c r="C27" s="113" t="s">
        <v>4</v>
      </c>
      <c r="D27" s="117">
        <v>40757</v>
      </c>
      <c r="E27" s="118" t="s">
        <v>82</v>
      </c>
      <c r="F27" s="118"/>
      <c r="G27" s="111" t="s">
        <v>142</v>
      </c>
      <c r="H27" s="111"/>
      <c r="I27" s="119" t="s">
        <v>5</v>
      </c>
      <c r="J27" s="113"/>
      <c r="K27" s="118"/>
      <c r="L27" s="118" t="s">
        <v>143</v>
      </c>
      <c r="M27" s="118" t="s">
        <v>11</v>
      </c>
      <c r="N27" s="120" t="s">
        <v>144</v>
      </c>
      <c r="O27" s="111" t="s">
        <v>29</v>
      </c>
      <c r="P27" s="111" t="s">
        <v>86</v>
      </c>
      <c r="Q27" s="111"/>
      <c r="R27" s="111" t="s">
        <v>145</v>
      </c>
      <c r="S27" s="111"/>
      <c r="T27" s="118"/>
      <c r="U27" s="64">
        <v>40756</v>
      </c>
      <c r="V27" s="158" t="s">
        <v>6</v>
      </c>
      <c r="W27" s="118" t="s">
        <v>146</v>
      </c>
      <c r="X27" s="113"/>
      <c r="Y27" s="117">
        <f t="shared" si="0"/>
        <v>40849</v>
      </c>
      <c r="Z27" s="117">
        <v>40891</v>
      </c>
      <c r="AA27" s="161" t="str">
        <f t="shared" ca="1" si="1"/>
        <v>NO</v>
      </c>
      <c r="AB27" s="113"/>
      <c r="AC27" s="117"/>
      <c r="AD27" s="111"/>
      <c r="AE27" s="111"/>
      <c r="AF27" s="111" t="str">
        <f t="shared" ca="1" si="2"/>
        <v/>
      </c>
      <c r="AG27" s="162"/>
      <c r="AH27" s="162"/>
      <c r="AI27" s="164">
        <f t="shared" si="3"/>
        <v>0</v>
      </c>
      <c r="AJ27" s="118"/>
      <c r="AK27" s="113"/>
      <c r="AL27" s="118"/>
      <c r="AM27" s="165" t="str">
        <f t="shared" si="4"/>
        <v>11030 CJ Liaocheng Lysine</v>
      </c>
      <c r="AN27" s="165" t="str">
        <f t="shared" si="5"/>
        <v>11030 CJ Liaocheng Lysine : Flange corrosion</v>
      </c>
    </row>
    <row r="28" spans="1:40" s="76" customFormat="1" ht="13" hidden="1" x14ac:dyDescent="0.3">
      <c r="A28" s="122"/>
      <c r="B28" s="116">
        <v>11031</v>
      </c>
      <c r="C28" s="113" t="s">
        <v>4</v>
      </c>
      <c r="D28" s="117">
        <v>40766</v>
      </c>
      <c r="E28" s="118" t="s">
        <v>116</v>
      </c>
      <c r="F28" s="118"/>
      <c r="G28" s="111" t="s">
        <v>147</v>
      </c>
      <c r="H28" s="111"/>
      <c r="I28" s="119" t="s">
        <v>2056</v>
      </c>
      <c r="J28" s="113"/>
      <c r="K28" s="118"/>
      <c r="L28" s="118" t="s">
        <v>118</v>
      </c>
      <c r="M28" s="118" t="s">
        <v>16</v>
      </c>
      <c r="N28" s="120" t="s">
        <v>148</v>
      </c>
      <c r="O28" s="111" t="s">
        <v>29</v>
      </c>
      <c r="P28" s="111" t="s">
        <v>86</v>
      </c>
      <c r="Q28" s="111"/>
      <c r="R28" s="111" t="s">
        <v>87</v>
      </c>
      <c r="S28" s="111"/>
      <c r="T28" s="118"/>
      <c r="U28" s="64">
        <v>40752</v>
      </c>
      <c r="V28" s="158" t="s">
        <v>6</v>
      </c>
      <c r="W28" s="118" t="s">
        <v>116</v>
      </c>
      <c r="X28" s="113"/>
      <c r="Y28" s="117">
        <f t="shared" si="0"/>
        <v>40858</v>
      </c>
      <c r="Z28" s="117">
        <v>40934</v>
      </c>
      <c r="AA28" s="161" t="str">
        <f t="shared" ca="1" si="1"/>
        <v>NO</v>
      </c>
      <c r="AB28" s="113"/>
      <c r="AC28" s="117"/>
      <c r="AD28" s="111"/>
      <c r="AE28" s="111"/>
      <c r="AF28" s="111" t="str">
        <f t="shared" ca="1" si="2"/>
        <v>N/A</v>
      </c>
      <c r="AG28" s="162"/>
      <c r="AH28" s="162"/>
      <c r="AI28" s="164">
        <f t="shared" si="3"/>
        <v>0</v>
      </c>
      <c r="AJ28" s="118"/>
      <c r="AK28" s="113"/>
      <c r="AL28" s="118"/>
      <c r="AM28" s="165" t="str">
        <f t="shared" si="4"/>
        <v>11031 LIVIC</v>
      </c>
      <c r="AN28" s="165" t="str">
        <f t="shared" si="5"/>
        <v>11031 LIVIC : Scrapped filter does not work</v>
      </c>
    </row>
    <row r="29" spans="1:40" s="76" customFormat="1" ht="13" hidden="1" x14ac:dyDescent="0.3">
      <c r="A29" s="122"/>
      <c r="B29" s="116">
        <v>11032</v>
      </c>
      <c r="C29" s="113" t="s">
        <v>4</v>
      </c>
      <c r="D29" s="117">
        <v>40808</v>
      </c>
      <c r="E29" s="118" t="s">
        <v>149</v>
      </c>
      <c r="F29" s="118"/>
      <c r="G29" s="111" t="s">
        <v>150</v>
      </c>
      <c r="H29" s="111"/>
      <c r="I29" s="119" t="s">
        <v>2056</v>
      </c>
      <c r="J29" s="113"/>
      <c r="K29" s="118"/>
      <c r="L29" s="118" t="s">
        <v>151</v>
      </c>
      <c r="M29" s="118" t="s">
        <v>18</v>
      </c>
      <c r="N29" s="120" t="s">
        <v>152</v>
      </c>
      <c r="O29" s="111" t="s">
        <v>28</v>
      </c>
      <c r="P29" s="111" t="s">
        <v>103</v>
      </c>
      <c r="Q29" s="111"/>
      <c r="R29" s="111" t="s">
        <v>9</v>
      </c>
      <c r="S29" s="111"/>
      <c r="T29" s="118"/>
      <c r="U29" s="64">
        <v>40812</v>
      </c>
      <c r="V29" s="158" t="s">
        <v>10</v>
      </c>
      <c r="W29" s="118"/>
      <c r="X29" s="113"/>
      <c r="Y29" s="117">
        <f t="shared" si="0"/>
        <v>40899</v>
      </c>
      <c r="Z29" s="117">
        <v>40928</v>
      </c>
      <c r="AA29" s="161" t="str">
        <f t="shared" ca="1" si="1"/>
        <v>NO</v>
      </c>
      <c r="AB29" s="113"/>
      <c r="AC29" s="117"/>
      <c r="AD29" s="111"/>
      <c r="AE29" s="111"/>
      <c r="AF29" s="111" t="str">
        <f t="shared" ca="1" si="2"/>
        <v>N/A</v>
      </c>
      <c r="AG29" s="162"/>
      <c r="AH29" s="162"/>
      <c r="AI29" s="164">
        <f t="shared" si="3"/>
        <v>0</v>
      </c>
      <c r="AJ29" s="118"/>
      <c r="AK29" s="113"/>
      <c r="AL29" s="118"/>
      <c r="AM29" s="165" t="str">
        <f t="shared" si="4"/>
        <v>11032 TEREOS SYRAL / GE WATER</v>
      </c>
      <c r="AN29" s="165" t="str">
        <f t="shared" si="5"/>
        <v>11032 TEREOS SYRAL / GE WATER : Retard livraison</v>
      </c>
    </row>
    <row r="30" spans="1:40" s="76" customFormat="1" ht="13" hidden="1" x14ac:dyDescent="0.3">
      <c r="A30" s="122"/>
      <c r="B30" s="116">
        <v>11033</v>
      </c>
      <c r="C30" s="113" t="s">
        <v>4</v>
      </c>
      <c r="D30" s="117">
        <v>40816</v>
      </c>
      <c r="E30" s="118" t="s">
        <v>153</v>
      </c>
      <c r="F30" s="118"/>
      <c r="G30" s="111" t="s">
        <v>154</v>
      </c>
      <c r="H30" s="111"/>
      <c r="I30" s="119" t="s">
        <v>2057</v>
      </c>
      <c r="J30" s="113"/>
      <c r="K30" s="118"/>
      <c r="L30" s="118" t="s">
        <v>155</v>
      </c>
      <c r="M30" s="118"/>
      <c r="N30" s="120" t="s">
        <v>156</v>
      </c>
      <c r="O30" s="111" t="s">
        <v>29</v>
      </c>
      <c r="P30" s="111" t="s">
        <v>157</v>
      </c>
      <c r="Q30" s="111"/>
      <c r="R30" s="111" t="s">
        <v>9</v>
      </c>
      <c r="S30" s="111"/>
      <c r="T30" s="118"/>
      <c r="U30" s="64">
        <v>40816</v>
      </c>
      <c r="V30" s="158" t="s">
        <v>6</v>
      </c>
      <c r="W30" s="118" t="s">
        <v>153</v>
      </c>
      <c r="X30" s="113"/>
      <c r="Y30" s="117">
        <f t="shared" si="0"/>
        <v>40907</v>
      </c>
      <c r="Z30" s="117">
        <v>40934</v>
      </c>
      <c r="AA30" s="161" t="str">
        <f t="shared" ca="1" si="1"/>
        <v>NO</v>
      </c>
      <c r="AB30" s="113"/>
      <c r="AC30" s="117"/>
      <c r="AD30" s="111"/>
      <c r="AE30" s="111"/>
      <c r="AF30" s="111" t="str">
        <f t="shared" ca="1" si="2"/>
        <v>N/A</v>
      </c>
      <c r="AG30" s="162"/>
      <c r="AH30" s="162"/>
      <c r="AI30" s="164">
        <f t="shared" si="3"/>
        <v>0</v>
      </c>
      <c r="AJ30" s="118"/>
      <c r="AK30" s="113"/>
      <c r="AL30" s="118"/>
      <c r="AM30" s="165" t="str">
        <f t="shared" si="4"/>
        <v>11033 Scecs internes SMB</v>
      </c>
      <c r="AN30" s="165" t="str">
        <f t="shared" si="5"/>
        <v>11033 Scecs internes SMB : Mise en œuvre PTT</v>
      </c>
    </row>
    <row r="31" spans="1:40" s="76" customFormat="1" ht="13" hidden="1" x14ac:dyDescent="0.3">
      <c r="A31" s="122"/>
      <c r="B31" s="116">
        <v>11034</v>
      </c>
      <c r="C31" s="113" t="s">
        <v>4</v>
      </c>
      <c r="D31" s="117">
        <v>40827</v>
      </c>
      <c r="E31" s="118" t="s">
        <v>99</v>
      </c>
      <c r="F31" s="118"/>
      <c r="G31" s="111" t="s">
        <v>150</v>
      </c>
      <c r="H31" s="111"/>
      <c r="I31" s="119" t="s">
        <v>5</v>
      </c>
      <c r="J31" s="113"/>
      <c r="K31" s="118"/>
      <c r="L31" s="118" t="s">
        <v>158</v>
      </c>
      <c r="M31" s="118" t="s">
        <v>18</v>
      </c>
      <c r="N31" s="120" t="s">
        <v>159</v>
      </c>
      <c r="O31" s="111" t="s">
        <v>28</v>
      </c>
      <c r="P31" s="111" t="s">
        <v>103</v>
      </c>
      <c r="Q31" s="111"/>
      <c r="R31" s="111" t="s">
        <v>9</v>
      </c>
      <c r="S31" s="111"/>
      <c r="T31" s="118"/>
      <c r="U31" s="64">
        <v>40801</v>
      </c>
      <c r="V31" s="158" t="s">
        <v>6</v>
      </c>
      <c r="W31" s="118" t="s">
        <v>129</v>
      </c>
      <c r="X31" s="113"/>
      <c r="Y31" s="117">
        <f t="shared" si="0"/>
        <v>40919</v>
      </c>
      <c r="Z31" s="117">
        <v>41116</v>
      </c>
      <c r="AA31" s="161" t="str">
        <f t="shared" ca="1" si="1"/>
        <v>NO</v>
      </c>
      <c r="AB31" s="113"/>
      <c r="AC31" s="117"/>
      <c r="AD31" s="111"/>
      <c r="AE31" s="111"/>
      <c r="AF31" s="111" t="str">
        <f t="shared" ca="1" si="2"/>
        <v/>
      </c>
      <c r="AG31" s="162"/>
      <c r="AH31" s="162"/>
      <c r="AI31" s="164">
        <f t="shared" si="3"/>
        <v>0</v>
      </c>
      <c r="AJ31" s="118"/>
      <c r="AK31" s="113">
        <v>41116</v>
      </c>
      <c r="AL31" s="118"/>
      <c r="AM31" s="165" t="str">
        <f t="shared" si="4"/>
        <v>11034 TEREOS SYRAL / GE WATER</v>
      </c>
      <c r="AN31" s="165" t="str">
        <f t="shared" si="5"/>
        <v>11034 TEREOS SYRAL / GE WATER : performance rétention / Tube perméat hors spec</v>
      </c>
    </row>
    <row r="32" spans="1:40" s="76" customFormat="1" ht="13" hidden="1" x14ac:dyDescent="0.3">
      <c r="A32" s="122"/>
      <c r="B32" s="116">
        <v>11035</v>
      </c>
      <c r="C32" s="113" t="s">
        <v>4</v>
      </c>
      <c r="D32" s="117">
        <v>40836</v>
      </c>
      <c r="E32" s="118" t="s">
        <v>160</v>
      </c>
      <c r="F32" s="118"/>
      <c r="G32" s="111" t="s">
        <v>161</v>
      </c>
      <c r="H32" s="111"/>
      <c r="I32" s="119" t="s">
        <v>5</v>
      </c>
      <c r="J32" s="113"/>
      <c r="K32" s="118"/>
      <c r="L32" s="118" t="s">
        <v>162</v>
      </c>
      <c r="M32" s="118" t="s">
        <v>13</v>
      </c>
      <c r="N32" s="120" t="s">
        <v>163</v>
      </c>
      <c r="O32" s="111" t="s">
        <v>28</v>
      </c>
      <c r="P32" s="111" t="s">
        <v>103</v>
      </c>
      <c r="Q32" s="111" t="s">
        <v>164</v>
      </c>
      <c r="R32" s="111" t="s">
        <v>87</v>
      </c>
      <c r="S32" s="111"/>
      <c r="T32" s="118"/>
      <c r="U32" s="64">
        <v>40711</v>
      </c>
      <c r="V32" s="158" t="s">
        <v>6</v>
      </c>
      <c r="W32" s="118" t="s">
        <v>165</v>
      </c>
      <c r="X32" s="113"/>
      <c r="Y32" s="117">
        <f t="shared" si="0"/>
        <v>40928</v>
      </c>
      <c r="Z32" s="117">
        <v>40934</v>
      </c>
      <c r="AA32" s="161" t="str">
        <f t="shared" ca="1" si="1"/>
        <v>NO</v>
      </c>
      <c r="AB32" s="113"/>
      <c r="AC32" s="117"/>
      <c r="AD32" s="111"/>
      <c r="AE32" s="111"/>
      <c r="AF32" s="111" t="str">
        <f t="shared" ca="1" si="2"/>
        <v/>
      </c>
      <c r="AG32" s="162"/>
      <c r="AH32" s="162"/>
      <c r="AI32" s="164">
        <f t="shared" si="3"/>
        <v>0</v>
      </c>
      <c r="AJ32" s="118"/>
      <c r="AK32" s="113"/>
      <c r="AL32" s="118"/>
      <c r="AM32" s="165" t="str">
        <f t="shared" si="4"/>
        <v>11035 Great Ocean Ingredients</v>
      </c>
      <c r="AN32" s="165" t="str">
        <f t="shared" si="5"/>
        <v>11035 Great Ocean Ingredients : Etanchéité ramification réseau / Déformation réseau</v>
      </c>
    </row>
    <row r="33" spans="1:40" s="76" customFormat="1" ht="13" hidden="1" x14ac:dyDescent="0.3">
      <c r="A33" s="122"/>
      <c r="B33" s="116">
        <v>11036</v>
      </c>
      <c r="C33" s="113" t="s">
        <v>4</v>
      </c>
      <c r="D33" s="117">
        <v>40836</v>
      </c>
      <c r="E33" s="118" t="s">
        <v>160</v>
      </c>
      <c r="F33" s="118"/>
      <c r="G33" s="111" t="s">
        <v>166</v>
      </c>
      <c r="H33" s="111"/>
      <c r="I33" s="119" t="s">
        <v>5</v>
      </c>
      <c r="J33" s="113"/>
      <c r="K33" s="118"/>
      <c r="L33" s="118" t="s">
        <v>167</v>
      </c>
      <c r="M33" s="118" t="s">
        <v>13</v>
      </c>
      <c r="N33" s="120" t="s">
        <v>168</v>
      </c>
      <c r="O33" s="111" t="s">
        <v>28</v>
      </c>
      <c r="P33" s="111" t="s">
        <v>103</v>
      </c>
      <c r="Q33" s="111" t="s">
        <v>164</v>
      </c>
      <c r="R33" s="111" t="s">
        <v>87</v>
      </c>
      <c r="S33" s="111"/>
      <c r="T33" s="118"/>
      <c r="U33" s="64">
        <v>40758</v>
      </c>
      <c r="V33" s="158" t="s">
        <v>6</v>
      </c>
      <c r="W33" s="118" t="s">
        <v>165</v>
      </c>
      <c r="X33" s="113"/>
      <c r="Y33" s="117">
        <f t="shared" si="0"/>
        <v>40928</v>
      </c>
      <c r="Z33" s="117">
        <v>40934</v>
      </c>
      <c r="AA33" s="161" t="str">
        <f t="shared" ca="1" si="1"/>
        <v>NO</v>
      </c>
      <c r="AB33" s="113"/>
      <c r="AC33" s="117"/>
      <c r="AD33" s="111"/>
      <c r="AE33" s="111"/>
      <c r="AF33" s="111" t="str">
        <f t="shared" ca="1" si="2"/>
        <v/>
      </c>
      <c r="AG33" s="162"/>
      <c r="AH33" s="162"/>
      <c r="AI33" s="164">
        <f t="shared" si="3"/>
        <v>0</v>
      </c>
      <c r="AJ33" s="118"/>
      <c r="AK33" s="113"/>
      <c r="AL33" s="118"/>
      <c r="AM33" s="165" t="str">
        <f t="shared" si="4"/>
        <v>11036 BENEO ORAFTI</v>
      </c>
      <c r="AN33" s="165" t="str">
        <f t="shared" si="5"/>
        <v>11036 BENEO ORAFTI : Déformation réseau</v>
      </c>
    </row>
    <row r="34" spans="1:40" s="76" customFormat="1" ht="13" hidden="1" x14ac:dyDescent="0.3">
      <c r="A34" s="122"/>
      <c r="B34" s="116">
        <v>11037</v>
      </c>
      <c r="C34" s="113" t="s">
        <v>4</v>
      </c>
      <c r="D34" s="117">
        <v>40837</v>
      </c>
      <c r="E34" s="118" t="s">
        <v>76</v>
      </c>
      <c r="F34" s="118"/>
      <c r="G34" s="111" t="s">
        <v>169</v>
      </c>
      <c r="H34" s="111"/>
      <c r="I34" s="119" t="s">
        <v>2057</v>
      </c>
      <c r="J34" s="113"/>
      <c r="K34" s="118"/>
      <c r="L34" s="118" t="s">
        <v>170</v>
      </c>
      <c r="M34" s="118" t="s">
        <v>18</v>
      </c>
      <c r="N34" s="120" t="s">
        <v>171</v>
      </c>
      <c r="O34" s="111" t="s">
        <v>29</v>
      </c>
      <c r="P34" s="111" t="s">
        <v>80</v>
      </c>
      <c r="Q34" s="111"/>
      <c r="R34" s="111" t="s">
        <v>87</v>
      </c>
      <c r="S34" s="124"/>
      <c r="T34" s="125"/>
      <c r="U34" s="64">
        <v>40835</v>
      </c>
      <c r="V34" s="158" t="s">
        <v>10</v>
      </c>
      <c r="W34" s="118"/>
      <c r="X34" s="113"/>
      <c r="Y34" s="117">
        <f t="shared" si="0"/>
        <v>40929</v>
      </c>
      <c r="Z34" s="117">
        <v>40914</v>
      </c>
      <c r="AA34" s="161" t="str">
        <f t="shared" ca="1" si="1"/>
        <v>YES</v>
      </c>
      <c r="AB34" s="113"/>
      <c r="AC34" s="117"/>
      <c r="AD34" s="111"/>
      <c r="AE34" s="111"/>
      <c r="AF34" s="111" t="str">
        <f t="shared" ca="1" si="2"/>
        <v>N/A</v>
      </c>
      <c r="AG34" s="162"/>
      <c r="AH34" s="162"/>
      <c r="AI34" s="164">
        <f t="shared" si="3"/>
        <v>0</v>
      </c>
      <c r="AJ34" s="118"/>
      <c r="AK34" s="113"/>
      <c r="AL34" s="118"/>
      <c r="AM34" s="165" t="str">
        <f t="shared" si="4"/>
        <v>11037 Finorga</v>
      </c>
      <c r="AN34" s="165" t="str">
        <f t="shared" si="5"/>
        <v>11037 Finorga : Pompe Pilote alimentation fuyarde</v>
      </c>
    </row>
    <row r="35" spans="1:40" s="76" customFormat="1" ht="13" hidden="1" x14ac:dyDescent="0.3">
      <c r="A35" s="122"/>
      <c r="B35" s="116">
        <v>11038</v>
      </c>
      <c r="C35" s="113" t="s">
        <v>4</v>
      </c>
      <c r="D35" s="117">
        <v>40840</v>
      </c>
      <c r="E35" s="118" t="s">
        <v>172</v>
      </c>
      <c r="F35" s="118"/>
      <c r="G35" s="111" t="s">
        <v>173</v>
      </c>
      <c r="H35" s="111"/>
      <c r="I35" s="119" t="s">
        <v>2057</v>
      </c>
      <c r="J35" s="113"/>
      <c r="K35" s="118"/>
      <c r="L35" s="118" t="s">
        <v>174</v>
      </c>
      <c r="M35" s="118" t="s">
        <v>18</v>
      </c>
      <c r="N35" s="120" t="s">
        <v>175</v>
      </c>
      <c r="O35" s="111" t="s">
        <v>29</v>
      </c>
      <c r="P35" s="111" t="s">
        <v>86</v>
      </c>
      <c r="Q35" s="111" t="s">
        <v>176</v>
      </c>
      <c r="R35" s="111" t="s">
        <v>9</v>
      </c>
      <c r="S35" s="111"/>
      <c r="T35" s="118"/>
      <c r="U35" s="64">
        <v>40820</v>
      </c>
      <c r="V35" s="158" t="s">
        <v>6</v>
      </c>
      <c r="W35" s="118" t="s">
        <v>177</v>
      </c>
      <c r="X35" s="113"/>
      <c r="Y35" s="117">
        <f t="shared" si="0"/>
        <v>40932</v>
      </c>
      <c r="Z35" s="117">
        <v>40932</v>
      </c>
      <c r="AA35" s="161" t="str">
        <f t="shared" ca="1" si="1"/>
        <v>YES</v>
      </c>
      <c r="AB35" s="113"/>
      <c r="AC35" s="117"/>
      <c r="AD35" s="111"/>
      <c r="AE35" s="111"/>
      <c r="AF35" s="111" t="str">
        <f t="shared" ca="1" si="2"/>
        <v>N/A</v>
      </c>
      <c r="AG35" s="162"/>
      <c r="AH35" s="162"/>
      <c r="AI35" s="164">
        <f t="shared" si="3"/>
        <v>0</v>
      </c>
      <c r="AJ35" s="113"/>
      <c r="AK35" s="113">
        <v>40931</v>
      </c>
      <c r="AL35" s="113" t="s">
        <v>178</v>
      </c>
      <c r="AM35" s="165" t="str">
        <f t="shared" si="4"/>
        <v>11038 ILLOVO</v>
      </c>
      <c r="AN35" s="165" t="str">
        <f t="shared" si="5"/>
        <v>11038 ILLOVO : Cales pour mbres NF non commandées ou non livrées</v>
      </c>
    </row>
    <row r="36" spans="1:40" s="76" customFormat="1" ht="13" hidden="1" x14ac:dyDescent="0.3">
      <c r="A36" s="122"/>
      <c r="B36" s="116">
        <v>11039</v>
      </c>
      <c r="C36" s="113" t="s">
        <v>4</v>
      </c>
      <c r="D36" s="117">
        <v>40855</v>
      </c>
      <c r="E36" s="118" t="s">
        <v>120</v>
      </c>
      <c r="F36" s="118"/>
      <c r="G36" s="111" t="s">
        <v>179</v>
      </c>
      <c r="H36" s="111"/>
      <c r="I36" s="119" t="s">
        <v>2056</v>
      </c>
      <c r="J36" s="113"/>
      <c r="K36" s="118"/>
      <c r="L36" s="118" t="s">
        <v>180</v>
      </c>
      <c r="M36" s="118" t="s">
        <v>16</v>
      </c>
      <c r="N36" s="120" t="s">
        <v>181</v>
      </c>
      <c r="O36" s="111" t="s">
        <v>29</v>
      </c>
      <c r="P36" s="111" t="s">
        <v>86</v>
      </c>
      <c r="Q36" s="111" t="s">
        <v>176</v>
      </c>
      <c r="R36" s="111" t="s">
        <v>9</v>
      </c>
      <c r="S36" s="111"/>
      <c r="T36" s="118"/>
      <c r="U36" s="64">
        <v>40754</v>
      </c>
      <c r="V36" s="158" t="s">
        <v>6</v>
      </c>
      <c r="W36" s="118" t="s">
        <v>182</v>
      </c>
      <c r="X36" s="113"/>
      <c r="Y36" s="117">
        <f t="shared" si="0"/>
        <v>40947</v>
      </c>
      <c r="Z36" s="117">
        <v>40946</v>
      </c>
      <c r="AA36" s="161" t="str">
        <f t="shared" ca="1" si="1"/>
        <v>YES</v>
      </c>
      <c r="AB36" s="113"/>
      <c r="AC36" s="117"/>
      <c r="AD36" s="111"/>
      <c r="AE36" s="111"/>
      <c r="AF36" s="111" t="str">
        <f t="shared" ca="1" si="2"/>
        <v>N/A</v>
      </c>
      <c r="AG36" s="162"/>
      <c r="AH36" s="162"/>
      <c r="AI36" s="164">
        <f t="shared" si="3"/>
        <v>0</v>
      </c>
      <c r="AJ36" s="118"/>
      <c r="AK36" s="113">
        <v>40945</v>
      </c>
      <c r="AL36" s="118"/>
      <c r="AM36" s="165" t="str">
        <f t="shared" si="4"/>
        <v>11039 OTIME / DANISCO</v>
      </c>
      <c r="AN36" s="165" t="str">
        <f t="shared" si="5"/>
        <v>11039 OTIME / DANISCO : Tenue en pression / note de calcul</v>
      </c>
    </row>
    <row r="37" spans="1:40" s="76" customFormat="1" ht="13" hidden="1" x14ac:dyDescent="0.3">
      <c r="A37" s="122"/>
      <c r="B37" s="116">
        <v>11040</v>
      </c>
      <c r="C37" s="113" t="s">
        <v>4</v>
      </c>
      <c r="D37" s="117">
        <v>40855</v>
      </c>
      <c r="E37" s="118" t="s">
        <v>120</v>
      </c>
      <c r="F37" s="118"/>
      <c r="G37" s="111" t="s">
        <v>183</v>
      </c>
      <c r="H37" s="111"/>
      <c r="I37" s="119" t="s">
        <v>2057</v>
      </c>
      <c r="J37" s="113"/>
      <c r="K37" s="118"/>
      <c r="L37" s="118" t="s">
        <v>180</v>
      </c>
      <c r="M37" s="118" t="s">
        <v>16</v>
      </c>
      <c r="N37" s="120" t="s">
        <v>184</v>
      </c>
      <c r="O37" s="111" t="s">
        <v>29</v>
      </c>
      <c r="P37" s="111" t="s">
        <v>86</v>
      </c>
      <c r="Q37" s="111"/>
      <c r="R37" s="111" t="s">
        <v>9</v>
      </c>
      <c r="S37" s="111"/>
      <c r="T37" s="118"/>
      <c r="U37" s="64">
        <v>40816</v>
      </c>
      <c r="V37" s="158" t="s">
        <v>10</v>
      </c>
      <c r="W37" s="118"/>
      <c r="X37" s="113"/>
      <c r="Y37" s="117">
        <f t="shared" si="0"/>
        <v>40947</v>
      </c>
      <c r="Z37" s="117">
        <v>40932</v>
      </c>
      <c r="AA37" s="161" t="str">
        <f t="shared" ca="1" si="1"/>
        <v>YES</v>
      </c>
      <c r="AB37" s="113"/>
      <c r="AC37" s="117"/>
      <c r="AD37" s="111"/>
      <c r="AE37" s="111"/>
      <c r="AF37" s="111" t="str">
        <f t="shared" ca="1" si="2"/>
        <v>N/A</v>
      </c>
      <c r="AG37" s="162"/>
      <c r="AH37" s="162"/>
      <c r="AI37" s="164">
        <f t="shared" si="3"/>
        <v>0</v>
      </c>
      <c r="AJ37" s="113"/>
      <c r="AK37" s="113">
        <v>40932</v>
      </c>
      <c r="AL37" s="113"/>
      <c r="AM37" s="165" t="str">
        <f t="shared" si="4"/>
        <v>11040 DANISCO</v>
      </c>
      <c r="AN37" s="165" t="str">
        <f t="shared" si="5"/>
        <v>11040 DANISCO : Mise à jour / plan guide PG06</v>
      </c>
    </row>
    <row r="38" spans="1:40" s="76" customFormat="1" ht="13" hidden="1" x14ac:dyDescent="0.3">
      <c r="A38" s="122"/>
      <c r="B38" s="116">
        <v>11041</v>
      </c>
      <c r="C38" s="113" t="s">
        <v>4</v>
      </c>
      <c r="D38" s="117">
        <v>40855</v>
      </c>
      <c r="E38" s="118" t="s">
        <v>116</v>
      </c>
      <c r="F38" s="118"/>
      <c r="G38" s="111" t="s">
        <v>185</v>
      </c>
      <c r="H38" s="111"/>
      <c r="I38" s="119" t="s">
        <v>2056</v>
      </c>
      <c r="J38" s="113"/>
      <c r="K38" s="118"/>
      <c r="L38" s="118" t="s">
        <v>186</v>
      </c>
      <c r="M38" s="118" t="s">
        <v>13</v>
      </c>
      <c r="N38" s="120" t="s">
        <v>187</v>
      </c>
      <c r="O38" s="111" t="s">
        <v>29</v>
      </c>
      <c r="P38" s="111" t="s">
        <v>86</v>
      </c>
      <c r="Q38" s="111" t="s">
        <v>176</v>
      </c>
      <c r="R38" s="111" t="s">
        <v>9</v>
      </c>
      <c r="S38" s="111"/>
      <c r="T38" s="118"/>
      <c r="U38" s="64">
        <v>40816</v>
      </c>
      <c r="V38" s="158" t="s">
        <v>6</v>
      </c>
      <c r="W38" s="118" t="s">
        <v>182</v>
      </c>
      <c r="X38" s="113"/>
      <c r="Y38" s="117">
        <f t="shared" si="0"/>
        <v>40947</v>
      </c>
      <c r="Z38" s="117">
        <v>40940</v>
      </c>
      <c r="AA38" s="161" t="str">
        <f t="shared" ca="1" si="1"/>
        <v>YES</v>
      </c>
      <c r="AB38" s="113"/>
      <c r="AC38" s="117"/>
      <c r="AD38" s="111"/>
      <c r="AE38" s="111"/>
      <c r="AF38" s="111" t="str">
        <f t="shared" ca="1" si="2"/>
        <v>N/A</v>
      </c>
      <c r="AG38" s="162"/>
      <c r="AH38" s="162"/>
      <c r="AI38" s="164">
        <f t="shared" si="3"/>
        <v>0</v>
      </c>
      <c r="AJ38" s="118"/>
      <c r="AK38" s="113">
        <v>40940</v>
      </c>
      <c r="AL38" s="118"/>
      <c r="AM38" s="165" t="str">
        <f t="shared" si="4"/>
        <v>11041 OTIME / ORAFTI CHILI</v>
      </c>
      <c r="AN38" s="165" t="str">
        <f t="shared" si="5"/>
        <v>11041 OTIME / ORAFTI CHILI :  Oubli Fabrication pièces</v>
      </c>
    </row>
    <row r="39" spans="1:40" s="76" customFormat="1" ht="13" hidden="1" x14ac:dyDescent="0.3">
      <c r="A39" s="122"/>
      <c r="B39" s="116">
        <v>11042</v>
      </c>
      <c r="C39" s="113" t="s">
        <v>4</v>
      </c>
      <c r="D39" s="117">
        <v>40892</v>
      </c>
      <c r="E39" s="118" t="s">
        <v>82</v>
      </c>
      <c r="F39" s="118"/>
      <c r="G39" s="111" t="s">
        <v>188</v>
      </c>
      <c r="H39" s="111"/>
      <c r="I39" s="119" t="s">
        <v>2057</v>
      </c>
      <c r="J39" s="113"/>
      <c r="K39" s="118"/>
      <c r="L39" s="118" t="s">
        <v>189</v>
      </c>
      <c r="M39" s="118" t="s">
        <v>16</v>
      </c>
      <c r="N39" s="120" t="s">
        <v>190</v>
      </c>
      <c r="O39" s="111" t="s">
        <v>28</v>
      </c>
      <c r="P39" s="111" t="s">
        <v>86</v>
      </c>
      <c r="Q39" s="111"/>
      <c r="R39" s="111" t="s">
        <v>87</v>
      </c>
      <c r="S39" s="111"/>
      <c r="T39" s="118"/>
      <c r="U39" s="64">
        <v>40854</v>
      </c>
      <c r="V39" s="158" t="s">
        <v>6</v>
      </c>
      <c r="W39" s="118" t="s">
        <v>191</v>
      </c>
      <c r="X39" s="113"/>
      <c r="Y39" s="117">
        <f t="shared" si="0"/>
        <v>40983</v>
      </c>
      <c r="Z39" s="117">
        <v>40981</v>
      </c>
      <c r="AA39" s="161" t="str">
        <f t="shared" ca="1" si="1"/>
        <v>YES</v>
      </c>
      <c r="AB39" s="113"/>
      <c r="AC39" s="117"/>
      <c r="AD39" s="111"/>
      <c r="AE39" s="111"/>
      <c r="AF39" s="111" t="str">
        <f t="shared" ca="1" si="2"/>
        <v>N/A</v>
      </c>
      <c r="AG39" s="162"/>
      <c r="AH39" s="162"/>
      <c r="AI39" s="164">
        <f t="shared" si="3"/>
        <v>0</v>
      </c>
      <c r="AJ39" s="118"/>
      <c r="AK39" s="113">
        <v>40981</v>
      </c>
      <c r="AL39" s="118"/>
      <c r="AM39" s="165" t="str">
        <f t="shared" si="4"/>
        <v>11042 DONGYAO / CTI</v>
      </c>
      <c r="AN39" s="165" t="str">
        <f t="shared" si="5"/>
        <v>11042 DONGYAO / CTI : Extrémitées membranes ébréchées</v>
      </c>
    </row>
    <row r="40" spans="1:40" s="76" customFormat="1" ht="13" hidden="1" x14ac:dyDescent="0.3">
      <c r="A40" s="122"/>
      <c r="B40" s="116">
        <v>12001</v>
      </c>
      <c r="C40" s="113" t="s">
        <v>4</v>
      </c>
      <c r="D40" s="117">
        <v>40914</v>
      </c>
      <c r="E40" s="118" t="s">
        <v>116</v>
      </c>
      <c r="F40" s="118"/>
      <c r="G40" s="111" t="s">
        <v>192</v>
      </c>
      <c r="H40" s="111"/>
      <c r="I40" s="119" t="s">
        <v>5</v>
      </c>
      <c r="J40" s="113"/>
      <c r="K40" s="118"/>
      <c r="L40" s="118" t="s">
        <v>140</v>
      </c>
      <c r="M40" s="118" t="s">
        <v>11</v>
      </c>
      <c r="N40" s="120" t="s">
        <v>193</v>
      </c>
      <c r="O40" s="111" t="s">
        <v>29</v>
      </c>
      <c r="P40" s="111" t="s">
        <v>86</v>
      </c>
      <c r="Q40" s="111"/>
      <c r="R40" s="111" t="s">
        <v>145</v>
      </c>
      <c r="S40" s="111"/>
      <c r="T40" s="118"/>
      <c r="U40" s="64">
        <v>40871</v>
      </c>
      <c r="V40" s="158" t="s">
        <v>6</v>
      </c>
      <c r="W40" s="118" t="s">
        <v>116</v>
      </c>
      <c r="X40" s="113"/>
      <c r="Y40" s="117">
        <f t="shared" si="0"/>
        <v>41005</v>
      </c>
      <c r="Z40" s="117">
        <v>41031</v>
      </c>
      <c r="AA40" s="161" t="str">
        <f t="shared" ca="1" si="1"/>
        <v>NO</v>
      </c>
      <c r="AB40" s="113"/>
      <c r="AC40" s="117"/>
      <c r="AD40" s="111"/>
      <c r="AE40" s="111"/>
      <c r="AF40" s="111" t="str">
        <f t="shared" ca="1" si="2"/>
        <v/>
      </c>
      <c r="AG40" s="162"/>
      <c r="AH40" s="162"/>
      <c r="AI40" s="164">
        <f t="shared" si="3"/>
        <v>0</v>
      </c>
      <c r="AJ40" s="118"/>
      <c r="AK40" s="113">
        <v>41031</v>
      </c>
      <c r="AL40" s="118" t="s">
        <v>194</v>
      </c>
      <c r="AM40" s="165" t="str">
        <f t="shared" si="4"/>
        <v>12001 TTCA / SPA</v>
      </c>
      <c r="AN40" s="165" t="str">
        <f t="shared" si="5"/>
        <v>12001 TTCA / SPA : Corrosion piping rubber-lining</v>
      </c>
    </row>
    <row r="41" spans="1:40" s="76" customFormat="1" ht="13" hidden="1" x14ac:dyDescent="0.3">
      <c r="A41" s="122"/>
      <c r="B41" s="116">
        <v>12002</v>
      </c>
      <c r="C41" s="113" t="s">
        <v>4</v>
      </c>
      <c r="D41" s="117">
        <v>40931</v>
      </c>
      <c r="E41" s="118" t="s">
        <v>195</v>
      </c>
      <c r="F41" s="118"/>
      <c r="G41" s="111" t="s">
        <v>196</v>
      </c>
      <c r="H41" s="111"/>
      <c r="I41" s="119" t="s">
        <v>2058</v>
      </c>
      <c r="J41" s="113"/>
      <c r="K41" s="118"/>
      <c r="L41" s="118" t="s">
        <v>197</v>
      </c>
      <c r="M41" s="118" t="s">
        <v>13</v>
      </c>
      <c r="N41" s="120" t="s">
        <v>198</v>
      </c>
      <c r="O41" s="111"/>
      <c r="P41" s="111" t="s">
        <v>80</v>
      </c>
      <c r="Q41" s="111"/>
      <c r="R41" s="111" t="s">
        <v>15</v>
      </c>
      <c r="S41" s="111"/>
      <c r="T41" s="118"/>
      <c r="U41" s="64">
        <v>40918</v>
      </c>
      <c r="V41" s="158" t="s">
        <v>6</v>
      </c>
      <c r="W41" s="118" t="s">
        <v>195</v>
      </c>
      <c r="X41" s="113"/>
      <c r="Y41" s="117">
        <f t="shared" si="0"/>
        <v>41022</v>
      </c>
      <c r="Z41" s="117">
        <v>41289</v>
      </c>
      <c r="AA41" s="161" t="str">
        <f t="shared" ca="1" si="1"/>
        <v>NO</v>
      </c>
      <c r="AB41" s="113"/>
      <c r="AC41" s="117"/>
      <c r="AD41" s="111"/>
      <c r="AE41" s="111"/>
      <c r="AF41" s="111" t="str">
        <f t="shared" ca="1" si="2"/>
        <v>N/A</v>
      </c>
      <c r="AG41" s="162"/>
      <c r="AH41" s="162"/>
      <c r="AI41" s="164">
        <f t="shared" si="3"/>
        <v>0</v>
      </c>
      <c r="AJ41" s="118" t="s">
        <v>6</v>
      </c>
      <c r="AK41" s="113">
        <v>41289</v>
      </c>
      <c r="AL41" s="118"/>
      <c r="AM41" s="165" t="str">
        <f t="shared" si="4"/>
        <v>12002 RENNOVIA</v>
      </c>
      <c r="AN41" s="165" t="str">
        <f t="shared" si="5"/>
        <v>12002 RENNOVIA : Projection acide</v>
      </c>
    </row>
    <row r="42" spans="1:40" s="76" customFormat="1" ht="13" hidden="1" x14ac:dyDescent="0.3">
      <c r="A42" s="122"/>
      <c r="B42" s="116">
        <v>12003</v>
      </c>
      <c r="C42" s="113" t="s">
        <v>4</v>
      </c>
      <c r="D42" s="117">
        <v>40942</v>
      </c>
      <c r="E42" s="118" t="s">
        <v>116</v>
      </c>
      <c r="F42" s="118"/>
      <c r="G42" s="111" t="s">
        <v>199</v>
      </c>
      <c r="H42" s="111"/>
      <c r="I42" s="119" t="s">
        <v>2056</v>
      </c>
      <c r="J42" s="113"/>
      <c r="K42" s="118"/>
      <c r="L42" s="118" t="s">
        <v>200</v>
      </c>
      <c r="M42" s="118" t="s">
        <v>16</v>
      </c>
      <c r="N42" s="120" t="s">
        <v>201</v>
      </c>
      <c r="O42" s="111" t="s">
        <v>29</v>
      </c>
      <c r="P42" s="111" t="s">
        <v>86</v>
      </c>
      <c r="Q42" s="111" t="s">
        <v>176</v>
      </c>
      <c r="R42" s="111" t="s">
        <v>145</v>
      </c>
      <c r="S42" s="111"/>
      <c r="T42" s="118"/>
      <c r="U42" s="64">
        <v>40921</v>
      </c>
      <c r="V42" s="158" t="s">
        <v>10</v>
      </c>
      <c r="W42" s="118"/>
      <c r="X42" s="113"/>
      <c r="Y42" s="117">
        <f t="shared" si="0"/>
        <v>41032</v>
      </c>
      <c r="Z42" s="117">
        <v>41024</v>
      </c>
      <c r="AA42" s="161" t="str">
        <f t="shared" ca="1" si="1"/>
        <v>YES</v>
      </c>
      <c r="AB42" s="113"/>
      <c r="AC42" s="117"/>
      <c r="AD42" s="111"/>
      <c r="AE42" s="111"/>
      <c r="AF42" s="111" t="str">
        <f t="shared" ca="1" si="2"/>
        <v>N/A</v>
      </c>
      <c r="AG42" s="162"/>
      <c r="AH42" s="162"/>
      <c r="AI42" s="164">
        <f t="shared" si="3"/>
        <v>0</v>
      </c>
      <c r="AJ42" s="118"/>
      <c r="AK42" s="113">
        <v>41024</v>
      </c>
      <c r="AL42" s="118" t="s">
        <v>202</v>
      </c>
      <c r="AM42" s="165" t="str">
        <f t="shared" si="4"/>
        <v>12003 CJ L5 LIAOCHENG / KSB</v>
      </c>
      <c r="AN42" s="165" t="str">
        <f t="shared" si="5"/>
        <v>12003 CJ L5 LIAOCHENG / KSB : Leakage mechanical sealings pumps</v>
      </c>
    </row>
    <row r="43" spans="1:40" s="76" customFormat="1" ht="13" hidden="1" x14ac:dyDescent="0.3">
      <c r="A43" s="122"/>
      <c r="B43" s="116">
        <v>12004</v>
      </c>
      <c r="C43" s="113" t="s">
        <v>4</v>
      </c>
      <c r="D43" s="117">
        <v>40966</v>
      </c>
      <c r="E43" s="118" t="s">
        <v>116</v>
      </c>
      <c r="F43" s="118"/>
      <c r="G43" s="111" t="s">
        <v>203</v>
      </c>
      <c r="H43" s="111"/>
      <c r="I43" s="119" t="s">
        <v>5</v>
      </c>
      <c r="J43" s="113"/>
      <c r="K43" s="118"/>
      <c r="L43" s="118" t="s">
        <v>204</v>
      </c>
      <c r="M43" s="118" t="s">
        <v>11</v>
      </c>
      <c r="N43" s="120" t="s">
        <v>201</v>
      </c>
      <c r="O43" s="111" t="s">
        <v>29</v>
      </c>
      <c r="P43" s="111" t="s">
        <v>86</v>
      </c>
      <c r="Q43" s="111"/>
      <c r="R43" s="111" t="s">
        <v>145</v>
      </c>
      <c r="S43" s="111"/>
      <c r="T43" s="118"/>
      <c r="U43" s="64">
        <v>40938</v>
      </c>
      <c r="V43" s="158" t="s">
        <v>6</v>
      </c>
      <c r="W43" s="118" t="s">
        <v>116</v>
      </c>
      <c r="X43" s="113"/>
      <c r="Y43" s="117">
        <f t="shared" si="0"/>
        <v>41056</v>
      </c>
      <c r="Z43" s="117">
        <v>41085</v>
      </c>
      <c r="AA43" s="161" t="str">
        <f t="shared" ca="1" si="1"/>
        <v>NO</v>
      </c>
      <c r="AB43" s="113"/>
      <c r="AC43" s="117"/>
      <c r="AD43" s="111"/>
      <c r="AE43" s="111"/>
      <c r="AF43" s="111" t="str">
        <f t="shared" ca="1" si="2"/>
        <v/>
      </c>
      <c r="AG43" s="162"/>
      <c r="AH43" s="162"/>
      <c r="AI43" s="164">
        <f t="shared" si="3"/>
        <v>0</v>
      </c>
      <c r="AJ43" s="118"/>
      <c r="AK43" s="113">
        <v>41085</v>
      </c>
      <c r="AL43" s="118"/>
      <c r="AM43" s="165" t="str">
        <f t="shared" si="4"/>
        <v>12004 SCENTS / SULZER</v>
      </c>
      <c r="AN43" s="165" t="str">
        <f t="shared" si="5"/>
        <v>12004 SCENTS / SULZER : Leakage mechanical sealings pumps</v>
      </c>
    </row>
    <row r="44" spans="1:40" s="76" customFormat="1" ht="13" hidden="1" x14ac:dyDescent="0.3">
      <c r="A44" s="122"/>
      <c r="B44" s="116">
        <v>12005</v>
      </c>
      <c r="C44" s="113" t="s">
        <v>4</v>
      </c>
      <c r="D44" s="117">
        <v>40981</v>
      </c>
      <c r="E44" s="118" t="s">
        <v>205</v>
      </c>
      <c r="F44" s="118"/>
      <c r="G44" s="111" t="s">
        <v>206</v>
      </c>
      <c r="H44" s="111"/>
      <c r="I44" s="119" t="s">
        <v>2057</v>
      </c>
      <c r="J44" s="113"/>
      <c r="K44" s="118"/>
      <c r="L44" s="118" t="s">
        <v>207</v>
      </c>
      <c r="M44" s="118" t="s">
        <v>11</v>
      </c>
      <c r="N44" s="120" t="s">
        <v>208</v>
      </c>
      <c r="O44" s="111" t="s">
        <v>29</v>
      </c>
      <c r="P44" s="111" t="s">
        <v>86</v>
      </c>
      <c r="Q44" s="111"/>
      <c r="R44" s="111" t="s">
        <v>15</v>
      </c>
      <c r="S44" s="111"/>
      <c r="T44" s="118"/>
      <c r="U44" s="64">
        <v>40935</v>
      </c>
      <c r="V44" s="158" t="s">
        <v>6</v>
      </c>
      <c r="W44" s="118" t="s">
        <v>120</v>
      </c>
      <c r="X44" s="113"/>
      <c r="Y44" s="117">
        <f t="shared" si="0"/>
        <v>41073</v>
      </c>
      <c r="Z44" s="117">
        <v>41031</v>
      </c>
      <c r="AA44" s="161" t="str">
        <f t="shared" ca="1" si="1"/>
        <v>YES</v>
      </c>
      <c r="AB44" s="113"/>
      <c r="AC44" s="117"/>
      <c r="AD44" s="111"/>
      <c r="AE44" s="111"/>
      <c r="AF44" s="111" t="str">
        <f t="shared" ca="1" si="2"/>
        <v>N/A</v>
      </c>
      <c r="AG44" s="162"/>
      <c r="AH44" s="162"/>
      <c r="AI44" s="164">
        <f t="shared" si="3"/>
        <v>0</v>
      </c>
      <c r="AJ44" s="118"/>
      <c r="AK44" s="113">
        <v>41031</v>
      </c>
      <c r="AL44" s="118"/>
      <c r="AM44" s="165" t="str">
        <f t="shared" si="4"/>
        <v>12005 CJ Shenyang</v>
      </c>
      <c r="AN44" s="165" t="str">
        <f t="shared" si="5"/>
        <v>12005 CJ Shenyang : Forgotten specification &amp; order for material</v>
      </c>
    </row>
    <row r="45" spans="1:40" s="76" customFormat="1" ht="13" hidden="1" x14ac:dyDescent="0.3">
      <c r="A45" s="122"/>
      <c r="B45" s="116">
        <v>12006</v>
      </c>
      <c r="C45" s="113" t="s">
        <v>4</v>
      </c>
      <c r="D45" s="117">
        <v>40984</v>
      </c>
      <c r="E45" s="118" t="s">
        <v>120</v>
      </c>
      <c r="F45" s="118"/>
      <c r="G45" s="111" t="s">
        <v>209</v>
      </c>
      <c r="H45" s="111"/>
      <c r="I45" s="119" t="s">
        <v>2057</v>
      </c>
      <c r="J45" s="113"/>
      <c r="K45" s="118"/>
      <c r="L45" s="118" t="s">
        <v>210</v>
      </c>
      <c r="M45" s="118" t="s">
        <v>13</v>
      </c>
      <c r="N45" s="120" t="s">
        <v>211</v>
      </c>
      <c r="O45" s="111" t="s">
        <v>29</v>
      </c>
      <c r="P45" s="111" t="s">
        <v>86</v>
      </c>
      <c r="Q45" s="111" t="s">
        <v>176</v>
      </c>
      <c r="R45" s="111" t="s">
        <v>15</v>
      </c>
      <c r="S45" s="111"/>
      <c r="T45" s="118"/>
      <c r="U45" s="64">
        <v>40981</v>
      </c>
      <c r="V45" s="158" t="s">
        <v>6</v>
      </c>
      <c r="W45" s="118" t="s">
        <v>120</v>
      </c>
      <c r="X45" s="113"/>
      <c r="Y45" s="117">
        <f t="shared" si="0"/>
        <v>41076</v>
      </c>
      <c r="Z45" s="117">
        <v>41071</v>
      </c>
      <c r="AA45" s="161" t="str">
        <f t="shared" ca="1" si="1"/>
        <v>YES</v>
      </c>
      <c r="AB45" s="113"/>
      <c r="AC45" s="117"/>
      <c r="AD45" s="111"/>
      <c r="AE45" s="111"/>
      <c r="AF45" s="111" t="str">
        <f t="shared" ca="1" si="2"/>
        <v>N/A</v>
      </c>
      <c r="AG45" s="162"/>
      <c r="AH45" s="162"/>
      <c r="AI45" s="164">
        <f t="shared" si="3"/>
        <v>0</v>
      </c>
      <c r="AJ45" s="118"/>
      <c r="AK45" s="113">
        <v>41071</v>
      </c>
      <c r="AL45" s="118"/>
      <c r="AM45" s="165" t="str">
        <f t="shared" si="4"/>
        <v>12006 COSUMAR / ACDN</v>
      </c>
      <c r="AN45" s="165" t="str">
        <f t="shared" si="5"/>
        <v>12006 COSUMAR / ACDN : Ecart entre notre plan 3D et les tuyauteries fabriquées</v>
      </c>
    </row>
    <row r="46" spans="1:40" s="76" customFormat="1" ht="25.5" hidden="1" x14ac:dyDescent="0.3">
      <c r="A46" s="122"/>
      <c r="B46" s="116">
        <v>12007</v>
      </c>
      <c r="C46" s="113" t="s">
        <v>4</v>
      </c>
      <c r="D46" s="117">
        <v>41009</v>
      </c>
      <c r="E46" s="118" t="s">
        <v>212</v>
      </c>
      <c r="F46" s="118"/>
      <c r="G46" s="111" t="s">
        <v>213</v>
      </c>
      <c r="H46" s="111"/>
      <c r="I46" s="119" t="s">
        <v>2057</v>
      </c>
      <c r="J46" s="113"/>
      <c r="K46" s="118"/>
      <c r="L46" s="118" t="s">
        <v>214</v>
      </c>
      <c r="M46" s="118" t="s">
        <v>13</v>
      </c>
      <c r="N46" s="120" t="s">
        <v>215</v>
      </c>
      <c r="O46" s="111" t="s">
        <v>29</v>
      </c>
      <c r="P46" s="111" t="s">
        <v>86</v>
      </c>
      <c r="Q46" s="111" t="s">
        <v>216</v>
      </c>
      <c r="R46" s="111" t="s">
        <v>15</v>
      </c>
      <c r="S46" s="111"/>
      <c r="T46" s="118"/>
      <c r="U46" s="64">
        <v>40994</v>
      </c>
      <c r="V46" s="158" t="s">
        <v>6</v>
      </c>
      <c r="W46" s="118" t="s">
        <v>217</v>
      </c>
      <c r="X46" s="113"/>
      <c r="Y46" s="117">
        <f t="shared" si="0"/>
        <v>41100</v>
      </c>
      <c r="Z46" s="117">
        <v>41095</v>
      </c>
      <c r="AA46" s="161" t="str">
        <f t="shared" ca="1" si="1"/>
        <v>YES</v>
      </c>
      <c r="AB46" s="113"/>
      <c r="AC46" s="117"/>
      <c r="AD46" s="111"/>
      <c r="AE46" s="111"/>
      <c r="AF46" s="111" t="str">
        <f t="shared" ca="1" si="2"/>
        <v>N/A</v>
      </c>
      <c r="AG46" s="162"/>
      <c r="AH46" s="162"/>
      <c r="AI46" s="164">
        <f t="shared" si="3"/>
        <v>0</v>
      </c>
      <c r="AJ46" s="118"/>
      <c r="AK46" s="113">
        <v>41095</v>
      </c>
      <c r="AL46" s="118"/>
      <c r="AM46" s="165" t="str">
        <f t="shared" si="4"/>
        <v>12007 CARGILL TURQUIE</v>
      </c>
      <c r="AN46" s="165" t="str">
        <f t="shared" si="5"/>
        <v>12007 CARGILL TURQUIE : Dimensionnement viroles et oubli soupapes de sécurité au budget</v>
      </c>
    </row>
    <row r="47" spans="1:40" s="76" customFormat="1" ht="25.5" hidden="1" x14ac:dyDescent="0.3">
      <c r="A47" s="122"/>
      <c r="B47" s="116">
        <v>12008</v>
      </c>
      <c r="C47" s="113" t="s">
        <v>4</v>
      </c>
      <c r="D47" s="117">
        <v>41009</v>
      </c>
      <c r="E47" s="118" t="s">
        <v>191</v>
      </c>
      <c r="F47" s="118"/>
      <c r="G47" s="111" t="s">
        <v>218</v>
      </c>
      <c r="H47" s="111"/>
      <c r="I47" s="119" t="s">
        <v>2057</v>
      </c>
      <c r="J47" s="113"/>
      <c r="K47" s="126"/>
      <c r="L47" s="126" t="s">
        <v>219</v>
      </c>
      <c r="M47" s="126" t="s">
        <v>16</v>
      </c>
      <c r="N47" s="120" t="s">
        <v>220</v>
      </c>
      <c r="O47" s="111" t="s">
        <v>29</v>
      </c>
      <c r="P47" s="111" t="s">
        <v>86</v>
      </c>
      <c r="Q47" s="111"/>
      <c r="R47" s="111" t="s">
        <v>15</v>
      </c>
      <c r="S47" s="111"/>
      <c r="T47" s="118"/>
      <c r="U47" s="64">
        <v>40982</v>
      </c>
      <c r="V47" s="158" t="s">
        <v>6</v>
      </c>
      <c r="W47" s="118" t="s">
        <v>146</v>
      </c>
      <c r="X47" s="113"/>
      <c r="Y47" s="117">
        <f t="shared" si="0"/>
        <v>41100</v>
      </c>
      <c r="Z47" s="117">
        <v>41086</v>
      </c>
      <c r="AA47" s="161" t="str">
        <f t="shared" ca="1" si="1"/>
        <v>YES</v>
      </c>
      <c r="AB47" s="113"/>
      <c r="AC47" s="117"/>
      <c r="AD47" s="111"/>
      <c r="AE47" s="111"/>
      <c r="AF47" s="111" t="str">
        <f t="shared" ca="1" si="2"/>
        <v>N/A</v>
      </c>
      <c r="AG47" s="162"/>
      <c r="AH47" s="162"/>
      <c r="AI47" s="164">
        <f t="shared" si="3"/>
        <v>0</v>
      </c>
      <c r="AJ47" s="118"/>
      <c r="AK47" s="113">
        <v>41086</v>
      </c>
      <c r="AL47" s="118"/>
      <c r="AM47" s="165" t="str">
        <f t="shared" si="4"/>
        <v>12008 CJ Jombang Indonesia</v>
      </c>
      <c r="AN47" s="165" t="str">
        <f t="shared" si="5"/>
        <v>12008 CJ Jombang Indonesia : Conditioning and storage of chinese doc/delayed delivery</v>
      </c>
    </row>
    <row r="48" spans="1:40" s="76" customFormat="1" ht="13" hidden="1" x14ac:dyDescent="0.3">
      <c r="A48" s="122"/>
      <c r="B48" s="116">
        <v>12009</v>
      </c>
      <c r="C48" s="113" t="s">
        <v>4</v>
      </c>
      <c r="D48" s="117">
        <v>41019</v>
      </c>
      <c r="E48" s="118" t="s">
        <v>221</v>
      </c>
      <c r="F48" s="118"/>
      <c r="G48" s="111" t="s">
        <v>222</v>
      </c>
      <c r="H48" s="111"/>
      <c r="I48" s="119" t="s">
        <v>2056</v>
      </c>
      <c r="J48" s="113"/>
      <c r="K48" s="118"/>
      <c r="L48" s="118" t="s">
        <v>180</v>
      </c>
      <c r="M48" s="118" t="s">
        <v>11</v>
      </c>
      <c r="N48" s="120" t="s">
        <v>223</v>
      </c>
      <c r="O48" s="111" t="s">
        <v>29</v>
      </c>
      <c r="P48" s="111" t="s">
        <v>86</v>
      </c>
      <c r="Q48" s="111" t="s">
        <v>176</v>
      </c>
      <c r="R48" s="111" t="s">
        <v>145</v>
      </c>
      <c r="S48" s="111"/>
      <c r="T48" s="118"/>
      <c r="U48" s="64">
        <v>41001</v>
      </c>
      <c r="V48" s="158" t="s">
        <v>6</v>
      </c>
      <c r="W48" s="118" t="s">
        <v>224</v>
      </c>
      <c r="X48" s="113"/>
      <c r="Y48" s="117">
        <f t="shared" si="0"/>
        <v>41110</v>
      </c>
      <c r="Z48" s="117">
        <v>41110</v>
      </c>
      <c r="AA48" s="161" t="str">
        <f t="shared" ca="1" si="1"/>
        <v>YES</v>
      </c>
      <c r="AB48" s="113"/>
      <c r="AC48" s="117"/>
      <c r="AD48" s="111"/>
      <c r="AE48" s="111"/>
      <c r="AF48" s="111" t="str">
        <f t="shared" ca="1" si="2"/>
        <v>N/A</v>
      </c>
      <c r="AG48" s="162"/>
      <c r="AH48" s="162"/>
      <c r="AI48" s="164">
        <f t="shared" si="3"/>
        <v>0</v>
      </c>
      <c r="AJ48" s="118"/>
      <c r="AK48" s="113">
        <v>41110</v>
      </c>
      <c r="AL48" s="118"/>
      <c r="AM48" s="165" t="str">
        <f t="shared" si="4"/>
        <v>12009 DANISCO / ONEX</v>
      </c>
      <c r="AN48" s="165" t="str">
        <f t="shared" si="5"/>
        <v>12009 DANISCO / ONEX : Réseaux de Chromato fuyard</v>
      </c>
    </row>
    <row r="49" spans="1:40" s="76" customFormat="1" ht="13" hidden="1" x14ac:dyDescent="0.3">
      <c r="A49" s="122"/>
      <c r="B49" s="116">
        <v>12010</v>
      </c>
      <c r="C49" s="113" t="s">
        <v>4</v>
      </c>
      <c r="D49" s="117">
        <v>41032</v>
      </c>
      <c r="E49" s="118" t="s">
        <v>129</v>
      </c>
      <c r="F49" s="118"/>
      <c r="G49" s="111" t="s">
        <v>225</v>
      </c>
      <c r="H49" s="111"/>
      <c r="I49" s="119" t="s">
        <v>5</v>
      </c>
      <c r="J49" s="113"/>
      <c r="K49" s="118"/>
      <c r="L49" s="118" t="s">
        <v>226</v>
      </c>
      <c r="M49" s="118" t="s">
        <v>18</v>
      </c>
      <c r="N49" s="120" t="s">
        <v>227</v>
      </c>
      <c r="O49" s="111" t="s">
        <v>28</v>
      </c>
      <c r="P49" s="111" t="s">
        <v>103</v>
      </c>
      <c r="Q49" s="111"/>
      <c r="R49" s="111" t="s">
        <v>145</v>
      </c>
      <c r="S49" s="111"/>
      <c r="T49" s="118"/>
      <c r="U49" s="64">
        <v>41023</v>
      </c>
      <c r="V49" s="158" t="s">
        <v>6</v>
      </c>
      <c r="W49" s="118" t="s">
        <v>129</v>
      </c>
      <c r="X49" s="113"/>
      <c r="Y49" s="117">
        <f t="shared" si="0"/>
        <v>41124</v>
      </c>
      <c r="Z49" s="117">
        <v>41116</v>
      </c>
      <c r="AA49" s="161" t="str">
        <f t="shared" ca="1" si="1"/>
        <v>YES</v>
      </c>
      <c r="AB49" s="113"/>
      <c r="AC49" s="117"/>
      <c r="AD49" s="111"/>
      <c r="AE49" s="111"/>
      <c r="AF49" s="111" t="str">
        <f t="shared" ca="1" si="2"/>
        <v/>
      </c>
      <c r="AG49" s="162"/>
      <c r="AH49" s="162"/>
      <c r="AI49" s="164">
        <f t="shared" si="3"/>
        <v>0</v>
      </c>
      <c r="AJ49" s="118"/>
      <c r="AK49" s="113">
        <v>41116</v>
      </c>
      <c r="AL49" s="118"/>
      <c r="AM49" s="165" t="str">
        <f t="shared" si="4"/>
        <v>12010 GOI / GE</v>
      </c>
      <c r="AN49" s="165" t="str">
        <f t="shared" si="5"/>
        <v>12010 GOI / GE : 50 Mbre NF moisies</v>
      </c>
    </row>
    <row r="50" spans="1:40" s="76" customFormat="1" ht="13" hidden="1" x14ac:dyDescent="0.3">
      <c r="A50" s="122"/>
      <c r="B50" s="116">
        <v>12011</v>
      </c>
      <c r="C50" s="113" t="s">
        <v>4</v>
      </c>
      <c r="D50" s="117">
        <v>41040</v>
      </c>
      <c r="E50" s="118" t="s">
        <v>228</v>
      </c>
      <c r="F50" s="118"/>
      <c r="G50" s="111" t="s">
        <v>229</v>
      </c>
      <c r="H50" s="111"/>
      <c r="I50" s="119" t="s">
        <v>2057</v>
      </c>
      <c r="J50" s="113"/>
      <c r="K50" s="118"/>
      <c r="L50" s="118" t="s">
        <v>230</v>
      </c>
      <c r="M50" s="118" t="s">
        <v>11</v>
      </c>
      <c r="N50" s="120" t="s">
        <v>231</v>
      </c>
      <c r="O50" s="111" t="s">
        <v>29</v>
      </c>
      <c r="P50" s="111" t="s">
        <v>176</v>
      </c>
      <c r="Q50" s="111"/>
      <c r="R50" s="111" t="s">
        <v>15</v>
      </c>
      <c r="S50" s="111"/>
      <c r="T50" s="118"/>
      <c r="U50" s="64">
        <v>41012</v>
      </c>
      <c r="V50" s="158" t="s">
        <v>6</v>
      </c>
      <c r="W50" s="118" t="s">
        <v>224</v>
      </c>
      <c r="X50" s="113"/>
      <c r="Y50" s="117">
        <f t="shared" si="0"/>
        <v>41132</v>
      </c>
      <c r="Z50" s="117">
        <v>41107</v>
      </c>
      <c r="AA50" s="161" t="str">
        <f t="shared" ca="1" si="1"/>
        <v>YES</v>
      </c>
      <c r="AB50" s="113"/>
      <c r="AC50" s="117"/>
      <c r="AD50" s="111"/>
      <c r="AE50" s="111"/>
      <c r="AF50" s="111" t="str">
        <f t="shared" ca="1" si="2"/>
        <v>N/A</v>
      </c>
      <c r="AG50" s="162"/>
      <c r="AH50" s="162"/>
      <c r="AI50" s="164">
        <f t="shared" si="3"/>
        <v>0</v>
      </c>
      <c r="AJ50" s="118"/>
      <c r="AK50" s="113">
        <v>41107</v>
      </c>
      <c r="AL50" s="118"/>
      <c r="AM50" s="165" t="str">
        <f t="shared" si="4"/>
        <v>12011 Fisher Bioblock Scientific</v>
      </c>
      <c r="AN50" s="165" t="str">
        <f t="shared" si="5"/>
        <v>12011 Fisher Bioblock Scientific : Retard Livraison</v>
      </c>
    </row>
    <row r="51" spans="1:40" s="76" customFormat="1" ht="13" hidden="1" x14ac:dyDescent="0.3">
      <c r="A51" s="122"/>
      <c r="B51" s="116">
        <v>12012</v>
      </c>
      <c r="C51" s="113" t="s">
        <v>4</v>
      </c>
      <c r="D51" s="117">
        <v>41045</v>
      </c>
      <c r="E51" s="118" t="s">
        <v>116</v>
      </c>
      <c r="F51" s="118"/>
      <c r="G51" s="111" t="s">
        <v>232</v>
      </c>
      <c r="H51" s="111"/>
      <c r="I51" s="119" t="s">
        <v>2057</v>
      </c>
      <c r="J51" s="113"/>
      <c r="K51" s="118"/>
      <c r="L51" s="118" t="s">
        <v>233</v>
      </c>
      <c r="M51" s="118" t="s">
        <v>13</v>
      </c>
      <c r="N51" s="120" t="s">
        <v>234</v>
      </c>
      <c r="O51" s="111" t="s">
        <v>29</v>
      </c>
      <c r="P51" s="111" t="s">
        <v>176</v>
      </c>
      <c r="Q51" s="111" t="s">
        <v>164</v>
      </c>
      <c r="R51" s="111" t="s">
        <v>15</v>
      </c>
      <c r="S51" s="111"/>
      <c r="T51" s="118"/>
      <c r="U51" s="64">
        <v>41031</v>
      </c>
      <c r="V51" s="158" t="s">
        <v>6</v>
      </c>
      <c r="W51" s="118" t="s">
        <v>224</v>
      </c>
      <c r="X51" s="113"/>
      <c r="Y51" s="117">
        <f t="shared" si="0"/>
        <v>41137</v>
      </c>
      <c r="Z51" s="117">
        <v>41107</v>
      </c>
      <c r="AA51" s="161" t="str">
        <f t="shared" ca="1" si="1"/>
        <v>YES</v>
      </c>
      <c r="AB51" s="113"/>
      <c r="AC51" s="117"/>
      <c r="AD51" s="111"/>
      <c r="AE51" s="111"/>
      <c r="AF51" s="111" t="str">
        <f t="shared" ca="1" si="2"/>
        <v>N/A</v>
      </c>
      <c r="AG51" s="162"/>
      <c r="AH51" s="162"/>
      <c r="AI51" s="164">
        <f t="shared" si="3"/>
        <v>0</v>
      </c>
      <c r="AJ51" s="118"/>
      <c r="AK51" s="113">
        <v>41107</v>
      </c>
      <c r="AL51" s="118"/>
      <c r="AM51" s="165" t="str">
        <f t="shared" si="4"/>
        <v>12012 OUEST IMPORT / DIATRANS</v>
      </c>
      <c r="AN51" s="165" t="str">
        <f t="shared" si="5"/>
        <v>12012 OUEST IMPORT / DIATRANS : Cde silex non livré</v>
      </c>
    </row>
    <row r="52" spans="1:40" s="76" customFormat="1" ht="13" hidden="1" x14ac:dyDescent="0.3">
      <c r="A52" s="122"/>
      <c r="B52" s="116">
        <v>12013</v>
      </c>
      <c r="C52" s="113" t="s">
        <v>4</v>
      </c>
      <c r="D52" s="117">
        <v>41045</v>
      </c>
      <c r="E52" s="118" t="s">
        <v>116</v>
      </c>
      <c r="F52" s="118"/>
      <c r="G52" s="111" t="s">
        <v>235</v>
      </c>
      <c r="H52" s="111"/>
      <c r="I52" s="119" t="s">
        <v>5</v>
      </c>
      <c r="J52" s="113" t="s">
        <v>6</v>
      </c>
      <c r="K52" s="118"/>
      <c r="L52" s="118" t="s">
        <v>236</v>
      </c>
      <c r="M52" s="118" t="s">
        <v>11</v>
      </c>
      <c r="N52" s="120" t="s">
        <v>237</v>
      </c>
      <c r="O52" s="111" t="s">
        <v>29</v>
      </c>
      <c r="P52" s="111" t="s">
        <v>86</v>
      </c>
      <c r="Q52" s="111"/>
      <c r="R52" s="111" t="s">
        <v>145</v>
      </c>
      <c r="S52" s="111"/>
      <c r="T52" s="118"/>
      <c r="U52" s="64">
        <v>41040</v>
      </c>
      <c r="V52" s="158" t="s">
        <v>6</v>
      </c>
      <c r="W52" s="118" t="s">
        <v>205</v>
      </c>
      <c r="X52" s="113"/>
      <c r="Y52" s="117">
        <f t="shared" si="0"/>
        <v>41137</v>
      </c>
      <c r="Z52" s="117">
        <v>41354</v>
      </c>
      <c r="AA52" s="161" t="str">
        <f t="shared" ca="1" si="1"/>
        <v>NO</v>
      </c>
      <c r="AB52" s="113"/>
      <c r="AC52" s="117"/>
      <c r="AD52" s="111"/>
      <c r="AE52" s="111"/>
      <c r="AF52" s="111" t="str">
        <f t="shared" ca="1" si="2"/>
        <v/>
      </c>
      <c r="AG52" s="162"/>
      <c r="AH52" s="162"/>
      <c r="AI52" s="164">
        <f t="shared" si="3"/>
        <v>0</v>
      </c>
      <c r="AJ52" s="118" t="s">
        <v>10</v>
      </c>
      <c r="AK52" s="113">
        <v>41354</v>
      </c>
      <c r="AL52" s="118" t="s">
        <v>238</v>
      </c>
      <c r="AM52" s="165" t="str">
        <f t="shared" si="4"/>
        <v>12013 ENSIGN / KCH</v>
      </c>
      <c r="AN52" s="165" t="str">
        <f t="shared" si="5"/>
        <v>12013 ENSIGN / KCH : Leakage on rubber lined pipes</v>
      </c>
    </row>
    <row r="53" spans="1:40" s="76" customFormat="1" ht="13" hidden="1" x14ac:dyDescent="0.3">
      <c r="A53" s="122"/>
      <c r="B53" s="116">
        <v>12014</v>
      </c>
      <c r="C53" s="113" t="s">
        <v>4</v>
      </c>
      <c r="D53" s="117">
        <v>41067</v>
      </c>
      <c r="E53" s="118" t="s">
        <v>239</v>
      </c>
      <c r="F53" s="118"/>
      <c r="G53" s="111" t="s">
        <v>240</v>
      </c>
      <c r="H53" s="111"/>
      <c r="I53" s="119" t="s">
        <v>2057</v>
      </c>
      <c r="J53" s="113"/>
      <c r="K53" s="118"/>
      <c r="L53" s="118" t="s">
        <v>241</v>
      </c>
      <c r="M53" s="118" t="s">
        <v>13</v>
      </c>
      <c r="N53" s="120" t="s">
        <v>242</v>
      </c>
      <c r="O53" s="111" t="s">
        <v>29</v>
      </c>
      <c r="P53" s="111" t="s">
        <v>86</v>
      </c>
      <c r="Q53" s="111"/>
      <c r="R53" s="111" t="s">
        <v>15</v>
      </c>
      <c r="S53" s="111"/>
      <c r="T53" s="118"/>
      <c r="U53" s="64">
        <v>40884</v>
      </c>
      <c r="V53" s="158" t="s">
        <v>6</v>
      </c>
      <c r="W53" s="118" t="s">
        <v>120</v>
      </c>
      <c r="X53" s="113"/>
      <c r="Y53" s="117">
        <f t="shared" si="0"/>
        <v>41159</v>
      </c>
      <c r="Z53" s="117">
        <v>41158</v>
      </c>
      <c r="AA53" s="161" t="str">
        <f t="shared" ca="1" si="1"/>
        <v>YES</v>
      </c>
      <c r="AB53" s="113"/>
      <c r="AC53" s="117"/>
      <c r="AD53" s="111"/>
      <c r="AE53" s="111"/>
      <c r="AF53" s="111" t="str">
        <f t="shared" ca="1" si="2"/>
        <v>N/A</v>
      </c>
      <c r="AG53" s="162"/>
      <c r="AH53" s="162"/>
      <c r="AI53" s="164">
        <f t="shared" si="3"/>
        <v>0</v>
      </c>
      <c r="AJ53" s="118"/>
      <c r="AK53" s="113">
        <v>41158</v>
      </c>
      <c r="AL53" s="118"/>
      <c r="AM53" s="165" t="str">
        <f t="shared" si="4"/>
        <v>12014 ADM / BRANT</v>
      </c>
      <c r="AN53" s="165" t="str">
        <f t="shared" si="5"/>
        <v>12014 ADM / BRANT : Diameters of holes are too large / nozzles</v>
      </c>
    </row>
    <row r="54" spans="1:40" s="76" customFormat="1" ht="13" hidden="1" x14ac:dyDescent="0.3">
      <c r="A54" s="122"/>
      <c r="B54" s="116">
        <v>12015</v>
      </c>
      <c r="C54" s="113" t="s">
        <v>4</v>
      </c>
      <c r="D54" s="117">
        <v>41067</v>
      </c>
      <c r="E54" s="118" t="s">
        <v>239</v>
      </c>
      <c r="F54" s="118"/>
      <c r="G54" s="111" t="s">
        <v>243</v>
      </c>
      <c r="H54" s="111"/>
      <c r="I54" s="119" t="s">
        <v>2056</v>
      </c>
      <c r="J54" s="113"/>
      <c r="K54" s="118"/>
      <c r="L54" s="118" t="s">
        <v>244</v>
      </c>
      <c r="M54" s="118" t="s">
        <v>11</v>
      </c>
      <c r="N54" s="120" t="s">
        <v>245</v>
      </c>
      <c r="O54" s="111" t="s">
        <v>29</v>
      </c>
      <c r="P54" s="111" t="s">
        <v>86</v>
      </c>
      <c r="Q54" s="111" t="s">
        <v>176</v>
      </c>
      <c r="R54" s="111" t="s">
        <v>145</v>
      </c>
      <c r="S54" s="111"/>
      <c r="T54" s="118"/>
      <c r="U54" s="64">
        <v>41067</v>
      </c>
      <c r="V54" s="158" t="s">
        <v>6</v>
      </c>
      <c r="W54" s="118" t="s">
        <v>224</v>
      </c>
      <c r="X54" s="113"/>
      <c r="Y54" s="117">
        <f t="shared" si="0"/>
        <v>41159</v>
      </c>
      <c r="Z54" s="117">
        <v>41131</v>
      </c>
      <c r="AA54" s="161" t="str">
        <f t="shared" ca="1" si="1"/>
        <v>YES</v>
      </c>
      <c r="AB54" s="113"/>
      <c r="AC54" s="117"/>
      <c r="AD54" s="111"/>
      <c r="AE54" s="111"/>
      <c r="AF54" s="111" t="str">
        <f t="shared" ca="1" si="2"/>
        <v>N/A</v>
      </c>
      <c r="AG54" s="162"/>
      <c r="AH54" s="162"/>
      <c r="AI54" s="164">
        <f t="shared" si="3"/>
        <v>0</v>
      </c>
      <c r="AJ54" s="118"/>
      <c r="AK54" s="113">
        <v>41131</v>
      </c>
      <c r="AL54" s="118"/>
      <c r="AM54" s="165" t="str">
        <f t="shared" si="4"/>
        <v>12015 Frisland / LABBE</v>
      </c>
      <c r="AN54" s="165" t="str">
        <f t="shared" si="5"/>
        <v>12015 Frisland / LABBE : Hauteur de cellule &lt; cote</v>
      </c>
    </row>
    <row r="55" spans="1:40" s="76" customFormat="1" ht="13" hidden="1" x14ac:dyDescent="0.3">
      <c r="A55" s="122"/>
      <c r="B55" s="116">
        <v>12016</v>
      </c>
      <c r="C55" s="113" t="s">
        <v>4</v>
      </c>
      <c r="D55" s="117">
        <v>41067</v>
      </c>
      <c r="E55" s="118" t="s">
        <v>239</v>
      </c>
      <c r="F55" s="118"/>
      <c r="G55" s="111" t="s">
        <v>246</v>
      </c>
      <c r="H55" s="111"/>
      <c r="I55" s="119" t="s">
        <v>2057</v>
      </c>
      <c r="J55" s="113"/>
      <c r="K55" s="118"/>
      <c r="L55" s="118" t="s">
        <v>244</v>
      </c>
      <c r="M55" s="118" t="s">
        <v>11</v>
      </c>
      <c r="N55" s="120" t="s">
        <v>247</v>
      </c>
      <c r="O55" s="111" t="s">
        <v>29</v>
      </c>
      <c r="P55" s="111" t="s">
        <v>86</v>
      </c>
      <c r="Q55" s="111" t="s">
        <v>176</v>
      </c>
      <c r="R55" s="111" t="s">
        <v>15</v>
      </c>
      <c r="S55" s="111"/>
      <c r="T55" s="118"/>
      <c r="U55" s="64">
        <v>41044</v>
      </c>
      <c r="V55" s="158" t="s">
        <v>6</v>
      </c>
      <c r="W55" s="118" t="s">
        <v>120</v>
      </c>
      <c r="X55" s="113"/>
      <c r="Y55" s="117">
        <f t="shared" si="0"/>
        <v>41159</v>
      </c>
      <c r="Z55" s="117">
        <v>41158</v>
      </c>
      <c r="AA55" s="161" t="str">
        <f t="shared" ca="1" si="1"/>
        <v>YES</v>
      </c>
      <c r="AB55" s="113"/>
      <c r="AC55" s="117"/>
      <c r="AD55" s="111"/>
      <c r="AE55" s="111"/>
      <c r="AF55" s="111" t="str">
        <f t="shared" ca="1" si="2"/>
        <v>N/A</v>
      </c>
      <c r="AG55" s="162"/>
      <c r="AH55" s="162"/>
      <c r="AI55" s="164">
        <f t="shared" si="3"/>
        <v>0</v>
      </c>
      <c r="AJ55" s="118"/>
      <c r="AK55" s="113">
        <v>41158</v>
      </c>
      <c r="AL55" s="118" t="s">
        <v>248</v>
      </c>
      <c r="AM55" s="165" t="str">
        <f t="shared" si="4"/>
        <v>12016 Frisland / MTCI</v>
      </c>
      <c r="AN55" s="165" t="str">
        <f t="shared" si="5"/>
        <v>12016 Frisland / MTCI : Montage échangeur à plaque sur skid</v>
      </c>
    </row>
    <row r="56" spans="1:40" s="76" customFormat="1" ht="13" hidden="1" x14ac:dyDescent="0.3">
      <c r="A56" s="122"/>
      <c r="B56" s="116">
        <v>12017</v>
      </c>
      <c r="C56" s="113" t="s">
        <v>4</v>
      </c>
      <c r="D56" s="117">
        <v>41067</v>
      </c>
      <c r="E56" s="118" t="s">
        <v>239</v>
      </c>
      <c r="F56" s="118"/>
      <c r="G56" s="111" t="s">
        <v>249</v>
      </c>
      <c r="H56" s="111"/>
      <c r="I56" s="119" t="s">
        <v>2056</v>
      </c>
      <c r="J56" s="113"/>
      <c r="K56" s="118"/>
      <c r="L56" s="118" t="s">
        <v>244</v>
      </c>
      <c r="M56" s="118" t="s">
        <v>11</v>
      </c>
      <c r="N56" s="120" t="s">
        <v>250</v>
      </c>
      <c r="O56" s="111" t="s">
        <v>29</v>
      </c>
      <c r="P56" s="111" t="s">
        <v>86</v>
      </c>
      <c r="Q56" s="111" t="s">
        <v>176</v>
      </c>
      <c r="R56" s="111" t="s">
        <v>145</v>
      </c>
      <c r="S56" s="111"/>
      <c r="T56" s="118"/>
      <c r="U56" s="64">
        <v>41019</v>
      </c>
      <c r="V56" s="158" t="s">
        <v>6</v>
      </c>
      <c r="W56" s="118" t="s">
        <v>177</v>
      </c>
      <c r="X56" s="113"/>
      <c r="Y56" s="117">
        <f t="shared" si="0"/>
        <v>41159</v>
      </c>
      <c r="Z56" s="117">
        <v>41107</v>
      </c>
      <c r="AA56" s="161" t="str">
        <f t="shared" ca="1" si="1"/>
        <v>YES</v>
      </c>
      <c r="AB56" s="113"/>
      <c r="AC56" s="117"/>
      <c r="AD56" s="111"/>
      <c r="AE56" s="111"/>
      <c r="AF56" s="111" t="str">
        <f t="shared" ca="1" si="2"/>
        <v>N/A</v>
      </c>
      <c r="AG56" s="162"/>
      <c r="AH56" s="162"/>
      <c r="AI56" s="164">
        <f t="shared" si="3"/>
        <v>0</v>
      </c>
      <c r="AJ56" s="118"/>
      <c r="AK56" s="113">
        <v>41107</v>
      </c>
      <c r="AL56" s="118"/>
      <c r="AM56" s="165" t="str">
        <f t="shared" si="4"/>
        <v>12017 Frisland / Euroslot</v>
      </c>
      <c r="AN56" s="165" t="str">
        <f t="shared" si="5"/>
        <v>12017 Frisland / Euroslot : Etat surface crépines / Retard livraison</v>
      </c>
    </row>
    <row r="57" spans="1:40" s="76" customFormat="1" ht="13" hidden="1" x14ac:dyDescent="0.3">
      <c r="A57" s="122"/>
      <c r="B57" s="116">
        <v>12018</v>
      </c>
      <c r="C57" s="113" t="s">
        <v>4</v>
      </c>
      <c r="D57" s="117">
        <v>41067</v>
      </c>
      <c r="E57" s="118" t="s">
        <v>205</v>
      </c>
      <c r="F57" s="118"/>
      <c r="G57" s="111" t="s">
        <v>251</v>
      </c>
      <c r="H57" s="111"/>
      <c r="I57" s="119" t="s">
        <v>5</v>
      </c>
      <c r="J57" s="113"/>
      <c r="K57" s="118"/>
      <c r="L57" s="118" t="s">
        <v>252</v>
      </c>
      <c r="M57" s="118" t="s">
        <v>16</v>
      </c>
      <c r="N57" s="120" t="s">
        <v>253</v>
      </c>
      <c r="O57" s="111" t="s">
        <v>29</v>
      </c>
      <c r="P57" s="111" t="s">
        <v>86</v>
      </c>
      <c r="Q57" s="111"/>
      <c r="R57" s="111" t="s">
        <v>9</v>
      </c>
      <c r="S57" s="111"/>
      <c r="T57" s="118"/>
      <c r="U57" s="64">
        <v>41067</v>
      </c>
      <c r="V57" s="158" t="s">
        <v>6</v>
      </c>
      <c r="W57" s="118" t="s">
        <v>205</v>
      </c>
      <c r="X57" s="113"/>
      <c r="Y57" s="117">
        <f t="shared" si="0"/>
        <v>41159</v>
      </c>
      <c r="Z57" s="117">
        <v>41166</v>
      </c>
      <c r="AA57" s="161" t="str">
        <f t="shared" ca="1" si="1"/>
        <v>NO</v>
      </c>
      <c r="AB57" s="113"/>
      <c r="AC57" s="117"/>
      <c r="AD57" s="111"/>
      <c r="AE57" s="111"/>
      <c r="AF57" s="111" t="str">
        <f t="shared" ca="1" si="2"/>
        <v/>
      </c>
      <c r="AG57" s="162"/>
      <c r="AH57" s="162"/>
      <c r="AI57" s="164">
        <f t="shared" si="3"/>
        <v>0</v>
      </c>
      <c r="AJ57" s="118"/>
      <c r="AK57" s="113">
        <v>41166</v>
      </c>
      <c r="AL57" s="118" t="s">
        <v>254</v>
      </c>
      <c r="AM57" s="165" t="str">
        <f t="shared" si="4"/>
        <v>12018 Meihua 6</v>
      </c>
      <c r="AN57" s="165" t="str">
        <f t="shared" si="5"/>
        <v>12018 Meihua 6 : Broken Membranes</v>
      </c>
    </row>
    <row r="58" spans="1:40" s="76" customFormat="1" ht="13" hidden="1" x14ac:dyDescent="0.3">
      <c r="A58" s="122"/>
      <c r="B58" s="116">
        <v>12019</v>
      </c>
      <c r="C58" s="113" t="s">
        <v>4</v>
      </c>
      <c r="D58" s="117">
        <v>41067</v>
      </c>
      <c r="E58" s="118" t="s">
        <v>205</v>
      </c>
      <c r="F58" s="118"/>
      <c r="G58" s="111" t="s">
        <v>255</v>
      </c>
      <c r="H58" s="111"/>
      <c r="I58" s="119" t="s">
        <v>2057</v>
      </c>
      <c r="J58" s="113"/>
      <c r="K58" s="118"/>
      <c r="L58" s="118" t="s">
        <v>256</v>
      </c>
      <c r="M58" s="118" t="s">
        <v>16</v>
      </c>
      <c r="N58" s="120" t="s">
        <v>257</v>
      </c>
      <c r="O58" s="111" t="s">
        <v>29</v>
      </c>
      <c r="P58" s="111" t="s">
        <v>86</v>
      </c>
      <c r="Q58" s="111"/>
      <c r="R58" s="111" t="s">
        <v>15</v>
      </c>
      <c r="S58" s="111"/>
      <c r="T58" s="118"/>
      <c r="U58" s="64">
        <v>41086</v>
      </c>
      <c r="V58" s="158" t="s">
        <v>10</v>
      </c>
      <c r="W58" s="118"/>
      <c r="X58" s="113"/>
      <c r="Y58" s="117">
        <f t="shared" si="0"/>
        <v>41159</v>
      </c>
      <c r="Z58" s="117">
        <v>41107</v>
      </c>
      <c r="AA58" s="161" t="str">
        <f t="shared" ca="1" si="1"/>
        <v>YES</v>
      </c>
      <c r="AB58" s="113"/>
      <c r="AC58" s="117"/>
      <c r="AD58" s="111"/>
      <c r="AE58" s="111"/>
      <c r="AF58" s="111" t="str">
        <f t="shared" ca="1" si="2"/>
        <v>N/A</v>
      </c>
      <c r="AG58" s="162"/>
      <c r="AH58" s="162"/>
      <c r="AI58" s="164">
        <f t="shared" si="3"/>
        <v>0</v>
      </c>
      <c r="AJ58" s="118"/>
      <c r="AK58" s="113">
        <v>41107</v>
      </c>
      <c r="AL58" s="118"/>
      <c r="AM58" s="165" t="str">
        <f t="shared" si="4"/>
        <v>12019 Glory</v>
      </c>
      <c r="AN58" s="165" t="str">
        <f t="shared" si="5"/>
        <v>12019 Glory : Non delivery of lock nuts</v>
      </c>
    </row>
    <row r="59" spans="1:40" s="76" customFormat="1" ht="13" hidden="1" x14ac:dyDescent="0.3">
      <c r="A59" s="122"/>
      <c r="B59" s="116">
        <v>12020</v>
      </c>
      <c r="C59" s="113" t="s">
        <v>4</v>
      </c>
      <c r="D59" s="117">
        <v>41072</v>
      </c>
      <c r="E59" s="118" t="s">
        <v>258</v>
      </c>
      <c r="F59" s="118"/>
      <c r="G59" s="111" t="s">
        <v>259</v>
      </c>
      <c r="H59" s="111"/>
      <c r="I59" s="119" t="s">
        <v>2058</v>
      </c>
      <c r="J59" s="113"/>
      <c r="K59" s="118"/>
      <c r="L59" s="118" t="s">
        <v>260</v>
      </c>
      <c r="M59" s="118"/>
      <c r="N59" s="120" t="s">
        <v>261</v>
      </c>
      <c r="O59" s="111"/>
      <c r="P59" s="111" t="s">
        <v>80</v>
      </c>
      <c r="Q59" s="111"/>
      <c r="R59" s="111" t="s">
        <v>15</v>
      </c>
      <c r="S59" s="111"/>
      <c r="T59" s="118"/>
      <c r="U59" s="64">
        <v>41044</v>
      </c>
      <c r="V59" s="158" t="s">
        <v>6</v>
      </c>
      <c r="W59" s="118" t="s">
        <v>258</v>
      </c>
      <c r="X59" s="113"/>
      <c r="Y59" s="117">
        <f t="shared" si="0"/>
        <v>41164</v>
      </c>
      <c r="Z59" s="117">
        <v>41150</v>
      </c>
      <c r="AA59" s="161" t="str">
        <f t="shared" ca="1" si="1"/>
        <v>YES</v>
      </c>
      <c r="AB59" s="113"/>
      <c r="AC59" s="117"/>
      <c r="AD59" s="111"/>
      <c r="AE59" s="111"/>
      <c r="AF59" s="111" t="str">
        <f t="shared" ca="1" si="2"/>
        <v>N/A</v>
      </c>
      <c r="AG59" s="162"/>
      <c r="AH59" s="162"/>
      <c r="AI59" s="164">
        <f t="shared" si="3"/>
        <v>0</v>
      </c>
      <c r="AJ59" s="118"/>
      <c r="AK59" s="113">
        <v>41150</v>
      </c>
      <c r="AL59" s="118"/>
      <c r="AM59" s="165" t="str">
        <f t="shared" si="4"/>
        <v>12020 projet STEVIA</v>
      </c>
      <c r="AN59" s="165" t="str">
        <f t="shared" si="5"/>
        <v>12020 projet STEVIA : Trouble de la vision œil gauche</v>
      </c>
    </row>
    <row r="60" spans="1:40" s="76" customFormat="1" ht="25.5" hidden="1" x14ac:dyDescent="0.3">
      <c r="A60" s="122"/>
      <c r="B60" s="116">
        <v>12021</v>
      </c>
      <c r="C60" s="113" t="s">
        <v>4</v>
      </c>
      <c r="D60" s="117">
        <v>41114</v>
      </c>
      <c r="E60" s="118" t="s">
        <v>120</v>
      </c>
      <c r="F60" s="118"/>
      <c r="G60" s="111" t="s">
        <v>262</v>
      </c>
      <c r="H60" s="111"/>
      <c r="I60" s="119" t="s">
        <v>2056</v>
      </c>
      <c r="J60" s="113"/>
      <c r="K60" s="118"/>
      <c r="L60" s="118" t="s">
        <v>263</v>
      </c>
      <c r="M60" s="118" t="s">
        <v>13</v>
      </c>
      <c r="N60" s="120" t="s">
        <v>264</v>
      </c>
      <c r="O60" s="111" t="s">
        <v>29</v>
      </c>
      <c r="P60" s="111" t="s">
        <v>86</v>
      </c>
      <c r="Q60" s="111" t="s">
        <v>176</v>
      </c>
      <c r="R60" s="111" t="s">
        <v>145</v>
      </c>
      <c r="S60" s="111"/>
      <c r="T60" s="118"/>
      <c r="U60" s="64">
        <v>41075</v>
      </c>
      <c r="V60" s="158" t="s">
        <v>6</v>
      </c>
      <c r="W60" s="118" t="s">
        <v>265</v>
      </c>
      <c r="X60" s="113"/>
      <c r="Y60" s="117">
        <f t="shared" si="0"/>
        <v>41206</v>
      </c>
      <c r="Z60" s="117">
        <v>41206</v>
      </c>
      <c r="AA60" s="161" t="str">
        <f t="shared" ca="1" si="1"/>
        <v>YES</v>
      </c>
      <c r="AB60" s="113"/>
      <c r="AC60" s="117"/>
      <c r="AD60" s="111"/>
      <c r="AE60" s="111"/>
      <c r="AF60" s="111" t="str">
        <f t="shared" ca="1" si="2"/>
        <v>N/A</v>
      </c>
      <c r="AG60" s="162"/>
      <c r="AH60" s="162"/>
      <c r="AI60" s="164">
        <f t="shared" si="3"/>
        <v>0</v>
      </c>
      <c r="AJ60" s="118" t="s">
        <v>6</v>
      </c>
      <c r="AK60" s="113">
        <v>41206</v>
      </c>
      <c r="AL60" s="118"/>
      <c r="AM60" s="165" t="str">
        <f t="shared" si="4"/>
        <v>12021 METIDJI/ACDN/OTIME</v>
      </c>
      <c r="AN60" s="165" t="str">
        <f t="shared" si="5"/>
        <v>12021 METIDJI/ACDN/OTIME : Fab tube UB6 collecteur/ Fab et montage tubes de ramification</v>
      </c>
    </row>
    <row r="61" spans="1:40" s="76" customFormat="1" ht="25.5" hidden="1" x14ac:dyDescent="0.3">
      <c r="A61" s="122"/>
      <c r="B61" s="116">
        <v>12022</v>
      </c>
      <c r="C61" s="113" t="s">
        <v>4</v>
      </c>
      <c r="D61" s="117">
        <v>41114</v>
      </c>
      <c r="E61" s="118" t="s">
        <v>120</v>
      </c>
      <c r="F61" s="118"/>
      <c r="G61" s="111" t="s">
        <v>266</v>
      </c>
      <c r="H61" s="111"/>
      <c r="I61" s="119" t="s">
        <v>2057</v>
      </c>
      <c r="J61" s="113"/>
      <c r="K61" s="126"/>
      <c r="L61" s="126" t="s">
        <v>263</v>
      </c>
      <c r="M61" s="126" t="s">
        <v>13</v>
      </c>
      <c r="N61" s="120" t="s">
        <v>267</v>
      </c>
      <c r="O61" s="111" t="s">
        <v>29</v>
      </c>
      <c r="P61" s="111" t="s">
        <v>86</v>
      </c>
      <c r="Q61" s="111"/>
      <c r="R61" s="111" t="s">
        <v>9</v>
      </c>
      <c r="S61" s="111"/>
      <c r="T61" s="118"/>
      <c r="U61" s="64">
        <v>41098</v>
      </c>
      <c r="V61" s="158" t="s">
        <v>6</v>
      </c>
      <c r="W61" s="118" t="s">
        <v>120</v>
      </c>
      <c r="X61" s="113"/>
      <c r="Y61" s="117">
        <f t="shared" si="0"/>
        <v>41206</v>
      </c>
      <c r="Z61" s="117">
        <v>41206</v>
      </c>
      <c r="AA61" s="161" t="str">
        <f t="shared" ca="1" si="1"/>
        <v>YES</v>
      </c>
      <c r="AB61" s="113"/>
      <c r="AC61" s="117"/>
      <c r="AD61" s="111"/>
      <c r="AE61" s="111"/>
      <c r="AF61" s="111" t="str">
        <f t="shared" ca="1" si="2"/>
        <v>N/A</v>
      </c>
      <c r="AG61" s="162"/>
      <c r="AH61" s="162"/>
      <c r="AI61" s="164">
        <f t="shared" si="3"/>
        <v>0</v>
      </c>
      <c r="AJ61" s="126" t="s">
        <v>6</v>
      </c>
      <c r="AK61" s="167">
        <v>41206</v>
      </c>
      <c r="AL61" s="126"/>
      <c r="AM61" s="165" t="str">
        <f t="shared" si="4"/>
        <v xml:space="preserve">12022 METIDJI </v>
      </c>
      <c r="AN61" s="165" t="str">
        <f t="shared" si="5"/>
        <v>12022 METIDJI  : Pb fuite clapet+montage / Pb raccord tuyauteries entre brides</v>
      </c>
    </row>
    <row r="62" spans="1:40" s="76" customFormat="1" ht="13" hidden="1" x14ac:dyDescent="0.3">
      <c r="A62" s="122"/>
      <c r="B62" s="116">
        <v>12023</v>
      </c>
      <c r="C62" s="113" t="s">
        <v>4</v>
      </c>
      <c r="D62" s="117">
        <v>41114</v>
      </c>
      <c r="E62" s="118" t="s">
        <v>268</v>
      </c>
      <c r="F62" s="118"/>
      <c r="G62" s="111" t="s">
        <v>269</v>
      </c>
      <c r="H62" s="111"/>
      <c r="I62" s="119" t="s">
        <v>5</v>
      </c>
      <c r="J62" s="113"/>
      <c r="K62" s="118"/>
      <c r="L62" s="118" t="s">
        <v>270</v>
      </c>
      <c r="M62" s="118" t="s">
        <v>13</v>
      </c>
      <c r="N62" s="120" t="s">
        <v>271</v>
      </c>
      <c r="O62" s="111" t="s">
        <v>29</v>
      </c>
      <c r="P62" s="111" t="s">
        <v>157</v>
      </c>
      <c r="Q62" s="111" t="s">
        <v>164</v>
      </c>
      <c r="R62" s="111" t="s">
        <v>9</v>
      </c>
      <c r="S62" s="111"/>
      <c r="T62" s="118"/>
      <c r="U62" s="64">
        <v>41075</v>
      </c>
      <c r="V62" s="158" t="s">
        <v>6</v>
      </c>
      <c r="W62" s="118" t="s">
        <v>272</v>
      </c>
      <c r="X62" s="113"/>
      <c r="Y62" s="117">
        <f t="shared" si="0"/>
        <v>41206</v>
      </c>
      <c r="Z62" s="117">
        <v>41235</v>
      </c>
      <c r="AA62" s="161" t="str">
        <f t="shared" ca="1" si="1"/>
        <v>NO</v>
      </c>
      <c r="AB62" s="113"/>
      <c r="AC62" s="117"/>
      <c r="AD62" s="111"/>
      <c r="AE62" s="111"/>
      <c r="AF62" s="111" t="str">
        <f t="shared" ca="1" si="2"/>
        <v/>
      </c>
      <c r="AG62" s="162"/>
      <c r="AH62" s="162"/>
      <c r="AI62" s="164">
        <f t="shared" si="3"/>
        <v>0</v>
      </c>
      <c r="AJ62" s="118" t="s">
        <v>6</v>
      </c>
      <c r="AK62" s="113">
        <v>41235</v>
      </c>
      <c r="AL62" s="118"/>
      <c r="AM62" s="165" t="str">
        <f t="shared" si="4"/>
        <v>12023 PROLACTAL</v>
      </c>
      <c r="AN62" s="165" t="str">
        <f t="shared" si="5"/>
        <v>12023 PROLACTAL : Perte de charges/ non atteinte de perfomance</v>
      </c>
    </row>
    <row r="63" spans="1:40" s="76" customFormat="1" ht="13" hidden="1" x14ac:dyDescent="0.3">
      <c r="A63" s="122"/>
      <c r="B63" s="116">
        <v>12024</v>
      </c>
      <c r="C63" s="113" t="s">
        <v>4</v>
      </c>
      <c r="D63" s="117">
        <v>41124</v>
      </c>
      <c r="E63" s="118" t="s">
        <v>273</v>
      </c>
      <c r="F63" s="118"/>
      <c r="G63" s="111" t="s">
        <v>274</v>
      </c>
      <c r="H63" s="111"/>
      <c r="I63" s="119" t="s">
        <v>2057</v>
      </c>
      <c r="J63" s="113"/>
      <c r="K63" s="118"/>
      <c r="L63" s="118" t="s">
        <v>275</v>
      </c>
      <c r="M63" s="118" t="s">
        <v>16</v>
      </c>
      <c r="N63" s="120" t="s">
        <v>276</v>
      </c>
      <c r="O63" s="111" t="s">
        <v>28</v>
      </c>
      <c r="P63" s="111" t="s">
        <v>103</v>
      </c>
      <c r="Q63" s="111"/>
      <c r="R63" s="111" t="s">
        <v>15</v>
      </c>
      <c r="S63" s="111"/>
      <c r="T63" s="118"/>
      <c r="U63" s="64">
        <v>41109</v>
      </c>
      <c r="V63" s="158" t="s">
        <v>6</v>
      </c>
      <c r="W63" s="118" t="s">
        <v>277</v>
      </c>
      <c r="X63" s="113"/>
      <c r="Y63" s="117">
        <f t="shared" si="0"/>
        <v>41216</v>
      </c>
      <c r="Z63" s="117">
        <v>41208</v>
      </c>
      <c r="AA63" s="161" t="str">
        <f t="shared" ca="1" si="1"/>
        <v>YES</v>
      </c>
      <c r="AB63" s="113"/>
      <c r="AC63" s="117"/>
      <c r="AD63" s="111"/>
      <c r="AE63" s="111"/>
      <c r="AF63" s="111" t="str">
        <f t="shared" ca="1" si="2"/>
        <v>N/A</v>
      </c>
      <c r="AG63" s="162"/>
      <c r="AH63" s="162"/>
      <c r="AI63" s="164">
        <f t="shared" si="3"/>
        <v>0</v>
      </c>
      <c r="AJ63" s="118" t="s">
        <v>6</v>
      </c>
      <c r="AK63" s="113">
        <v>41208</v>
      </c>
      <c r="AL63" s="118"/>
      <c r="AM63" s="165" t="str">
        <f t="shared" si="4"/>
        <v>12024 GSK Biologicals</v>
      </c>
      <c r="AN63" s="165" t="str">
        <f t="shared" si="5"/>
        <v>12024 GSK Biologicals : Spec des joints Kalrez / Diamètre de joints trop large</v>
      </c>
    </row>
    <row r="64" spans="1:40" s="76" customFormat="1" ht="13" hidden="1" x14ac:dyDescent="0.3">
      <c r="A64" s="122"/>
      <c r="B64" s="116">
        <v>12025</v>
      </c>
      <c r="C64" s="113" t="s">
        <v>4</v>
      </c>
      <c r="D64" s="117">
        <v>41129</v>
      </c>
      <c r="E64" s="118" t="s">
        <v>91</v>
      </c>
      <c r="F64" s="118"/>
      <c r="G64" s="111" t="s">
        <v>278</v>
      </c>
      <c r="H64" s="111"/>
      <c r="I64" s="119" t="s">
        <v>2056</v>
      </c>
      <c r="J64" s="113"/>
      <c r="K64" s="118"/>
      <c r="L64" s="118" t="s">
        <v>214</v>
      </c>
      <c r="M64" s="118" t="s">
        <v>13</v>
      </c>
      <c r="N64" s="120" t="s">
        <v>279</v>
      </c>
      <c r="O64" s="111" t="s">
        <v>29</v>
      </c>
      <c r="P64" s="111" t="s">
        <v>176</v>
      </c>
      <c r="Q64" s="111" t="s">
        <v>164</v>
      </c>
      <c r="R64" s="111" t="s">
        <v>145</v>
      </c>
      <c r="S64" s="111"/>
      <c r="T64" s="118"/>
      <c r="U64" s="64">
        <v>41089</v>
      </c>
      <c r="V64" s="158" t="s">
        <v>6</v>
      </c>
      <c r="W64" s="118" t="s">
        <v>280</v>
      </c>
      <c r="X64" s="113"/>
      <c r="Y64" s="117">
        <f t="shared" si="0"/>
        <v>41221</v>
      </c>
      <c r="Z64" s="117">
        <v>41218</v>
      </c>
      <c r="AA64" s="161" t="str">
        <f t="shared" ca="1" si="1"/>
        <v>YES</v>
      </c>
      <c r="AB64" s="113"/>
      <c r="AC64" s="117"/>
      <c r="AD64" s="111"/>
      <c r="AE64" s="111"/>
      <c r="AF64" s="111" t="str">
        <f t="shared" ca="1" si="2"/>
        <v>N/A</v>
      </c>
      <c r="AG64" s="162"/>
      <c r="AH64" s="162"/>
      <c r="AI64" s="164">
        <f t="shared" si="3"/>
        <v>0</v>
      </c>
      <c r="AJ64" s="118" t="s">
        <v>6</v>
      </c>
      <c r="AK64" s="113">
        <v>41218</v>
      </c>
      <c r="AL64" s="118"/>
      <c r="AM64" s="165" t="str">
        <f t="shared" si="4"/>
        <v>12025 CARGILL TURQUIE / ACDN</v>
      </c>
      <c r="AN64" s="165" t="str">
        <f t="shared" si="5"/>
        <v>12025 CARGILL TURQUIE / ACDN : Cote entraxe de perçage de la colonne différent/plan</v>
      </c>
    </row>
    <row r="65" spans="1:40" s="76" customFormat="1" ht="13" hidden="1" x14ac:dyDescent="0.3">
      <c r="A65" s="122"/>
      <c r="B65" s="116">
        <v>12026</v>
      </c>
      <c r="C65" s="113" t="s">
        <v>4</v>
      </c>
      <c r="D65" s="117">
        <v>41144</v>
      </c>
      <c r="E65" s="118" t="s">
        <v>281</v>
      </c>
      <c r="F65" s="118"/>
      <c r="G65" s="111" t="s">
        <v>282</v>
      </c>
      <c r="H65" s="111"/>
      <c r="I65" s="119" t="s">
        <v>2056</v>
      </c>
      <c r="J65" s="113"/>
      <c r="K65" s="118"/>
      <c r="L65" s="118" t="s">
        <v>207</v>
      </c>
      <c r="M65" s="118" t="s">
        <v>11</v>
      </c>
      <c r="N65" s="120" t="s">
        <v>283</v>
      </c>
      <c r="O65" s="111" t="s">
        <v>29</v>
      </c>
      <c r="P65" s="111" t="s">
        <v>86</v>
      </c>
      <c r="Q65" s="111" t="s">
        <v>176</v>
      </c>
      <c r="R65" s="111" t="s">
        <v>145</v>
      </c>
      <c r="S65" s="111"/>
      <c r="T65" s="118"/>
      <c r="U65" s="64">
        <v>41145</v>
      </c>
      <c r="V65" s="158" t="s">
        <v>10</v>
      </c>
      <c r="W65" s="118"/>
      <c r="X65" s="113"/>
      <c r="Y65" s="117">
        <f t="shared" si="0"/>
        <v>41236</v>
      </c>
      <c r="Z65" s="117">
        <v>41232</v>
      </c>
      <c r="AA65" s="161" t="str">
        <f t="shared" ca="1" si="1"/>
        <v>YES</v>
      </c>
      <c r="AB65" s="113"/>
      <c r="AC65" s="117"/>
      <c r="AD65" s="111"/>
      <c r="AE65" s="111"/>
      <c r="AF65" s="111" t="str">
        <f t="shared" ca="1" si="2"/>
        <v>N/A</v>
      </c>
      <c r="AG65" s="162"/>
      <c r="AH65" s="162"/>
      <c r="AI65" s="164">
        <f t="shared" si="3"/>
        <v>0</v>
      </c>
      <c r="AJ65" s="118" t="s">
        <v>6</v>
      </c>
      <c r="AK65" s="113">
        <v>41232</v>
      </c>
      <c r="AL65" s="118"/>
      <c r="AM65" s="165" t="str">
        <f t="shared" si="4"/>
        <v>12026 CJ Shenyang/Technord</v>
      </c>
      <c r="AN65" s="165" t="str">
        <f t="shared" si="5"/>
        <v>12026 CJ Shenyang/Technord : Dysfonctionnement prestation automation</v>
      </c>
    </row>
    <row r="66" spans="1:40" s="76" customFormat="1" ht="25.5" hidden="1" x14ac:dyDescent="0.3">
      <c r="A66" s="122"/>
      <c r="B66" s="116">
        <v>12027</v>
      </c>
      <c r="C66" s="113" t="s">
        <v>4</v>
      </c>
      <c r="D66" s="117">
        <v>41170</v>
      </c>
      <c r="E66" s="118" t="s">
        <v>284</v>
      </c>
      <c r="F66" s="118"/>
      <c r="G66" s="111" t="s">
        <v>285</v>
      </c>
      <c r="H66" s="111"/>
      <c r="I66" s="119" t="s">
        <v>2057</v>
      </c>
      <c r="J66" s="113"/>
      <c r="K66" s="118"/>
      <c r="L66" s="118" t="s">
        <v>286</v>
      </c>
      <c r="M66" s="118" t="s">
        <v>16</v>
      </c>
      <c r="N66" s="120" t="s">
        <v>287</v>
      </c>
      <c r="O66" s="111" t="s">
        <v>29</v>
      </c>
      <c r="P66" s="111" t="s">
        <v>86</v>
      </c>
      <c r="Q66" s="111"/>
      <c r="R66" s="111" t="s">
        <v>15</v>
      </c>
      <c r="S66" s="111"/>
      <c r="T66" s="118"/>
      <c r="U66" s="64">
        <v>41179</v>
      </c>
      <c r="V66" s="158" t="s">
        <v>6</v>
      </c>
      <c r="W66" s="118" t="s">
        <v>120</v>
      </c>
      <c r="X66" s="113"/>
      <c r="Y66" s="117">
        <f t="shared" si="0"/>
        <v>41261</v>
      </c>
      <c r="Z66" s="117">
        <v>41218</v>
      </c>
      <c r="AA66" s="161" t="str">
        <f t="shared" ca="1" si="1"/>
        <v>YES</v>
      </c>
      <c r="AB66" s="113"/>
      <c r="AC66" s="117"/>
      <c r="AD66" s="111"/>
      <c r="AE66" s="111"/>
      <c r="AF66" s="111" t="str">
        <f t="shared" ca="1" si="2"/>
        <v>N/A</v>
      </c>
      <c r="AG66" s="162"/>
      <c r="AH66" s="162"/>
      <c r="AI66" s="164">
        <f t="shared" si="3"/>
        <v>0</v>
      </c>
      <c r="AJ66" s="118" t="s">
        <v>6</v>
      </c>
      <c r="AK66" s="113">
        <v>41218</v>
      </c>
      <c r="AL66" s="118"/>
      <c r="AM66" s="165" t="str">
        <f t="shared" si="4"/>
        <v>12027 SYRAL / MTCI / ALPHA LAVAL</v>
      </c>
      <c r="AN66" s="165" t="str">
        <f t="shared" si="5"/>
        <v xml:space="preserve">12027 SYRAL / MTCI / ALPHA LAVAL : pb de dimension et orientation de la tuyauterie/la pompe d'alimentation </v>
      </c>
    </row>
    <row r="67" spans="1:40" s="76" customFormat="1" ht="13" hidden="1" x14ac:dyDescent="0.3">
      <c r="A67" s="122"/>
      <c r="B67" s="116">
        <v>12028</v>
      </c>
      <c r="C67" s="113" t="s">
        <v>4</v>
      </c>
      <c r="D67" s="117">
        <v>41170</v>
      </c>
      <c r="E67" s="118" t="s">
        <v>284</v>
      </c>
      <c r="F67" s="118"/>
      <c r="G67" s="111" t="s">
        <v>288</v>
      </c>
      <c r="H67" s="111"/>
      <c r="I67" s="119" t="s">
        <v>2057</v>
      </c>
      <c r="J67" s="113"/>
      <c r="K67" s="118"/>
      <c r="L67" s="118" t="s">
        <v>286</v>
      </c>
      <c r="M67" s="118" t="s">
        <v>16</v>
      </c>
      <c r="N67" s="120" t="s">
        <v>289</v>
      </c>
      <c r="O67" s="111" t="s">
        <v>29</v>
      </c>
      <c r="P67" s="111" t="s">
        <v>86</v>
      </c>
      <c r="Q67" s="111" t="s">
        <v>176</v>
      </c>
      <c r="R67" s="111" t="s">
        <v>15</v>
      </c>
      <c r="S67" s="111"/>
      <c r="T67" s="118"/>
      <c r="U67" s="64">
        <v>41157</v>
      </c>
      <c r="V67" s="158" t="s">
        <v>10</v>
      </c>
      <c r="W67" s="118"/>
      <c r="X67" s="113"/>
      <c r="Y67" s="117">
        <f t="shared" si="0"/>
        <v>41261</v>
      </c>
      <c r="Z67" s="117">
        <v>41218</v>
      </c>
      <c r="AA67" s="161" t="str">
        <f t="shared" ca="1" si="1"/>
        <v>YES</v>
      </c>
      <c r="AB67" s="113"/>
      <c r="AC67" s="117"/>
      <c r="AD67" s="111"/>
      <c r="AE67" s="111"/>
      <c r="AF67" s="111" t="str">
        <f t="shared" ca="1" si="2"/>
        <v>N/A</v>
      </c>
      <c r="AG67" s="162"/>
      <c r="AH67" s="162"/>
      <c r="AI67" s="164">
        <f t="shared" si="3"/>
        <v>0</v>
      </c>
      <c r="AJ67" s="118" t="s">
        <v>6</v>
      </c>
      <c r="AK67" s="113">
        <v>41218</v>
      </c>
      <c r="AL67" s="118"/>
      <c r="AM67" s="165" t="str">
        <f t="shared" si="4"/>
        <v>12028 SYRAL / Alphatrad</v>
      </c>
      <c r="AN67" s="165" t="str">
        <f t="shared" si="5"/>
        <v>12028 SYRAL / Alphatrad : Mise en forme PR 06 traduit en espagnol</v>
      </c>
    </row>
    <row r="68" spans="1:40" s="76" customFormat="1" ht="13" hidden="1" x14ac:dyDescent="0.3">
      <c r="A68" s="122"/>
      <c r="B68" s="116">
        <v>12029</v>
      </c>
      <c r="C68" s="113" t="s">
        <v>4</v>
      </c>
      <c r="D68" s="117">
        <v>41170</v>
      </c>
      <c r="E68" s="118" t="s">
        <v>290</v>
      </c>
      <c r="F68" s="118"/>
      <c r="G68" s="111" t="s">
        <v>291</v>
      </c>
      <c r="H68" s="111"/>
      <c r="I68" s="119" t="s">
        <v>2057</v>
      </c>
      <c r="J68" s="113"/>
      <c r="K68" s="118"/>
      <c r="L68" s="118" t="s">
        <v>292</v>
      </c>
      <c r="M68" s="118" t="s">
        <v>11</v>
      </c>
      <c r="N68" s="120" t="s">
        <v>293</v>
      </c>
      <c r="O68" s="111" t="s">
        <v>29</v>
      </c>
      <c r="P68" s="111" t="s">
        <v>80</v>
      </c>
      <c r="Q68" s="111"/>
      <c r="R68" s="111" t="s">
        <v>145</v>
      </c>
      <c r="S68" s="111"/>
      <c r="T68" s="118"/>
      <c r="U68" s="64">
        <v>40996</v>
      </c>
      <c r="V68" s="158" t="s">
        <v>10</v>
      </c>
      <c r="W68" s="118"/>
      <c r="X68" s="113"/>
      <c r="Y68" s="117">
        <f t="shared" si="0"/>
        <v>41261</v>
      </c>
      <c r="Z68" s="117">
        <v>41249</v>
      </c>
      <c r="AA68" s="161" t="str">
        <f t="shared" ca="1" si="1"/>
        <v>YES</v>
      </c>
      <c r="AB68" s="113"/>
      <c r="AC68" s="117"/>
      <c r="AD68" s="111"/>
      <c r="AE68" s="111"/>
      <c r="AF68" s="111" t="str">
        <f t="shared" ca="1" si="2"/>
        <v>N/A</v>
      </c>
      <c r="AG68" s="162"/>
      <c r="AH68" s="162"/>
      <c r="AI68" s="164">
        <f t="shared" si="3"/>
        <v>0</v>
      </c>
      <c r="AJ68" s="118" t="s">
        <v>6</v>
      </c>
      <c r="AK68" s="113">
        <v>41249</v>
      </c>
      <c r="AL68" s="118"/>
      <c r="AM68" s="165" t="str">
        <f t="shared" si="4"/>
        <v>12029 Armor Proteines</v>
      </c>
      <c r="AN68" s="165" t="str">
        <f t="shared" si="5"/>
        <v>12029 Armor Proteines : Retour pilote pas nettoyé</v>
      </c>
    </row>
    <row r="69" spans="1:40" s="76" customFormat="1" ht="13" hidden="1" x14ac:dyDescent="0.3">
      <c r="A69" s="122"/>
      <c r="B69" s="116">
        <v>12030</v>
      </c>
      <c r="C69" s="113" t="s">
        <v>4</v>
      </c>
      <c r="D69" s="117">
        <v>41187</v>
      </c>
      <c r="E69" s="118" t="s">
        <v>294</v>
      </c>
      <c r="F69" s="118"/>
      <c r="G69" s="111" t="s">
        <v>295</v>
      </c>
      <c r="H69" s="111"/>
      <c r="I69" s="119" t="s">
        <v>2056</v>
      </c>
      <c r="J69" s="113"/>
      <c r="K69" s="118"/>
      <c r="L69" s="118" t="s">
        <v>296</v>
      </c>
      <c r="M69" s="118" t="s">
        <v>13</v>
      </c>
      <c r="N69" s="120" t="s">
        <v>297</v>
      </c>
      <c r="O69" s="111" t="s">
        <v>29</v>
      </c>
      <c r="P69" s="111" t="s">
        <v>176</v>
      </c>
      <c r="Q69" s="111" t="s">
        <v>164</v>
      </c>
      <c r="R69" s="111" t="s">
        <v>145</v>
      </c>
      <c r="S69" s="111"/>
      <c r="T69" s="118"/>
      <c r="U69" s="64">
        <v>41173</v>
      </c>
      <c r="V69" s="158" t="s">
        <v>6</v>
      </c>
      <c r="W69" s="118" t="s">
        <v>298</v>
      </c>
      <c r="X69" s="113"/>
      <c r="Y69" s="117">
        <f t="shared" si="0"/>
        <v>41279</v>
      </c>
      <c r="Z69" s="117">
        <v>41264</v>
      </c>
      <c r="AA69" s="161" t="str">
        <f t="shared" ca="1" si="1"/>
        <v>YES</v>
      </c>
      <c r="AB69" s="113"/>
      <c r="AC69" s="117"/>
      <c r="AD69" s="111"/>
      <c r="AE69" s="111"/>
      <c r="AF69" s="111" t="str">
        <f t="shared" ca="1" si="2"/>
        <v>N/A</v>
      </c>
      <c r="AG69" s="162"/>
      <c r="AH69" s="162"/>
      <c r="AI69" s="164">
        <f t="shared" si="3"/>
        <v>0</v>
      </c>
      <c r="AJ69" s="118" t="s">
        <v>6</v>
      </c>
      <c r="AK69" s="113">
        <v>41264</v>
      </c>
      <c r="AL69" s="118"/>
      <c r="AM69" s="165" t="str">
        <f t="shared" si="4"/>
        <v xml:space="preserve">12030 PURIFONCTION / CTI </v>
      </c>
      <c r="AN69" s="165" t="str">
        <f t="shared" si="5"/>
        <v xml:space="preserve">12030 PURIFONCTION / CTI  : Défaut fabrication / Pièces manquantes </v>
      </c>
    </row>
    <row r="70" spans="1:40" s="76" customFormat="1" ht="13" hidden="1" x14ac:dyDescent="0.3">
      <c r="A70" s="122"/>
      <c r="B70" s="116">
        <v>12031</v>
      </c>
      <c r="C70" s="113" t="s">
        <v>4</v>
      </c>
      <c r="D70" s="117">
        <v>41208</v>
      </c>
      <c r="E70" s="118" t="s">
        <v>116</v>
      </c>
      <c r="F70" s="118"/>
      <c r="G70" s="111" t="s">
        <v>299</v>
      </c>
      <c r="H70" s="111"/>
      <c r="I70" s="119" t="s">
        <v>5</v>
      </c>
      <c r="J70" s="113"/>
      <c r="K70" s="118"/>
      <c r="L70" s="118" t="s">
        <v>263</v>
      </c>
      <c r="M70" s="118" t="s">
        <v>13</v>
      </c>
      <c r="N70" s="120" t="s">
        <v>300</v>
      </c>
      <c r="O70" s="111" t="s">
        <v>29</v>
      </c>
      <c r="P70" s="111" t="s">
        <v>157</v>
      </c>
      <c r="Q70" s="111" t="s">
        <v>164</v>
      </c>
      <c r="R70" s="111" t="s">
        <v>9</v>
      </c>
      <c r="S70" s="111"/>
      <c r="T70" s="118"/>
      <c r="U70" s="64">
        <v>41142</v>
      </c>
      <c r="V70" s="158" t="s">
        <v>6</v>
      </c>
      <c r="W70" s="118" t="s">
        <v>301</v>
      </c>
      <c r="X70" s="113"/>
      <c r="Y70" s="117">
        <f t="shared" si="0"/>
        <v>41300</v>
      </c>
      <c r="Z70" s="117">
        <v>41324</v>
      </c>
      <c r="AA70" s="161" t="str">
        <f t="shared" ca="1" si="1"/>
        <v>NO</v>
      </c>
      <c r="AB70" s="113"/>
      <c r="AC70" s="117"/>
      <c r="AD70" s="111"/>
      <c r="AE70" s="111"/>
      <c r="AF70" s="111" t="str">
        <f t="shared" ca="1" si="2"/>
        <v/>
      </c>
      <c r="AG70" s="162"/>
      <c r="AH70" s="162"/>
      <c r="AI70" s="164">
        <f t="shared" si="3"/>
        <v>0</v>
      </c>
      <c r="AJ70" s="118" t="s">
        <v>6</v>
      </c>
      <c r="AK70" s="113">
        <v>41324</v>
      </c>
      <c r="AL70" s="118"/>
      <c r="AM70" s="165" t="str">
        <f t="shared" si="4"/>
        <v>12031 METIDJI</v>
      </c>
      <c r="AN70" s="165" t="str">
        <f t="shared" si="5"/>
        <v>12031 METIDJI : Couleur sirop</v>
      </c>
    </row>
    <row r="71" spans="1:40" s="76" customFormat="1" ht="13" hidden="1" x14ac:dyDescent="0.3">
      <c r="A71" s="122"/>
      <c r="B71" s="116">
        <v>12032</v>
      </c>
      <c r="C71" s="113" t="s">
        <v>4</v>
      </c>
      <c r="D71" s="117">
        <v>41247</v>
      </c>
      <c r="E71" s="118" t="s">
        <v>82</v>
      </c>
      <c r="F71" s="118"/>
      <c r="G71" s="111" t="s">
        <v>302</v>
      </c>
      <c r="H71" s="111"/>
      <c r="I71" s="119" t="s">
        <v>2057</v>
      </c>
      <c r="J71" s="113"/>
      <c r="K71" s="118"/>
      <c r="L71" s="118" t="s">
        <v>303</v>
      </c>
      <c r="M71" s="118" t="s">
        <v>13</v>
      </c>
      <c r="N71" s="120" t="s">
        <v>304</v>
      </c>
      <c r="O71" s="111" t="s">
        <v>29</v>
      </c>
      <c r="P71" s="111" t="s">
        <v>176</v>
      </c>
      <c r="Q71" s="111" t="s">
        <v>164</v>
      </c>
      <c r="R71" s="111" t="s">
        <v>15</v>
      </c>
      <c r="S71" s="111"/>
      <c r="T71" s="118"/>
      <c r="U71" s="64">
        <v>41232</v>
      </c>
      <c r="V71" s="158" t="s">
        <v>6</v>
      </c>
      <c r="W71" s="118" t="s">
        <v>224</v>
      </c>
      <c r="X71" s="113"/>
      <c r="Y71" s="117">
        <f t="shared" ref="Y71:Y134" si="6">EDATE(D71,3)</f>
        <v>41337</v>
      </c>
      <c r="Z71" s="117">
        <v>41324</v>
      </c>
      <c r="AA71" s="161" t="str">
        <f t="shared" ca="1" si="1"/>
        <v>YES</v>
      </c>
      <c r="AB71" s="113"/>
      <c r="AC71" s="117"/>
      <c r="AD71" s="111"/>
      <c r="AE71" s="111"/>
      <c r="AF71" s="111" t="str">
        <f t="shared" ca="1" si="2"/>
        <v>N/A</v>
      </c>
      <c r="AG71" s="162"/>
      <c r="AH71" s="162"/>
      <c r="AI71" s="164">
        <f t="shared" si="3"/>
        <v>0</v>
      </c>
      <c r="AJ71" s="118" t="s">
        <v>6</v>
      </c>
      <c r="AK71" s="113">
        <v>41324</v>
      </c>
      <c r="AL71" s="118" t="s">
        <v>305</v>
      </c>
      <c r="AM71" s="165" t="str">
        <f t="shared" si="4"/>
        <v>12032 CJ GMP2 / REYES</v>
      </c>
      <c r="AN71" s="165" t="str">
        <f t="shared" si="5"/>
        <v>12032 CJ GMP2 / REYES : Modification schémas électriques</v>
      </c>
    </row>
    <row r="72" spans="1:40" s="76" customFormat="1" ht="13" hidden="1" x14ac:dyDescent="0.3">
      <c r="A72" s="122"/>
      <c r="B72" s="116">
        <v>12033</v>
      </c>
      <c r="C72" s="113" t="s">
        <v>4</v>
      </c>
      <c r="D72" s="117">
        <v>41264</v>
      </c>
      <c r="E72" s="118" t="s">
        <v>129</v>
      </c>
      <c r="F72" s="118"/>
      <c r="G72" s="111" t="s">
        <v>306</v>
      </c>
      <c r="H72" s="111"/>
      <c r="I72" s="119" t="s">
        <v>5</v>
      </c>
      <c r="J72" s="113"/>
      <c r="K72" s="118"/>
      <c r="L72" s="118" t="s">
        <v>307</v>
      </c>
      <c r="M72" s="118" t="s">
        <v>13</v>
      </c>
      <c r="N72" s="120" t="s">
        <v>308</v>
      </c>
      <c r="O72" s="111" t="s">
        <v>28</v>
      </c>
      <c r="P72" s="111" t="s">
        <v>103</v>
      </c>
      <c r="Q72" s="111"/>
      <c r="R72" s="111" t="s">
        <v>145</v>
      </c>
      <c r="S72" s="124"/>
      <c r="T72" s="127" t="s">
        <v>309</v>
      </c>
      <c r="U72" s="64">
        <v>41277</v>
      </c>
      <c r="V72" s="158" t="s">
        <v>6</v>
      </c>
      <c r="W72" s="118" t="s">
        <v>129</v>
      </c>
      <c r="X72" s="113"/>
      <c r="Y72" s="117">
        <f t="shared" si="6"/>
        <v>41354</v>
      </c>
      <c r="Z72" s="117">
        <v>41379</v>
      </c>
      <c r="AA72" s="161" t="str">
        <f t="shared" ref="AA72:AA135" ca="1" si="7">IF(Z72="",IF(TODAY()&gt;Y72,"NO","YES"),IF(Z72&gt;Y72,"NO",IF(Z72&lt;Y72,"YES",IF(Y72=Z72,"YES","N/A"))))</f>
        <v>NO</v>
      </c>
      <c r="AB72" s="113"/>
      <c r="AC72" s="117"/>
      <c r="AD72" s="111"/>
      <c r="AE72" s="111"/>
      <c r="AF72" s="111" t="str">
        <f t="shared" ref="AF72:AF135" ca="1" si="8">IF(I72="Claim",IF(AD72="","",IF(AE72="",IF(TODAY()&gt;AD72,"NO","YES"),IF(AE72&gt;AD72,"NO",IF(AE72&lt;AD72,"YES",IF(AD72=AE72,"YES","N/A"))))),"N/A")</f>
        <v/>
      </c>
      <c r="AG72" s="162"/>
      <c r="AH72" s="162"/>
      <c r="AI72" s="164">
        <f t="shared" ref="AI72:AI135" si="9">AH72+AG72</f>
        <v>0</v>
      </c>
      <c r="AJ72" s="118" t="s">
        <v>6</v>
      </c>
      <c r="AK72" s="113">
        <v>41379</v>
      </c>
      <c r="AL72" s="118" t="s">
        <v>310</v>
      </c>
      <c r="AM72" s="165" t="str">
        <f t="shared" ref="AM72:AM135" si="10">CONCATENATE(B72," ",G72)</f>
        <v>12033 SA Citrique Belge / DOW</v>
      </c>
      <c r="AN72" s="165" t="str">
        <f t="shared" ref="AN72:AN135" si="11">CONCATENATE(B72," ",G72," : ",N72)</f>
        <v>12033 SA Citrique Belge / DOW : Résines teintées mauve</v>
      </c>
    </row>
    <row r="73" spans="1:40" s="76" customFormat="1" ht="13" hidden="1" x14ac:dyDescent="0.3">
      <c r="A73" s="122"/>
      <c r="B73" s="116">
        <v>13001</v>
      </c>
      <c r="C73" s="113" t="s">
        <v>4</v>
      </c>
      <c r="D73" s="117">
        <v>41281</v>
      </c>
      <c r="E73" s="118" t="s">
        <v>149</v>
      </c>
      <c r="F73" s="118"/>
      <c r="G73" s="111" t="s">
        <v>311</v>
      </c>
      <c r="H73" s="111" t="s">
        <v>312</v>
      </c>
      <c r="I73" s="119" t="s">
        <v>5</v>
      </c>
      <c r="J73" s="113"/>
      <c r="K73" s="118"/>
      <c r="L73" s="118" t="s">
        <v>313</v>
      </c>
      <c r="M73" s="118" t="s">
        <v>13</v>
      </c>
      <c r="N73" s="120" t="s">
        <v>314</v>
      </c>
      <c r="O73" s="111" t="s">
        <v>28</v>
      </c>
      <c r="P73" s="111" t="s">
        <v>103</v>
      </c>
      <c r="Q73" s="111"/>
      <c r="R73" s="111" t="s">
        <v>145</v>
      </c>
      <c r="S73" s="111"/>
      <c r="T73" s="128" t="s">
        <v>315</v>
      </c>
      <c r="U73" s="64">
        <v>41289</v>
      </c>
      <c r="V73" s="158" t="s">
        <v>10</v>
      </c>
      <c r="W73" s="118"/>
      <c r="X73" s="113"/>
      <c r="Y73" s="117">
        <f t="shared" si="6"/>
        <v>41371</v>
      </c>
      <c r="Z73" s="117">
        <v>41362</v>
      </c>
      <c r="AA73" s="161" t="str">
        <f t="shared" ca="1" si="7"/>
        <v>YES</v>
      </c>
      <c r="AB73" s="113"/>
      <c r="AC73" s="117"/>
      <c r="AD73" s="111"/>
      <c r="AE73" s="111"/>
      <c r="AF73" s="111" t="str">
        <f t="shared" ca="1" si="8"/>
        <v/>
      </c>
      <c r="AG73" s="162"/>
      <c r="AH73" s="162"/>
      <c r="AI73" s="164">
        <f t="shared" si="9"/>
        <v>0</v>
      </c>
      <c r="AJ73" s="118" t="s">
        <v>6</v>
      </c>
      <c r="AK73" s="113">
        <v>41362</v>
      </c>
      <c r="AL73" s="118"/>
      <c r="AM73" s="165" t="str">
        <f t="shared" si="10"/>
        <v>13001 Galactic</v>
      </c>
      <c r="AN73" s="165" t="str">
        <f t="shared" si="11"/>
        <v>13001 Galactic : Pb délai livraison résines</v>
      </c>
    </row>
    <row r="74" spans="1:40" s="76" customFormat="1" ht="13" hidden="1" x14ac:dyDescent="0.3">
      <c r="A74" s="122"/>
      <c r="B74" s="116">
        <v>13002</v>
      </c>
      <c r="C74" s="113" t="s">
        <v>4</v>
      </c>
      <c r="D74" s="117">
        <v>41282</v>
      </c>
      <c r="E74" s="118" t="s">
        <v>290</v>
      </c>
      <c r="F74" s="118"/>
      <c r="G74" s="111" t="s">
        <v>316</v>
      </c>
      <c r="H74" s="111"/>
      <c r="I74" s="119" t="s">
        <v>2058</v>
      </c>
      <c r="J74" s="113"/>
      <c r="K74" s="118"/>
      <c r="L74" s="118" t="s">
        <v>317</v>
      </c>
      <c r="M74" s="118"/>
      <c r="N74" s="120" t="s">
        <v>318</v>
      </c>
      <c r="O74" s="111"/>
      <c r="P74" s="111" t="s">
        <v>80</v>
      </c>
      <c r="Q74" s="111"/>
      <c r="R74" s="111" t="s">
        <v>15</v>
      </c>
      <c r="S74" s="111"/>
      <c r="T74" s="118"/>
      <c r="U74" s="64">
        <v>41282</v>
      </c>
      <c r="V74" s="158" t="s">
        <v>6</v>
      </c>
      <c r="W74" s="118" t="s">
        <v>258</v>
      </c>
      <c r="X74" s="113"/>
      <c r="Y74" s="117">
        <f t="shared" si="6"/>
        <v>41372</v>
      </c>
      <c r="Z74" s="117">
        <v>41347</v>
      </c>
      <c r="AA74" s="161" t="str">
        <f t="shared" ca="1" si="7"/>
        <v>YES</v>
      </c>
      <c r="AB74" s="113"/>
      <c r="AC74" s="117"/>
      <c r="AD74" s="111"/>
      <c r="AE74" s="111"/>
      <c r="AF74" s="111" t="str">
        <f t="shared" ca="1" si="8"/>
        <v>N/A</v>
      </c>
      <c r="AG74" s="162"/>
      <c r="AH74" s="162"/>
      <c r="AI74" s="164">
        <f t="shared" si="9"/>
        <v>0</v>
      </c>
      <c r="AJ74" s="118" t="s">
        <v>6</v>
      </c>
      <c r="AK74" s="113"/>
      <c r="AL74" s="118"/>
      <c r="AM74" s="165" t="str">
        <f t="shared" si="10"/>
        <v>13002 projet NORSK</v>
      </c>
      <c r="AN74" s="165" t="str">
        <f t="shared" si="11"/>
        <v xml:space="preserve">13002 projet NORSK : Coupure pouce/index </v>
      </c>
    </row>
    <row r="75" spans="1:40" s="76" customFormat="1" ht="13" hidden="1" x14ac:dyDescent="0.3">
      <c r="A75" s="122"/>
      <c r="B75" s="116">
        <v>13003</v>
      </c>
      <c r="C75" s="113" t="s">
        <v>4</v>
      </c>
      <c r="D75" s="117">
        <v>41283</v>
      </c>
      <c r="E75" s="118" t="s">
        <v>319</v>
      </c>
      <c r="F75" s="118"/>
      <c r="G75" s="111" t="s">
        <v>320</v>
      </c>
      <c r="H75" s="111" t="s">
        <v>321</v>
      </c>
      <c r="I75" s="119" t="s">
        <v>2057</v>
      </c>
      <c r="J75" s="113"/>
      <c r="K75" s="118"/>
      <c r="L75" s="118" t="s">
        <v>322</v>
      </c>
      <c r="M75" s="118" t="s">
        <v>13</v>
      </c>
      <c r="N75" s="120" t="s">
        <v>323</v>
      </c>
      <c r="O75" s="111" t="s">
        <v>29</v>
      </c>
      <c r="P75" s="111" t="s">
        <v>86</v>
      </c>
      <c r="Q75" s="111" t="s">
        <v>176</v>
      </c>
      <c r="R75" s="111" t="s">
        <v>9</v>
      </c>
      <c r="S75" s="111"/>
      <c r="T75" s="118"/>
      <c r="U75" s="64">
        <v>41149</v>
      </c>
      <c r="V75" s="158" t="s">
        <v>10</v>
      </c>
      <c r="W75" s="118"/>
      <c r="X75" s="113"/>
      <c r="Y75" s="117">
        <f t="shared" si="6"/>
        <v>41373</v>
      </c>
      <c r="Z75" s="117">
        <v>41353</v>
      </c>
      <c r="AA75" s="161" t="str">
        <f t="shared" ca="1" si="7"/>
        <v>YES</v>
      </c>
      <c r="AB75" s="113"/>
      <c r="AC75" s="117"/>
      <c r="AD75" s="111"/>
      <c r="AE75" s="111"/>
      <c r="AF75" s="111" t="str">
        <f t="shared" ca="1" si="8"/>
        <v>N/A</v>
      </c>
      <c r="AG75" s="162"/>
      <c r="AH75" s="162"/>
      <c r="AI75" s="164">
        <f t="shared" si="9"/>
        <v>0</v>
      </c>
      <c r="AJ75" s="118" t="s">
        <v>6</v>
      </c>
      <c r="AK75" s="113">
        <v>41353</v>
      </c>
      <c r="AL75" s="118"/>
      <c r="AM75" s="165" t="str">
        <f t="shared" si="10"/>
        <v>13003 CJ US</v>
      </c>
      <c r="AN75" s="165" t="str">
        <f t="shared" si="11"/>
        <v>13003 CJ US : Purchase WF / Choice of EPDM or VITON gasket</v>
      </c>
    </row>
    <row r="76" spans="1:40" s="76" customFormat="1" ht="13" hidden="1" x14ac:dyDescent="0.3">
      <c r="A76" s="122"/>
      <c r="B76" s="116">
        <v>13004</v>
      </c>
      <c r="C76" s="113" t="s">
        <v>4</v>
      </c>
      <c r="D76" s="117">
        <v>41283</v>
      </c>
      <c r="E76" s="118" t="s">
        <v>319</v>
      </c>
      <c r="F76" s="118"/>
      <c r="G76" s="111" t="s">
        <v>320</v>
      </c>
      <c r="H76" s="111" t="s">
        <v>324</v>
      </c>
      <c r="I76" s="119" t="s">
        <v>2056</v>
      </c>
      <c r="J76" s="113"/>
      <c r="K76" s="118"/>
      <c r="L76" s="118" t="s">
        <v>322</v>
      </c>
      <c r="M76" s="118" t="s">
        <v>13</v>
      </c>
      <c r="N76" s="120" t="s">
        <v>325</v>
      </c>
      <c r="O76" s="111" t="s">
        <v>29</v>
      </c>
      <c r="P76" s="111" t="s">
        <v>86</v>
      </c>
      <c r="Q76" s="111" t="s">
        <v>176</v>
      </c>
      <c r="R76" s="111" t="s">
        <v>145</v>
      </c>
      <c r="S76" s="111"/>
      <c r="T76" s="128" t="s">
        <v>324</v>
      </c>
      <c r="U76" s="64">
        <v>41109</v>
      </c>
      <c r="V76" s="158" t="s">
        <v>10</v>
      </c>
      <c r="W76" s="118"/>
      <c r="X76" s="113"/>
      <c r="Y76" s="117">
        <f t="shared" si="6"/>
        <v>41373</v>
      </c>
      <c r="Z76" s="117">
        <v>41353</v>
      </c>
      <c r="AA76" s="161" t="str">
        <f t="shared" ca="1" si="7"/>
        <v>YES</v>
      </c>
      <c r="AB76" s="113"/>
      <c r="AC76" s="117"/>
      <c r="AD76" s="111"/>
      <c r="AE76" s="111"/>
      <c r="AF76" s="111" t="str">
        <f t="shared" ca="1" si="8"/>
        <v>N/A</v>
      </c>
      <c r="AG76" s="162"/>
      <c r="AH76" s="162"/>
      <c r="AI76" s="164">
        <f t="shared" si="9"/>
        <v>0</v>
      </c>
      <c r="AJ76" s="118" t="s">
        <v>6</v>
      </c>
      <c r="AK76" s="113">
        <v>41353</v>
      </c>
      <c r="AL76" s="118"/>
      <c r="AM76" s="165" t="str">
        <f t="shared" si="10"/>
        <v>13004 CJ US</v>
      </c>
      <c r="AN76" s="165" t="str">
        <f t="shared" si="11"/>
        <v>13004 CJ US : Pb Norme moteurs IE3/Nema Premium</v>
      </c>
    </row>
    <row r="77" spans="1:40" s="76" customFormat="1" ht="38" hidden="1" x14ac:dyDescent="0.3">
      <c r="A77" s="122"/>
      <c r="B77" s="116">
        <v>13005</v>
      </c>
      <c r="C77" s="113" t="s">
        <v>4</v>
      </c>
      <c r="D77" s="117">
        <v>41290</v>
      </c>
      <c r="E77" s="118" t="s">
        <v>273</v>
      </c>
      <c r="F77" s="118"/>
      <c r="G77" s="120" t="s">
        <v>326</v>
      </c>
      <c r="H77" s="120" t="s">
        <v>327</v>
      </c>
      <c r="I77" s="119" t="s">
        <v>2056</v>
      </c>
      <c r="J77" s="113"/>
      <c r="K77" s="126"/>
      <c r="L77" s="126" t="s">
        <v>328</v>
      </c>
      <c r="M77" s="126" t="s">
        <v>13</v>
      </c>
      <c r="N77" s="120" t="s">
        <v>329</v>
      </c>
      <c r="O77" s="111" t="s">
        <v>28</v>
      </c>
      <c r="P77" s="111" t="s">
        <v>103</v>
      </c>
      <c r="Q77" s="111"/>
      <c r="R77" s="111" t="s">
        <v>145</v>
      </c>
      <c r="S77" s="111"/>
      <c r="T77" s="128" t="s">
        <v>330</v>
      </c>
      <c r="U77" s="64">
        <v>41235</v>
      </c>
      <c r="V77" s="158" t="s">
        <v>6</v>
      </c>
      <c r="W77" s="118" t="s">
        <v>273</v>
      </c>
      <c r="X77" s="113"/>
      <c r="Y77" s="117">
        <f t="shared" si="6"/>
        <v>41380</v>
      </c>
      <c r="Z77" s="117">
        <v>41362</v>
      </c>
      <c r="AA77" s="161" t="str">
        <f t="shared" ca="1" si="7"/>
        <v>YES</v>
      </c>
      <c r="AB77" s="113"/>
      <c r="AC77" s="117"/>
      <c r="AD77" s="111"/>
      <c r="AE77" s="111"/>
      <c r="AF77" s="111" t="str">
        <f t="shared" ca="1" si="8"/>
        <v>N/A</v>
      </c>
      <c r="AG77" s="162"/>
      <c r="AH77" s="162"/>
      <c r="AI77" s="164">
        <f t="shared" si="9"/>
        <v>0</v>
      </c>
      <c r="AJ77" s="118" t="s">
        <v>6</v>
      </c>
      <c r="AK77" s="113">
        <v>41362</v>
      </c>
      <c r="AL77" s="118"/>
      <c r="AM77" s="165" t="str">
        <f t="shared" si="10"/>
        <v>13005 HILMAR CHEESE</v>
      </c>
      <c r="AN77" s="165" t="str">
        <f t="shared" si="11"/>
        <v>13005 HILMAR CHEESE : Retard livraison / Diam des pièces hors spec + slot sales</v>
      </c>
    </row>
    <row r="78" spans="1:40" s="76" customFormat="1" ht="13" hidden="1" x14ac:dyDescent="0.3">
      <c r="A78" s="122"/>
      <c r="B78" s="116">
        <v>13006</v>
      </c>
      <c r="C78" s="113" t="s">
        <v>4</v>
      </c>
      <c r="D78" s="117">
        <v>41290</v>
      </c>
      <c r="E78" s="118" t="s">
        <v>273</v>
      </c>
      <c r="F78" s="118"/>
      <c r="G78" s="111" t="s">
        <v>331</v>
      </c>
      <c r="H78" s="111" t="s">
        <v>332</v>
      </c>
      <c r="I78" s="119" t="s">
        <v>2056</v>
      </c>
      <c r="J78" s="113"/>
      <c r="K78" s="118"/>
      <c r="L78" s="118" t="s">
        <v>333</v>
      </c>
      <c r="M78" s="118" t="s">
        <v>16</v>
      </c>
      <c r="N78" s="120" t="s">
        <v>152</v>
      </c>
      <c r="O78" s="111" t="s">
        <v>28</v>
      </c>
      <c r="P78" s="111" t="s">
        <v>103</v>
      </c>
      <c r="Q78" s="111"/>
      <c r="R78" s="111" t="s">
        <v>145</v>
      </c>
      <c r="S78" s="111"/>
      <c r="T78" s="128" t="s">
        <v>334</v>
      </c>
      <c r="U78" s="64">
        <v>41292</v>
      </c>
      <c r="V78" s="158" t="s">
        <v>6</v>
      </c>
      <c r="W78" s="118" t="s">
        <v>273</v>
      </c>
      <c r="X78" s="113"/>
      <c r="Y78" s="117">
        <f t="shared" si="6"/>
        <v>41380</v>
      </c>
      <c r="Z78" s="117">
        <v>41520</v>
      </c>
      <c r="AA78" s="161" t="str">
        <f t="shared" ca="1" si="7"/>
        <v>NO</v>
      </c>
      <c r="AB78" s="113"/>
      <c r="AC78" s="117"/>
      <c r="AD78" s="111"/>
      <c r="AE78" s="111"/>
      <c r="AF78" s="111" t="str">
        <f t="shared" ca="1" si="8"/>
        <v>N/A</v>
      </c>
      <c r="AG78" s="162"/>
      <c r="AH78" s="162"/>
      <c r="AI78" s="164">
        <f t="shared" si="9"/>
        <v>0</v>
      </c>
      <c r="AJ78" s="118" t="s">
        <v>6</v>
      </c>
      <c r="AK78" s="113">
        <v>41520</v>
      </c>
      <c r="AL78" s="118"/>
      <c r="AM78" s="165" t="str">
        <f t="shared" si="10"/>
        <v>13006 Nestlé</v>
      </c>
      <c r="AN78" s="165" t="str">
        <f t="shared" si="11"/>
        <v>13006 Nestlé : Retard livraison</v>
      </c>
    </row>
    <row r="79" spans="1:40" s="76" customFormat="1" ht="13" hidden="1" x14ac:dyDescent="0.3">
      <c r="A79" s="122"/>
      <c r="B79" s="116">
        <v>13007</v>
      </c>
      <c r="C79" s="113" t="s">
        <v>4</v>
      </c>
      <c r="D79" s="117">
        <v>41297</v>
      </c>
      <c r="E79" s="118" t="s">
        <v>335</v>
      </c>
      <c r="F79" s="118"/>
      <c r="G79" s="111" t="s">
        <v>336</v>
      </c>
      <c r="H79" s="111"/>
      <c r="I79" s="119" t="s">
        <v>2057</v>
      </c>
      <c r="J79" s="113"/>
      <c r="K79" s="118"/>
      <c r="L79" s="118" t="s">
        <v>337</v>
      </c>
      <c r="M79" s="118" t="s">
        <v>338</v>
      </c>
      <c r="N79" s="120" t="s">
        <v>339</v>
      </c>
      <c r="O79" s="111" t="s">
        <v>29</v>
      </c>
      <c r="P79" s="111" t="s">
        <v>86</v>
      </c>
      <c r="Q79" s="111"/>
      <c r="R79" s="111" t="s">
        <v>15</v>
      </c>
      <c r="S79" s="111"/>
      <c r="T79" s="118"/>
      <c r="U79" s="64">
        <v>41285</v>
      </c>
      <c r="V79" s="158" t="s">
        <v>10</v>
      </c>
      <c r="W79" s="118"/>
      <c r="X79" s="113"/>
      <c r="Y79" s="117">
        <f t="shared" si="6"/>
        <v>41387</v>
      </c>
      <c r="Z79" s="117">
        <v>41379</v>
      </c>
      <c r="AA79" s="161" t="str">
        <f t="shared" ca="1" si="7"/>
        <v>YES</v>
      </c>
      <c r="AB79" s="113"/>
      <c r="AC79" s="117"/>
      <c r="AD79" s="111"/>
      <c r="AE79" s="111"/>
      <c r="AF79" s="111" t="str">
        <f t="shared" ca="1" si="8"/>
        <v>N/A</v>
      </c>
      <c r="AG79" s="162"/>
      <c r="AH79" s="162"/>
      <c r="AI79" s="164">
        <f t="shared" si="9"/>
        <v>0</v>
      </c>
      <c r="AJ79" s="118" t="s">
        <v>6</v>
      </c>
      <c r="AK79" s="113">
        <v>41379</v>
      </c>
      <c r="AL79" s="118"/>
      <c r="AM79" s="165" t="str">
        <f t="shared" si="10"/>
        <v>13007 SHUANGQIAO6</v>
      </c>
      <c r="AN79" s="165" t="str">
        <f t="shared" si="11"/>
        <v>13007 SHUANGQIAO6 : Erreur affectation vannes dans coffrets locaux</v>
      </c>
    </row>
    <row r="80" spans="1:40" s="76" customFormat="1" ht="13" hidden="1" x14ac:dyDescent="0.3">
      <c r="A80" s="122"/>
      <c r="B80" s="116">
        <v>13008</v>
      </c>
      <c r="C80" s="113" t="s">
        <v>4</v>
      </c>
      <c r="D80" s="117">
        <v>41305</v>
      </c>
      <c r="E80" s="118" t="s">
        <v>99</v>
      </c>
      <c r="F80" s="118"/>
      <c r="G80" s="111" t="s">
        <v>340</v>
      </c>
      <c r="H80" s="111" t="s">
        <v>341</v>
      </c>
      <c r="I80" s="119" t="s">
        <v>5</v>
      </c>
      <c r="J80" s="113"/>
      <c r="K80" s="118"/>
      <c r="L80" s="118" t="s">
        <v>342</v>
      </c>
      <c r="M80" s="118" t="s">
        <v>16</v>
      </c>
      <c r="N80" s="120" t="s">
        <v>343</v>
      </c>
      <c r="O80" s="111" t="s">
        <v>28</v>
      </c>
      <c r="P80" s="111" t="s">
        <v>103</v>
      </c>
      <c r="Q80" s="111"/>
      <c r="R80" s="111" t="s">
        <v>145</v>
      </c>
      <c r="S80" s="111"/>
      <c r="T80" s="118"/>
      <c r="U80" s="64">
        <v>41261</v>
      </c>
      <c r="V80" s="158" t="s">
        <v>6</v>
      </c>
      <c r="W80" s="118" t="s">
        <v>99</v>
      </c>
      <c r="X80" s="113"/>
      <c r="Y80" s="117">
        <f t="shared" si="6"/>
        <v>41394</v>
      </c>
      <c r="Z80" s="117">
        <v>41388</v>
      </c>
      <c r="AA80" s="161" t="str">
        <f t="shared" ca="1" si="7"/>
        <v>YES</v>
      </c>
      <c r="AB80" s="113"/>
      <c r="AC80" s="117"/>
      <c r="AD80" s="111"/>
      <c r="AE80" s="111"/>
      <c r="AF80" s="111" t="str">
        <f t="shared" ca="1" si="8"/>
        <v/>
      </c>
      <c r="AG80" s="162"/>
      <c r="AH80" s="162"/>
      <c r="AI80" s="164">
        <f t="shared" si="9"/>
        <v>0</v>
      </c>
      <c r="AJ80" s="118" t="s">
        <v>6</v>
      </c>
      <c r="AK80" s="113">
        <v>41388</v>
      </c>
      <c r="AL80" s="118"/>
      <c r="AM80" s="165" t="str">
        <f t="shared" si="10"/>
        <v>13008 AGRANA</v>
      </c>
      <c r="AN80" s="165" t="str">
        <f t="shared" si="11"/>
        <v>13008 AGRANA : Griffes de fixation modules trop longues</v>
      </c>
    </row>
    <row r="81" spans="1:40" s="76" customFormat="1" ht="13" hidden="1" x14ac:dyDescent="0.3">
      <c r="A81" s="122"/>
      <c r="B81" s="116">
        <v>13009</v>
      </c>
      <c r="C81" s="113" t="s">
        <v>4</v>
      </c>
      <c r="D81" s="117">
        <v>41311</v>
      </c>
      <c r="E81" s="118" t="s">
        <v>116</v>
      </c>
      <c r="F81" s="118"/>
      <c r="G81" s="111" t="s">
        <v>344</v>
      </c>
      <c r="H81" s="111" t="s">
        <v>345</v>
      </c>
      <c r="I81" s="119" t="s">
        <v>5</v>
      </c>
      <c r="J81" s="113" t="s">
        <v>6</v>
      </c>
      <c r="K81" s="118"/>
      <c r="L81" s="118" t="s">
        <v>346</v>
      </c>
      <c r="M81" s="118" t="s">
        <v>11</v>
      </c>
      <c r="N81" s="120" t="s">
        <v>347</v>
      </c>
      <c r="O81" s="111" t="s">
        <v>29</v>
      </c>
      <c r="P81" s="111" t="s">
        <v>86</v>
      </c>
      <c r="Q81" s="111" t="s">
        <v>176</v>
      </c>
      <c r="R81" s="111" t="s">
        <v>145</v>
      </c>
      <c r="S81" s="111"/>
      <c r="T81" s="118"/>
      <c r="U81" s="64">
        <v>41260</v>
      </c>
      <c r="V81" s="158" t="s">
        <v>6</v>
      </c>
      <c r="W81" s="118" t="s">
        <v>116</v>
      </c>
      <c r="X81" s="113"/>
      <c r="Y81" s="117">
        <f t="shared" si="6"/>
        <v>41400</v>
      </c>
      <c r="Z81" s="117">
        <v>42531</v>
      </c>
      <c r="AA81" s="161" t="str">
        <f t="shared" ca="1" si="7"/>
        <v>NO</v>
      </c>
      <c r="AB81" s="113"/>
      <c r="AC81" s="117"/>
      <c r="AD81" s="111" t="s">
        <v>348</v>
      </c>
      <c r="AE81" s="111"/>
      <c r="AF81" s="111" t="str">
        <f t="shared" ca="1" si="8"/>
        <v>YES</v>
      </c>
      <c r="AG81" s="162"/>
      <c r="AH81" s="162"/>
      <c r="AI81" s="164">
        <f t="shared" si="9"/>
        <v>0</v>
      </c>
      <c r="AJ81" s="118" t="s">
        <v>6</v>
      </c>
      <c r="AK81" s="113">
        <v>42531</v>
      </c>
      <c r="AL81" s="118"/>
      <c r="AM81" s="165" t="str">
        <f t="shared" si="10"/>
        <v xml:space="preserve">13009 TTCA / ENSIGN / </v>
      </c>
      <c r="AN81" s="165" t="str">
        <f t="shared" si="11"/>
        <v>13009 TTCA / ENSIGN /  : Corrosion  rubber-lining columns</v>
      </c>
    </row>
    <row r="82" spans="1:40" s="76" customFormat="1" ht="13" hidden="1" x14ac:dyDescent="0.3">
      <c r="A82" s="122"/>
      <c r="B82" s="116">
        <v>13010</v>
      </c>
      <c r="C82" s="113" t="s">
        <v>4</v>
      </c>
      <c r="D82" s="117">
        <v>41319</v>
      </c>
      <c r="E82" s="118" t="s">
        <v>319</v>
      </c>
      <c r="F82" s="118"/>
      <c r="G82" s="111" t="s">
        <v>349</v>
      </c>
      <c r="H82" s="111" t="s">
        <v>350</v>
      </c>
      <c r="I82" s="119" t="s">
        <v>2057</v>
      </c>
      <c r="J82" s="113"/>
      <c r="K82" s="118"/>
      <c r="L82" s="118" t="s">
        <v>303</v>
      </c>
      <c r="M82" s="118" t="s">
        <v>13</v>
      </c>
      <c r="N82" s="120" t="s">
        <v>351</v>
      </c>
      <c r="O82" s="111" t="s">
        <v>29</v>
      </c>
      <c r="P82" s="111" t="s">
        <v>86</v>
      </c>
      <c r="Q82" s="111" t="s">
        <v>176</v>
      </c>
      <c r="R82" s="111" t="s">
        <v>15</v>
      </c>
      <c r="S82" s="111"/>
      <c r="T82" s="118"/>
      <c r="U82" s="64">
        <v>41108</v>
      </c>
      <c r="V82" s="158" t="s">
        <v>10</v>
      </c>
      <c r="W82" s="118"/>
      <c r="X82" s="113"/>
      <c r="Y82" s="117">
        <f t="shared" si="6"/>
        <v>41408</v>
      </c>
      <c r="Z82" s="117">
        <v>41407</v>
      </c>
      <c r="AA82" s="161" t="str">
        <f t="shared" ca="1" si="7"/>
        <v>YES</v>
      </c>
      <c r="AB82" s="113"/>
      <c r="AC82" s="117"/>
      <c r="AD82" s="111"/>
      <c r="AE82" s="111"/>
      <c r="AF82" s="111" t="str">
        <f t="shared" ca="1" si="8"/>
        <v>N/A</v>
      </c>
      <c r="AG82" s="162"/>
      <c r="AH82" s="162"/>
      <c r="AI82" s="164">
        <f t="shared" si="9"/>
        <v>0</v>
      </c>
      <c r="AJ82" s="118" t="s">
        <v>6</v>
      </c>
      <c r="AK82" s="113">
        <v>41407</v>
      </c>
      <c r="AL82" s="118"/>
      <c r="AM82" s="165" t="str">
        <f t="shared" si="10"/>
        <v>13010 CJ GMP2</v>
      </c>
      <c r="AN82" s="165" t="str">
        <f t="shared" si="11"/>
        <v>13010 CJ GMP2 : Certificat ACS de crépines non fournit</v>
      </c>
    </row>
    <row r="83" spans="1:40" s="76" customFormat="1" ht="13" hidden="1" x14ac:dyDescent="0.3">
      <c r="A83" s="122"/>
      <c r="B83" s="116">
        <v>13011</v>
      </c>
      <c r="C83" s="113" t="s">
        <v>4</v>
      </c>
      <c r="D83" s="117">
        <v>41319</v>
      </c>
      <c r="E83" s="118" t="s">
        <v>319</v>
      </c>
      <c r="F83" s="118"/>
      <c r="G83" s="111" t="s">
        <v>349</v>
      </c>
      <c r="H83" s="111" t="s">
        <v>352</v>
      </c>
      <c r="I83" s="119" t="s">
        <v>2056</v>
      </c>
      <c r="J83" s="113"/>
      <c r="K83" s="118"/>
      <c r="L83" s="118" t="s">
        <v>303</v>
      </c>
      <c r="M83" s="118" t="s">
        <v>13</v>
      </c>
      <c r="N83" s="120" t="s">
        <v>353</v>
      </c>
      <c r="O83" s="111" t="s">
        <v>29</v>
      </c>
      <c r="P83" s="111" t="s">
        <v>86</v>
      </c>
      <c r="Q83" s="111" t="s">
        <v>176</v>
      </c>
      <c r="R83" s="111" t="s">
        <v>145</v>
      </c>
      <c r="S83" s="111"/>
      <c r="T83" s="118"/>
      <c r="U83" s="64">
        <v>41204</v>
      </c>
      <c r="V83" s="158" t="s">
        <v>10</v>
      </c>
      <c r="W83" s="118"/>
      <c r="X83" s="113"/>
      <c r="Y83" s="117">
        <f t="shared" si="6"/>
        <v>41408</v>
      </c>
      <c r="Z83" s="117">
        <v>41407</v>
      </c>
      <c r="AA83" s="161" t="str">
        <f t="shared" ca="1" si="7"/>
        <v>YES</v>
      </c>
      <c r="AB83" s="113"/>
      <c r="AC83" s="117"/>
      <c r="AD83" s="111"/>
      <c r="AE83" s="111"/>
      <c r="AF83" s="111" t="str">
        <f t="shared" ca="1" si="8"/>
        <v>N/A</v>
      </c>
      <c r="AG83" s="162"/>
      <c r="AH83" s="162"/>
      <c r="AI83" s="164">
        <f t="shared" si="9"/>
        <v>0</v>
      </c>
      <c r="AJ83" s="118" t="s">
        <v>6</v>
      </c>
      <c r="AK83" s="113">
        <v>41407</v>
      </c>
      <c r="AL83" s="118"/>
      <c r="AM83" s="165" t="str">
        <f t="shared" si="10"/>
        <v>13011 CJ GMP2</v>
      </c>
      <c r="AN83" s="165" t="str">
        <f t="shared" si="11"/>
        <v>13011 CJ GMP2 : Deviation on box assembly</v>
      </c>
    </row>
    <row r="84" spans="1:40" s="76" customFormat="1" ht="13" hidden="1" x14ac:dyDescent="0.3">
      <c r="A84" s="122"/>
      <c r="B84" s="116">
        <v>13012</v>
      </c>
      <c r="C84" s="113" t="s">
        <v>4</v>
      </c>
      <c r="D84" s="117">
        <v>41331</v>
      </c>
      <c r="E84" s="118" t="s">
        <v>239</v>
      </c>
      <c r="F84" s="118"/>
      <c r="G84" s="111" t="s">
        <v>354</v>
      </c>
      <c r="H84" s="111"/>
      <c r="I84" s="119" t="s">
        <v>2057</v>
      </c>
      <c r="J84" s="113"/>
      <c r="K84" s="118"/>
      <c r="L84" s="118" t="s">
        <v>241</v>
      </c>
      <c r="M84" s="118" t="s">
        <v>13</v>
      </c>
      <c r="N84" s="120" t="s">
        <v>355</v>
      </c>
      <c r="O84" s="111" t="s">
        <v>29</v>
      </c>
      <c r="P84" s="111" t="s">
        <v>86</v>
      </c>
      <c r="Q84" s="111" t="s">
        <v>176</v>
      </c>
      <c r="R84" s="111" t="s">
        <v>15</v>
      </c>
      <c r="S84" s="111"/>
      <c r="T84" s="118"/>
      <c r="U84" s="64">
        <v>41333</v>
      </c>
      <c r="V84" s="158" t="s">
        <v>6</v>
      </c>
      <c r="W84" s="118" t="s">
        <v>120</v>
      </c>
      <c r="X84" s="113"/>
      <c r="Y84" s="117">
        <f t="shared" si="6"/>
        <v>41420</v>
      </c>
      <c r="Z84" s="117">
        <v>41408</v>
      </c>
      <c r="AA84" s="161" t="str">
        <f t="shared" ca="1" si="7"/>
        <v>YES</v>
      </c>
      <c r="AB84" s="113"/>
      <c r="AC84" s="117"/>
      <c r="AD84" s="111"/>
      <c r="AE84" s="111"/>
      <c r="AF84" s="111" t="str">
        <f t="shared" ca="1" si="8"/>
        <v>N/A</v>
      </c>
      <c r="AG84" s="162"/>
      <c r="AH84" s="162"/>
      <c r="AI84" s="164">
        <f t="shared" si="9"/>
        <v>0</v>
      </c>
      <c r="AJ84" s="118" t="s">
        <v>6</v>
      </c>
      <c r="AK84" s="113">
        <v>41408</v>
      </c>
      <c r="AL84" s="118"/>
      <c r="AM84" s="165" t="str">
        <f t="shared" si="10"/>
        <v>13012 ADM Columbus</v>
      </c>
      <c r="AN84" s="165" t="str">
        <f t="shared" si="11"/>
        <v>13012 ADM Columbus : EPDM gaskets are not food grade</v>
      </c>
    </row>
    <row r="85" spans="1:40" s="76" customFormat="1" ht="13" hidden="1" x14ac:dyDescent="0.3">
      <c r="A85" s="122"/>
      <c r="B85" s="116">
        <v>13013</v>
      </c>
      <c r="C85" s="113" t="s">
        <v>4</v>
      </c>
      <c r="D85" s="117">
        <v>41372</v>
      </c>
      <c r="E85" s="118" t="s">
        <v>129</v>
      </c>
      <c r="F85" s="118"/>
      <c r="G85" s="111" t="s">
        <v>356</v>
      </c>
      <c r="H85" s="111" t="s">
        <v>357</v>
      </c>
      <c r="I85" s="119" t="s">
        <v>5</v>
      </c>
      <c r="J85" s="113"/>
      <c r="K85" s="118"/>
      <c r="L85" s="118" t="s">
        <v>358</v>
      </c>
      <c r="M85" s="118" t="s">
        <v>359</v>
      </c>
      <c r="N85" s="120" t="s">
        <v>360</v>
      </c>
      <c r="O85" s="111" t="s">
        <v>28</v>
      </c>
      <c r="P85" s="111" t="s">
        <v>103</v>
      </c>
      <c r="Q85" s="111"/>
      <c r="R85" s="111" t="s">
        <v>145</v>
      </c>
      <c r="S85" s="111"/>
      <c r="T85" s="118"/>
      <c r="U85" s="64">
        <v>41421</v>
      </c>
      <c r="V85" s="158" t="s">
        <v>6</v>
      </c>
      <c r="W85" s="118" t="s">
        <v>129</v>
      </c>
      <c r="X85" s="113"/>
      <c r="Y85" s="117">
        <f t="shared" si="6"/>
        <v>41463</v>
      </c>
      <c r="Z85" s="117">
        <v>41459</v>
      </c>
      <c r="AA85" s="161" t="str">
        <f t="shared" ca="1" si="7"/>
        <v>YES</v>
      </c>
      <c r="AB85" s="113"/>
      <c r="AC85" s="117"/>
      <c r="AD85" s="111"/>
      <c r="AE85" s="111"/>
      <c r="AF85" s="111" t="str">
        <f t="shared" ca="1" si="8"/>
        <v/>
      </c>
      <c r="AG85" s="162"/>
      <c r="AH85" s="162"/>
      <c r="AI85" s="164">
        <f t="shared" si="9"/>
        <v>0</v>
      </c>
      <c r="AJ85" s="118" t="s">
        <v>6</v>
      </c>
      <c r="AK85" s="113">
        <v>41453</v>
      </c>
      <c r="AL85" s="118"/>
      <c r="AM85" s="165" t="str">
        <f t="shared" si="10"/>
        <v>13013 MEIHUA</v>
      </c>
      <c r="AN85" s="165" t="str">
        <f t="shared" si="11"/>
        <v>13013 MEIHUA : Défaufts d'aspect mbres Kerasep BW 150 KD</v>
      </c>
    </row>
    <row r="86" spans="1:40" s="76" customFormat="1" ht="13" hidden="1" x14ac:dyDescent="0.3">
      <c r="A86" s="122"/>
      <c r="B86" s="116">
        <v>13014</v>
      </c>
      <c r="C86" s="113" t="s">
        <v>4</v>
      </c>
      <c r="D86" s="117">
        <v>41372</v>
      </c>
      <c r="E86" s="118" t="s">
        <v>99</v>
      </c>
      <c r="F86" s="118"/>
      <c r="G86" s="111" t="s">
        <v>340</v>
      </c>
      <c r="H86" s="111"/>
      <c r="I86" s="119" t="s">
        <v>5</v>
      </c>
      <c r="J86" s="113"/>
      <c r="K86" s="118"/>
      <c r="L86" s="118" t="s">
        <v>361</v>
      </c>
      <c r="M86" s="118" t="s">
        <v>338</v>
      </c>
      <c r="N86" s="120" t="s">
        <v>362</v>
      </c>
      <c r="O86" s="111" t="s">
        <v>28</v>
      </c>
      <c r="P86" s="111" t="s">
        <v>103</v>
      </c>
      <c r="Q86" s="111"/>
      <c r="R86" s="111" t="s">
        <v>145</v>
      </c>
      <c r="S86" s="111"/>
      <c r="T86" s="118"/>
      <c r="U86" s="64">
        <v>41409</v>
      </c>
      <c r="V86" s="158" t="s">
        <v>6</v>
      </c>
      <c r="W86" s="118" t="s">
        <v>99</v>
      </c>
      <c r="X86" s="113"/>
      <c r="Y86" s="117">
        <f t="shared" si="6"/>
        <v>41463</v>
      </c>
      <c r="Z86" s="117">
        <v>41557</v>
      </c>
      <c r="AA86" s="161" t="str">
        <f t="shared" ca="1" si="7"/>
        <v>NO</v>
      </c>
      <c r="AB86" s="113"/>
      <c r="AC86" s="117"/>
      <c r="AD86" s="111"/>
      <c r="AE86" s="111"/>
      <c r="AF86" s="111" t="str">
        <f t="shared" ca="1" si="8"/>
        <v/>
      </c>
      <c r="AG86" s="162"/>
      <c r="AH86" s="162"/>
      <c r="AI86" s="164">
        <f t="shared" si="9"/>
        <v>0</v>
      </c>
      <c r="AJ86" s="118" t="s">
        <v>6</v>
      </c>
      <c r="AK86" s="113">
        <v>41557</v>
      </c>
      <c r="AL86" s="118"/>
      <c r="AM86" s="165" t="str">
        <f t="shared" si="10"/>
        <v>13014 AGRANA</v>
      </c>
      <c r="AN86" s="165" t="str">
        <f t="shared" si="11"/>
        <v>13014 AGRANA : Casses membranes en extrémité</v>
      </c>
    </row>
    <row r="87" spans="1:40" s="76" customFormat="1" ht="13" hidden="1" x14ac:dyDescent="0.3">
      <c r="A87" s="122"/>
      <c r="B87" s="116">
        <v>13015</v>
      </c>
      <c r="C87" s="113" t="s">
        <v>4</v>
      </c>
      <c r="D87" s="117">
        <v>41386</v>
      </c>
      <c r="E87" s="118" t="s">
        <v>335</v>
      </c>
      <c r="F87" s="118"/>
      <c r="G87" s="111" t="s">
        <v>336</v>
      </c>
      <c r="H87" s="111" t="s">
        <v>363</v>
      </c>
      <c r="I87" s="119" t="s">
        <v>2056</v>
      </c>
      <c r="J87" s="113"/>
      <c r="K87" s="118"/>
      <c r="L87" s="118" t="s">
        <v>337</v>
      </c>
      <c r="M87" s="118" t="s">
        <v>338</v>
      </c>
      <c r="N87" s="120" t="s">
        <v>364</v>
      </c>
      <c r="O87" s="111" t="s">
        <v>29</v>
      </c>
      <c r="P87" s="111" t="s">
        <v>176</v>
      </c>
      <c r="Q87" s="111" t="s">
        <v>164</v>
      </c>
      <c r="R87" s="111" t="s">
        <v>145</v>
      </c>
      <c r="S87" s="111"/>
      <c r="T87" s="128" t="s">
        <v>365</v>
      </c>
      <c r="U87" s="64">
        <v>41354</v>
      </c>
      <c r="V87" s="158" t="s">
        <v>10</v>
      </c>
      <c r="W87" s="118"/>
      <c r="X87" s="113"/>
      <c r="Y87" s="117">
        <f t="shared" si="6"/>
        <v>41477</v>
      </c>
      <c r="Z87" s="117">
        <v>41472</v>
      </c>
      <c r="AA87" s="161" t="str">
        <f t="shared" ca="1" si="7"/>
        <v>YES</v>
      </c>
      <c r="AB87" s="113"/>
      <c r="AC87" s="117"/>
      <c r="AD87" s="111"/>
      <c r="AE87" s="111"/>
      <c r="AF87" s="111" t="str">
        <f t="shared" ca="1" si="8"/>
        <v>N/A</v>
      </c>
      <c r="AG87" s="162"/>
      <c r="AH87" s="162"/>
      <c r="AI87" s="164">
        <f t="shared" si="9"/>
        <v>0</v>
      </c>
      <c r="AJ87" s="118" t="s">
        <v>6</v>
      </c>
      <c r="AK87" s="113">
        <v>41467</v>
      </c>
      <c r="AL87" s="118"/>
      <c r="AM87" s="165" t="str">
        <f t="shared" si="10"/>
        <v>13015 SHUANGQIAO6</v>
      </c>
      <c r="AN87" s="165" t="str">
        <f t="shared" si="11"/>
        <v>13015 SHUANGQIAO6 : Nombre d'électrovannes assemblés dans îlot</v>
      </c>
    </row>
    <row r="88" spans="1:40" s="76" customFormat="1" ht="13" hidden="1" x14ac:dyDescent="0.3">
      <c r="A88" s="122"/>
      <c r="B88" s="116">
        <v>13016</v>
      </c>
      <c r="C88" s="113" t="s">
        <v>4</v>
      </c>
      <c r="D88" s="117">
        <v>41389</v>
      </c>
      <c r="E88" s="118" t="s">
        <v>366</v>
      </c>
      <c r="F88" s="118"/>
      <c r="G88" s="111" t="s">
        <v>367</v>
      </c>
      <c r="H88" s="111"/>
      <c r="I88" s="119" t="s">
        <v>2058</v>
      </c>
      <c r="J88" s="113"/>
      <c r="K88" s="118"/>
      <c r="L88" s="118" t="s">
        <v>317</v>
      </c>
      <c r="M88" s="118"/>
      <c r="N88" s="120" t="s">
        <v>368</v>
      </c>
      <c r="O88" s="111"/>
      <c r="P88" s="111" t="s">
        <v>80</v>
      </c>
      <c r="Q88" s="111"/>
      <c r="R88" s="111" t="s">
        <v>15</v>
      </c>
      <c r="S88" s="111"/>
      <c r="T88" s="118"/>
      <c r="U88" s="64">
        <v>41382</v>
      </c>
      <c r="V88" s="158" t="s">
        <v>6</v>
      </c>
      <c r="W88" s="118" t="s">
        <v>258</v>
      </c>
      <c r="X88" s="113"/>
      <c r="Y88" s="117">
        <f t="shared" si="6"/>
        <v>41480</v>
      </c>
      <c r="Z88" s="117">
        <v>41450</v>
      </c>
      <c r="AA88" s="161" t="str">
        <f t="shared" ca="1" si="7"/>
        <v>YES</v>
      </c>
      <c r="AB88" s="113"/>
      <c r="AC88" s="117"/>
      <c r="AD88" s="111"/>
      <c r="AE88" s="111"/>
      <c r="AF88" s="111" t="str">
        <f t="shared" ca="1" si="8"/>
        <v>N/A</v>
      </c>
      <c r="AG88" s="162"/>
      <c r="AH88" s="162"/>
      <c r="AI88" s="164">
        <f t="shared" si="9"/>
        <v>0</v>
      </c>
      <c r="AJ88" s="118" t="s">
        <v>6</v>
      </c>
      <c r="AK88" s="113">
        <v>41450</v>
      </c>
      <c r="AL88" s="118"/>
      <c r="AM88" s="165" t="str">
        <f t="shared" si="10"/>
        <v>13016 GOS SWW</v>
      </c>
      <c r="AN88" s="165" t="str">
        <f t="shared" si="11"/>
        <v>13016 GOS SWW : Brûlure doigts main gauche</v>
      </c>
    </row>
    <row r="89" spans="1:40" s="76" customFormat="1" ht="13" hidden="1" x14ac:dyDescent="0.3">
      <c r="A89" s="122"/>
      <c r="B89" s="116">
        <v>13017</v>
      </c>
      <c r="C89" s="113" t="s">
        <v>4</v>
      </c>
      <c r="D89" s="117">
        <v>41401</v>
      </c>
      <c r="E89" s="118" t="s">
        <v>212</v>
      </c>
      <c r="F89" s="118"/>
      <c r="G89" s="111" t="s">
        <v>299</v>
      </c>
      <c r="H89" s="111"/>
      <c r="I89" s="119" t="s">
        <v>5</v>
      </c>
      <c r="J89" s="113" t="s">
        <v>6</v>
      </c>
      <c r="K89" s="118"/>
      <c r="L89" s="118" t="s">
        <v>263</v>
      </c>
      <c r="M89" s="118" t="s">
        <v>13</v>
      </c>
      <c r="N89" s="120" t="s">
        <v>369</v>
      </c>
      <c r="O89" s="111" t="s">
        <v>29</v>
      </c>
      <c r="P89" s="111" t="s">
        <v>157</v>
      </c>
      <c r="Q89" s="111" t="s">
        <v>164</v>
      </c>
      <c r="R89" s="111" t="s">
        <v>9</v>
      </c>
      <c r="S89" s="111"/>
      <c r="T89" s="118"/>
      <c r="U89" s="64">
        <v>41379</v>
      </c>
      <c r="V89" s="158" t="s">
        <v>6</v>
      </c>
      <c r="W89" s="118" t="s">
        <v>212</v>
      </c>
      <c r="X89" s="113"/>
      <c r="Y89" s="117">
        <f t="shared" si="6"/>
        <v>41493</v>
      </c>
      <c r="Z89" s="117">
        <v>42488</v>
      </c>
      <c r="AA89" s="161" t="str">
        <f t="shared" ca="1" si="7"/>
        <v>NO</v>
      </c>
      <c r="AB89" s="113"/>
      <c r="AC89" s="117"/>
      <c r="AD89" s="111" t="s">
        <v>348</v>
      </c>
      <c r="AE89" s="111"/>
      <c r="AF89" s="111" t="str">
        <f t="shared" ca="1" si="8"/>
        <v>YES</v>
      </c>
      <c r="AG89" s="162"/>
      <c r="AH89" s="162"/>
      <c r="AI89" s="164">
        <f t="shared" si="9"/>
        <v>0</v>
      </c>
      <c r="AJ89" s="118"/>
      <c r="AK89" s="113"/>
      <c r="AL89" s="118"/>
      <c r="AM89" s="165" t="str">
        <f t="shared" si="10"/>
        <v>13017 METIDJI</v>
      </c>
      <c r="AN89" s="165" t="str">
        <f t="shared" si="11"/>
        <v>13017 METIDJI : Couleur sirop et capacité nominale non atteinte</v>
      </c>
    </row>
    <row r="90" spans="1:40" s="76" customFormat="1" ht="13" hidden="1" x14ac:dyDescent="0.3">
      <c r="A90" s="122"/>
      <c r="B90" s="116">
        <v>13018</v>
      </c>
      <c r="C90" s="113" t="s">
        <v>4</v>
      </c>
      <c r="D90" s="117">
        <v>41421</v>
      </c>
      <c r="E90" s="118" t="s">
        <v>370</v>
      </c>
      <c r="F90" s="118"/>
      <c r="G90" s="111" t="s">
        <v>229</v>
      </c>
      <c r="H90" s="111"/>
      <c r="I90" s="119" t="s">
        <v>2057</v>
      </c>
      <c r="J90" s="113"/>
      <c r="K90" s="118"/>
      <c r="L90" s="118" t="s">
        <v>371</v>
      </c>
      <c r="M90" s="118"/>
      <c r="N90" s="120" t="s">
        <v>372</v>
      </c>
      <c r="O90" s="111" t="s">
        <v>28</v>
      </c>
      <c r="P90" s="111" t="s">
        <v>80</v>
      </c>
      <c r="Q90" s="111" t="s">
        <v>176</v>
      </c>
      <c r="R90" s="111" t="s">
        <v>9</v>
      </c>
      <c r="S90" s="111"/>
      <c r="T90" s="118"/>
      <c r="U90" s="64">
        <v>41382</v>
      </c>
      <c r="V90" s="158" t="s">
        <v>6</v>
      </c>
      <c r="W90" s="118" t="s">
        <v>258</v>
      </c>
      <c r="X90" s="113"/>
      <c r="Y90" s="117">
        <f t="shared" si="6"/>
        <v>41513</v>
      </c>
      <c r="Z90" s="117">
        <v>41506</v>
      </c>
      <c r="AA90" s="161" t="str">
        <f t="shared" ca="1" si="7"/>
        <v>YES</v>
      </c>
      <c r="AB90" s="113"/>
      <c r="AC90" s="117"/>
      <c r="AD90" s="111"/>
      <c r="AE90" s="111"/>
      <c r="AF90" s="111" t="str">
        <f t="shared" ca="1" si="8"/>
        <v>N/A</v>
      </c>
      <c r="AG90" s="162"/>
      <c r="AH90" s="162"/>
      <c r="AI90" s="164">
        <f t="shared" si="9"/>
        <v>0</v>
      </c>
      <c r="AJ90" s="118" t="s">
        <v>6</v>
      </c>
      <c r="AK90" s="113">
        <v>41506</v>
      </c>
      <c r="AL90" s="118"/>
      <c r="AM90" s="165" t="str">
        <f t="shared" si="10"/>
        <v>13018 Fisher Bioblock Scientific</v>
      </c>
      <c r="AN90" s="165" t="str">
        <f t="shared" si="11"/>
        <v>13018 Fisher Bioblock Scientific : pb  organisation gestion des réappro</v>
      </c>
    </row>
    <row r="91" spans="1:40" s="76" customFormat="1" ht="13" hidden="1" x14ac:dyDescent="0.3">
      <c r="A91" s="122"/>
      <c r="B91" s="116">
        <v>13019</v>
      </c>
      <c r="C91" s="113" t="s">
        <v>4</v>
      </c>
      <c r="D91" s="117">
        <v>41424</v>
      </c>
      <c r="E91" s="118" t="s">
        <v>221</v>
      </c>
      <c r="F91" s="118"/>
      <c r="G91" s="111" t="s">
        <v>373</v>
      </c>
      <c r="H91" s="111" t="s">
        <v>374</v>
      </c>
      <c r="I91" s="119" t="s">
        <v>2057</v>
      </c>
      <c r="J91" s="113"/>
      <c r="K91" s="118"/>
      <c r="L91" s="118" t="s">
        <v>375</v>
      </c>
      <c r="M91" s="118" t="s">
        <v>13</v>
      </c>
      <c r="N91" s="120" t="s">
        <v>376</v>
      </c>
      <c r="O91" s="111" t="s">
        <v>29</v>
      </c>
      <c r="P91" s="111" t="s">
        <v>86</v>
      </c>
      <c r="Q91" s="111" t="s">
        <v>176</v>
      </c>
      <c r="R91" s="111" t="s">
        <v>145</v>
      </c>
      <c r="S91" s="111"/>
      <c r="T91" s="128" t="s">
        <v>374</v>
      </c>
      <c r="U91" s="64">
        <v>41428</v>
      </c>
      <c r="V91" s="158" t="s">
        <v>6</v>
      </c>
      <c r="W91" s="118" t="s">
        <v>224</v>
      </c>
      <c r="X91" s="113"/>
      <c r="Y91" s="117">
        <f t="shared" si="6"/>
        <v>41516</v>
      </c>
      <c r="Z91" s="117">
        <v>41512</v>
      </c>
      <c r="AA91" s="161" t="str">
        <f t="shared" ca="1" si="7"/>
        <v>YES</v>
      </c>
      <c r="AB91" s="113"/>
      <c r="AC91" s="117"/>
      <c r="AD91" s="111"/>
      <c r="AE91" s="111"/>
      <c r="AF91" s="111" t="str">
        <f t="shared" ca="1" si="8"/>
        <v>N/A</v>
      </c>
      <c r="AG91" s="162"/>
      <c r="AH91" s="162"/>
      <c r="AI91" s="164">
        <f t="shared" si="9"/>
        <v>0</v>
      </c>
      <c r="AJ91" s="118" t="s">
        <v>6</v>
      </c>
      <c r="AK91" s="113">
        <v>41512</v>
      </c>
      <c r="AL91" s="118"/>
      <c r="AM91" s="165" t="str">
        <f t="shared" si="10"/>
        <v>13019 Roquette</v>
      </c>
      <c r="AN91" s="165" t="str">
        <f t="shared" si="11"/>
        <v>13019 Roquette : Erreur de côtes sur plan de détail</v>
      </c>
    </row>
    <row r="92" spans="1:40" s="76" customFormat="1" ht="13" hidden="1" x14ac:dyDescent="0.3">
      <c r="A92" s="122"/>
      <c r="B92" s="116">
        <v>13020</v>
      </c>
      <c r="C92" s="113" t="s">
        <v>4</v>
      </c>
      <c r="D92" s="117">
        <v>41425</v>
      </c>
      <c r="E92" s="118" t="s">
        <v>319</v>
      </c>
      <c r="F92" s="118"/>
      <c r="G92" s="111" t="s">
        <v>377</v>
      </c>
      <c r="H92" s="111" t="s">
        <v>374</v>
      </c>
      <c r="I92" s="119" t="s">
        <v>2056</v>
      </c>
      <c r="J92" s="113"/>
      <c r="K92" s="118"/>
      <c r="L92" s="118" t="s">
        <v>378</v>
      </c>
      <c r="M92" s="118" t="s">
        <v>13</v>
      </c>
      <c r="N92" s="120" t="s">
        <v>379</v>
      </c>
      <c r="O92" s="111" t="s">
        <v>29</v>
      </c>
      <c r="P92" s="111" t="s">
        <v>86</v>
      </c>
      <c r="Q92" s="111" t="s">
        <v>176</v>
      </c>
      <c r="R92" s="111" t="s">
        <v>145</v>
      </c>
      <c r="S92" s="111"/>
      <c r="T92" s="128" t="s">
        <v>374</v>
      </c>
      <c r="U92" s="64">
        <v>41425</v>
      </c>
      <c r="V92" s="158" t="s">
        <v>6</v>
      </c>
      <c r="W92" s="118" t="s">
        <v>224</v>
      </c>
      <c r="X92" s="113"/>
      <c r="Y92" s="117">
        <f t="shared" si="6"/>
        <v>41517</v>
      </c>
      <c r="Z92" s="117">
        <v>41512</v>
      </c>
      <c r="AA92" s="161" t="str">
        <f t="shared" ca="1" si="7"/>
        <v>YES</v>
      </c>
      <c r="AB92" s="113"/>
      <c r="AC92" s="117"/>
      <c r="AD92" s="111"/>
      <c r="AE92" s="111"/>
      <c r="AF92" s="111" t="str">
        <f t="shared" ca="1" si="8"/>
        <v>N/A</v>
      </c>
      <c r="AG92" s="162"/>
      <c r="AH92" s="162"/>
      <c r="AI92" s="164">
        <f t="shared" si="9"/>
        <v>0</v>
      </c>
      <c r="AJ92" s="118" t="s">
        <v>6</v>
      </c>
      <c r="AK92" s="113">
        <v>41512</v>
      </c>
      <c r="AL92" s="118"/>
      <c r="AM92" s="165" t="str">
        <f t="shared" si="10"/>
        <v xml:space="preserve">13020 Prolactal </v>
      </c>
      <c r="AN92" s="165" t="str">
        <f t="shared" si="11"/>
        <v>13020 Prolactal  : Erreurs chaudronnerie</v>
      </c>
    </row>
    <row r="93" spans="1:40" s="76" customFormat="1" ht="13" hidden="1" x14ac:dyDescent="0.3">
      <c r="A93" s="122"/>
      <c r="B93" s="116">
        <v>13021</v>
      </c>
      <c r="C93" s="113" t="s">
        <v>4</v>
      </c>
      <c r="D93" s="117">
        <v>41429</v>
      </c>
      <c r="E93" s="118" t="s">
        <v>116</v>
      </c>
      <c r="F93" s="118"/>
      <c r="G93" s="111" t="s">
        <v>380</v>
      </c>
      <c r="H93" s="111"/>
      <c r="I93" s="119" t="s">
        <v>5</v>
      </c>
      <c r="J93" s="113"/>
      <c r="K93" s="118"/>
      <c r="L93" s="118" t="s">
        <v>378</v>
      </c>
      <c r="M93" s="118" t="s">
        <v>13</v>
      </c>
      <c r="N93" s="120" t="s">
        <v>381</v>
      </c>
      <c r="O93" s="111" t="s">
        <v>29</v>
      </c>
      <c r="P93" s="111" t="s">
        <v>86</v>
      </c>
      <c r="Q93" s="111" t="s">
        <v>176</v>
      </c>
      <c r="R93" s="111" t="s">
        <v>9</v>
      </c>
      <c r="S93" s="111"/>
      <c r="T93" s="118"/>
      <c r="U93" s="64">
        <v>41409</v>
      </c>
      <c r="V93" s="158" t="s">
        <v>6</v>
      </c>
      <c r="W93" s="118" t="s">
        <v>116</v>
      </c>
      <c r="X93" s="113"/>
      <c r="Y93" s="117">
        <f t="shared" si="6"/>
        <v>41521</v>
      </c>
      <c r="Z93" s="117">
        <v>41613</v>
      </c>
      <c r="AA93" s="161" t="str">
        <f t="shared" ca="1" si="7"/>
        <v>NO</v>
      </c>
      <c r="AB93" s="113"/>
      <c r="AC93" s="117"/>
      <c r="AD93" s="111"/>
      <c r="AE93" s="111"/>
      <c r="AF93" s="111" t="str">
        <f t="shared" ca="1" si="8"/>
        <v/>
      </c>
      <c r="AG93" s="162"/>
      <c r="AH93" s="162"/>
      <c r="AI93" s="164">
        <f t="shared" si="9"/>
        <v>0</v>
      </c>
      <c r="AJ93" s="118" t="s">
        <v>6</v>
      </c>
      <c r="AK93" s="113">
        <v>41613</v>
      </c>
      <c r="AL93" s="118"/>
      <c r="AM93" s="165" t="str">
        <f t="shared" si="10"/>
        <v>13021 Prolactal</v>
      </c>
      <c r="AN93" s="165" t="str">
        <f t="shared" si="11"/>
        <v>13021 Prolactal : Limite de fourniture/ Retard</v>
      </c>
    </row>
    <row r="94" spans="1:40" s="76" customFormat="1" ht="13" hidden="1" x14ac:dyDescent="0.3">
      <c r="A94" s="122"/>
      <c r="B94" s="116">
        <v>13022</v>
      </c>
      <c r="C94" s="113" t="s">
        <v>4</v>
      </c>
      <c r="D94" s="117">
        <v>41429</v>
      </c>
      <c r="E94" s="118" t="s">
        <v>177</v>
      </c>
      <c r="F94" s="118"/>
      <c r="G94" s="111" t="s">
        <v>380</v>
      </c>
      <c r="H94" s="111" t="s">
        <v>382</v>
      </c>
      <c r="I94" s="119" t="s">
        <v>2056</v>
      </c>
      <c r="J94" s="113"/>
      <c r="K94" s="118"/>
      <c r="L94" s="118" t="s">
        <v>378</v>
      </c>
      <c r="M94" s="118" t="s">
        <v>13</v>
      </c>
      <c r="N94" s="120" t="s">
        <v>383</v>
      </c>
      <c r="O94" s="111" t="s">
        <v>29</v>
      </c>
      <c r="P94" s="111" t="s">
        <v>176</v>
      </c>
      <c r="Q94" s="111"/>
      <c r="R94" s="111" t="s">
        <v>145</v>
      </c>
      <c r="S94" s="111"/>
      <c r="T94" s="128" t="s">
        <v>384</v>
      </c>
      <c r="U94" s="64">
        <v>41436</v>
      </c>
      <c r="V94" s="158" t="s">
        <v>10</v>
      </c>
      <c r="W94" s="118"/>
      <c r="X94" s="113"/>
      <c r="Y94" s="117">
        <f t="shared" si="6"/>
        <v>41521</v>
      </c>
      <c r="Z94" s="117">
        <v>41520</v>
      </c>
      <c r="AA94" s="161" t="str">
        <f t="shared" ca="1" si="7"/>
        <v>YES</v>
      </c>
      <c r="AB94" s="113"/>
      <c r="AC94" s="117"/>
      <c r="AD94" s="111"/>
      <c r="AE94" s="111"/>
      <c r="AF94" s="111" t="str">
        <f t="shared" ca="1" si="8"/>
        <v>N/A</v>
      </c>
      <c r="AG94" s="162"/>
      <c r="AH94" s="162"/>
      <c r="AI94" s="164">
        <f t="shared" si="9"/>
        <v>0</v>
      </c>
      <c r="AJ94" s="118" t="s">
        <v>6</v>
      </c>
      <c r="AK94" s="113">
        <v>41520</v>
      </c>
      <c r="AL94" s="118"/>
      <c r="AM94" s="165" t="str">
        <f t="shared" si="10"/>
        <v>13022 Prolactal</v>
      </c>
      <c r="AN94" s="165" t="str">
        <f t="shared" si="11"/>
        <v xml:space="preserve">13022 Prolactal : Retard livraison </v>
      </c>
    </row>
    <row r="95" spans="1:40" s="76" customFormat="1" ht="13" hidden="1" x14ac:dyDescent="0.3">
      <c r="A95" s="122"/>
      <c r="B95" s="116">
        <v>13023</v>
      </c>
      <c r="C95" s="113" t="s">
        <v>4</v>
      </c>
      <c r="D95" s="117">
        <v>41431</v>
      </c>
      <c r="E95" s="118" t="s">
        <v>99</v>
      </c>
      <c r="F95" s="118"/>
      <c r="G95" s="111" t="s">
        <v>385</v>
      </c>
      <c r="H95" s="111"/>
      <c r="I95" s="119" t="s">
        <v>5</v>
      </c>
      <c r="J95" s="113"/>
      <c r="K95" s="118"/>
      <c r="L95" s="118" t="s">
        <v>386</v>
      </c>
      <c r="M95" s="118" t="s">
        <v>16</v>
      </c>
      <c r="N95" s="120" t="s">
        <v>387</v>
      </c>
      <c r="O95" s="111" t="s">
        <v>28</v>
      </c>
      <c r="P95" s="111" t="s">
        <v>103</v>
      </c>
      <c r="Q95" s="111"/>
      <c r="R95" s="111" t="s">
        <v>145</v>
      </c>
      <c r="S95" s="111"/>
      <c r="T95" s="118"/>
      <c r="U95" s="64">
        <v>41430</v>
      </c>
      <c r="V95" s="158" t="s">
        <v>10</v>
      </c>
      <c r="W95" s="118"/>
      <c r="X95" s="113"/>
      <c r="Y95" s="117">
        <f t="shared" si="6"/>
        <v>41523</v>
      </c>
      <c r="Z95" s="117">
        <v>41520</v>
      </c>
      <c r="AA95" s="161" t="str">
        <f t="shared" ca="1" si="7"/>
        <v>YES</v>
      </c>
      <c r="AB95" s="113"/>
      <c r="AC95" s="117"/>
      <c r="AD95" s="111"/>
      <c r="AE95" s="111"/>
      <c r="AF95" s="111" t="str">
        <f t="shared" ca="1" si="8"/>
        <v/>
      </c>
      <c r="AG95" s="162"/>
      <c r="AH95" s="162"/>
      <c r="AI95" s="164">
        <f t="shared" si="9"/>
        <v>0</v>
      </c>
      <c r="AJ95" s="118" t="s">
        <v>6</v>
      </c>
      <c r="AK95" s="113">
        <v>41520</v>
      </c>
      <c r="AL95" s="118"/>
      <c r="AM95" s="165" t="str">
        <f t="shared" si="10"/>
        <v>13023 N&amp;A</v>
      </c>
      <c r="AN95" s="165" t="str">
        <f t="shared" si="11"/>
        <v>13023 N&amp;A : fuite enveloppe K19</v>
      </c>
    </row>
    <row r="96" spans="1:40" s="76" customFormat="1" ht="13" hidden="1" x14ac:dyDescent="0.3">
      <c r="A96" s="122"/>
      <c r="B96" s="116">
        <v>13024</v>
      </c>
      <c r="C96" s="113" t="s">
        <v>4</v>
      </c>
      <c r="D96" s="117">
        <v>41436</v>
      </c>
      <c r="E96" s="118" t="s">
        <v>149</v>
      </c>
      <c r="F96" s="118"/>
      <c r="G96" s="111" t="s">
        <v>388</v>
      </c>
      <c r="H96" s="111"/>
      <c r="I96" s="119" t="s">
        <v>5</v>
      </c>
      <c r="J96" s="113"/>
      <c r="K96" s="118"/>
      <c r="L96" s="118" t="s">
        <v>389</v>
      </c>
      <c r="M96" s="118" t="s">
        <v>13</v>
      </c>
      <c r="N96" s="120" t="s">
        <v>390</v>
      </c>
      <c r="O96" s="111" t="s">
        <v>28</v>
      </c>
      <c r="P96" s="111" t="s">
        <v>103</v>
      </c>
      <c r="Q96" s="111"/>
      <c r="R96" s="111" t="s">
        <v>145</v>
      </c>
      <c r="S96" s="111"/>
      <c r="T96" s="118"/>
      <c r="U96" s="64">
        <v>41436</v>
      </c>
      <c r="V96" s="158" t="s">
        <v>10</v>
      </c>
      <c r="W96" s="118"/>
      <c r="X96" s="113"/>
      <c r="Y96" s="117">
        <f t="shared" si="6"/>
        <v>41528</v>
      </c>
      <c r="Z96" s="117">
        <v>41509</v>
      </c>
      <c r="AA96" s="161" t="str">
        <f t="shared" ca="1" si="7"/>
        <v>YES</v>
      </c>
      <c r="AB96" s="113"/>
      <c r="AC96" s="117"/>
      <c r="AD96" s="111"/>
      <c r="AE96" s="111"/>
      <c r="AF96" s="111" t="str">
        <f t="shared" ca="1" si="8"/>
        <v/>
      </c>
      <c r="AG96" s="162"/>
      <c r="AH96" s="162"/>
      <c r="AI96" s="164">
        <f t="shared" si="9"/>
        <v>0</v>
      </c>
      <c r="AJ96" s="118" t="s">
        <v>6</v>
      </c>
      <c r="AK96" s="113">
        <v>41509</v>
      </c>
      <c r="AL96" s="118"/>
      <c r="AM96" s="165" t="str">
        <f t="shared" si="10"/>
        <v>13024 GOI</v>
      </c>
      <c r="AN96" s="165" t="str">
        <f t="shared" si="11"/>
        <v>13024 GOI : Big bag résine percé</v>
      </c>
    </row>
    <row r="97" spans="1:40" s="76" customFormat="1" ht="13" hidden="1" x14ac:dyDescent="0.3">
      <c r="A97" s="122"/>
      <c r="B97" s="116">
        <v>13025</v>
      </c>
      <c r="C97" s="113" t="s">
        <v>4</v>
      </c>
      <c r="D97" s="117">
        <v>41459</v>
      </c>
      <c r="E97" s="118" t="s">
        <v>129</v>
      </c>
      <c r="F97" s="118"/>
      <c r="G97" s="111" t="s">
        <v>391</v>
      </c>
      <c r="H97" s="111" t="s">
        <v>392</v>
      </c>
      <c r="I97" s="119" t="s">
        <v>2056</v>
      </c>
      <c r="J97" s="113"/>
      <c r="K97" s="118"/>
      <c r="L97" s="118" t="s">
        <v>393</v>
      </c>
      <c r="M97" s="118" t="s">
        <v>11</v>
      </c>
      <c r="N97" s="120" t="s">
        <v>394</v>
      </c>
      <c r="O97" s="111" t="s">
        <v>28</v>
      </c>
      <c r="P97" s="111" t="s">
        <v>103</v>
      </c>
      <c r="Q97" s="111" t="s">
        <v>164</v>
      </c>
      <c r="R97" s="111" t="s">
        <v>145</v>
      </c>
      <c r="S97" s="111"/>
      <c r="T97" s="128" t="s">
        <v>392</v>
      </c>
      <c r="U97" s="64">
        <v>41463</v>
      </c>
      <c r="V97" s="158" t="s">
        <v>6</v>
      </c>
      <c r="W97" s="118" t="s">
        <v>205</v>
      </c>
      <c r="X97" s="113"/>
      <c r="Y97" s="117">
        <f t="shared" si="6"/>
        <v>41551</v>
      </c>
      <c r="Z97" s="117">
        <v>41563</v>
      </c>
      <c r="AA97" s="161" t="str">
        <f t="shared" ca="1" si="7"/>
        <v>NO</v>
      </c>
      <c r="AB97" s="113"/>
      <c r="AC97" s="117"/>
      <c r="AD97" s="111"/>
      <c r="AE97" s="111"/>
      <c r="AF97" s="111" t="str">
        <f t="shared" ca="1" si="8"/>
        <v>N/A</v>
      </c>
      <c r="AG97" s="162"/>
      <c r="AH97" s="162"/>
      <c r="AI97" s="164">
        <f t="shared" si="9"/>
        <v>0</v>
      </c>
      <c r="AJ97" s="118" t="s">
        <v>6</v>
      </c>
      <c r="AK97" s="113">
        <v>41563</v>
      </c>
      <c r="AL97" s="118"/>
      <c r="AM97" s="165" t="str">
        <f t="shared" si="10"/>
        <v>13025 Quantum II/</v>
      </c>
      <c r="AN97" s="165" t="str">
        <f t="shared" si="11"/>
        <v>13025 Quantum II/ : couleur résines, pigment, pb hydrolyse FOS</v>
      </c>
    </row>
    <row r="98" spans="1:40" s="76" customFormat="1" ht="13" hidden="1" x14ac:dyDescent="0.3">
      <c r="A98" s="122"/>
      <c r="B98" s="116">
        <v>13026</v>
      </c>
      <c r="C98" s="113" t="s">
        <v>4</v>
      </c>
      <c r="D98" s="117">
        <v>41463</v>
      </c>
      <c r="E98" s="118" t="s">
        <v>129</v>
      </c>
      <c r="F98" s="118"/>
      <c r="G98" s="111" t="s">
        <v>395</v>
      </c>
      <c r="H98" s="111" t="s">
        <v>315</v>
      </c>
      <c r="I98" s="119" t="s">
        <v>5</v>
      </c>
      <c r="J98" s="113"/>
      <c r="K98" s="118"/>
      <c r="L98" s="118" t="s">
        <v>396</v>
      </c>
      <c r="M98" s="118" t="s">
        <v>13</v>
      </c>
      <c r="N98" s="120" t="s">
        <v>397</v>
      </c>
      <c r="O98" s="111" t="s">
        <v>28</v>
      </c>
      <c r="P98" s="111" t="s">
        <v>103</v>
      </c>
      <c r="Q98" s="111"/>
      <c r="R98" s="111" t="s">
        <v>145</v>
      </c>
      <c r="S98" s="111"/>
      <c r="T98" s="128" t="s">
        <v>315</v>
      </c>
      <c r="U98" s="64">
        <v>41464</v>
      </c>
      <c r="V98" s="158" t="s">
        <v>10</v>
      </c>
      <c r="W98" s="118"/>
      <c r="X98" s="113"/>
      <c r="Y98" s="117">
        <f t="shared" si="6"/>
        <v>41555</v>
      </c>
      <c r="Z98" s="117">
        <v>41512</v>
      </c>
      <c r="AA98" s="161" t="str">
        <f t="shared" ca="1" si="7"/>
        <v>YES</v>
      </c>
      <c r="AB98" s="113"/>
      <c r="AC98" s="117"/>
      <c r="AD98" s="111"/>
      <c r="AE98" s="111"/>
      <c r="AF98" s="111" t="str">
        <f t="shared" ca="1" si="8"/>
        <v/>
      </c>
      <c r="AG98" s="162"/>
      <c r="AH98" s="162"/>
      <c r="AI98" s="164">
        <f t="shared" si="9"/>
        <v>0</v>
      </c>
      <c r="AJ98" s="118" t="s">
        <v>6</v>
      </c>
      <c r="AK98" s="113">
        <v>41512</v>
      </c>
      <c r="AL98" s="118"/>
      <c r="AM98" s="165" t="str">
        <f t="shared" si="10"/>
        <v xml:space="preserve">13026 Galactic / </v>
      </c>
      <c r="AN98" s="165" t="str">
        <f t="shared" si="11"/>
        <v>13026 Galactic /  : Conditionnement résines</v>
      </c>
    </row>
    <row r="99" spans="1:40" s="76" customFormat="1" ht="13" hidden="1" x14ac:dyDescent="0.3">
      <c r="A99" s="122"/>
      <c r="B99" s="116">
        <v>13027</v>
      </c>
      <c r="C99" s="113" t="s">
        <v>4</v>
      </c>
      <c r="D99" s="117">
        <v>41463</v>
      </c>
      <c r="E99" s="118" t="s">
        <v>129</v>
      </c>
      <c r="F99" s="118"/>
      <c r="G99" s="111" t="s">
        <v>398</v>
      </c>
      <c r="H99" s="111"/>
      <c r="I99" s="119" t="s">
        <v>5</v>
      </c>
      <c r="J99" s="113"/>
      <c r="K99" s="118"/>
      <c r="L99" s="118" t="s">
        <v>399</v>
      </c>
      <c r="M99" s="118" t="s">
        <v>16</v>
      </c>
      <c r="N99" s="120" t="s">
        <v>400</v>
      </c>
      <c r="O99" s="111" t="s">
        <v>28</v>
      </c>
      <c r="P99" s="111" t="s">
        <v>103</v>
      </c>
      <c r="Q99" s="111"/>
      <c r="R99" s="111" t="s">
        <v>9</v>
      </c>
      <c r="S99" s="111"/>
      <c r="T99" s="118"/>
      <c r="U99" s="64">
        <v>41466</v>
      </c>
      <c r="V99" s="158" t="s">
        <v>10</v>
      </c>
      <c r="W99" s="118"/>
      <c r="X99" s="113"/>
      <c r="Y99" s="117">
        <f t="shared" si="6"/>
        <v>41555</v>
      </c>
      <c r="Z99" s="117">
        <v>41549</v>
      </c>
      <c r="AA99" s="161" t="str">
        <f t="shared" ca="1" si="7"/>
        <v>YES</v>
      </c>
      <c r="AB99" s="113"/>
      <c r="AC99" s="117"/>
      <c r="AD99" s="111"/>
      <c r="AE99" s="111"/>
      <c r="AF99" s="111" t="str">
        <f t="shared" ca="1" si="8"/>
        <v/>
      </c>
      <c r="AG99" s="162"/>
      <c r="AH99" s="162"/>
      <c r="AI99" s="164">
        <f t="shared" si="9"/>
        <v>0</v>
      </c>
      <c r="AJ99" s="118" t="s">
        <v>6</v>
      </c>
      <c r="AK99" s="113">
        <v>41549</v>
      </c>
      <c r="AL99" s="118"/>
      <c r="AM99" s="165" t="str">
        <f t="shared" si="10"/>
        <v>13027 HEC PHARMA</v>
      </c>
      <c r="AN99" s="165" t="str">
        <f t="shared" si="11"/>
        <v>13027 HEC PHARMA : Pb expédition groupage Chine</v>
      </c>
    </row>
    <row r="100" spans="1:40" s="76" customFormat="1" ht="13" hidden="1" x14ac:dyDescent="0.3">
      <c r="A100" s="122"/>
      <c r="B100" s="116">
        <v>13028</v>
      </c>
      <c r="C100" s="113" t="s">
        <v>4</v>
      </c>
      <c r="D100" s="117">
        <v>41505</v>
      </c>
      <c r="E100" s="118" t="s">
        <v>129</v>
      </c>
      <c r="F100" s="118"/>
      <c r="G100" s="111" t="s">
        <v>401</v>
      </c>
      <c r="H100" s="111"/>
      <c r="I100" s="119" t="s">
        <v>5</v>
      </c>
      <c r="J100" s="113"/>
      <c r="K100" s="118"/>
      <c r="L100" s="118" t="s">
        <v>402</v>
      </c>
      <c r="M100" s="118" t="s">
        <v>16</v>
      </c>
      <c r="N100" s="120" t="s">
        <v>403</v>
      </c>
      <c r="O100" s="111" t="s">
        <v>28</v>
      </c>
      <c r="P100" s="111" t="s">
        <v>103</v>
      </c>
      <c r="Q100" s="111"/>
      <c r="R100" s="111" t="s">
        <v>145</v>
      </c>
      <c r="S100" s="111"/>
      <c r="T100" s="118"/>
      <c r="U100" s="64">
        <v>41533</v>
      </c>
      <c r="V100" s="158" t="s">
        <v>10</v>
      </c>
      <c r="W100" s="118"/>
      <c r="X100" s="113"/>
      <c r="Y100" s="117">
        <f t="shared" si="6"/>
        <v>41597</v>
      </c>
      <c r="Z100" s="117">
        <v>41549</v>
      </c>
      <c r="AA100" s="161" t="str">
        <f t="shared" ca="1" si="7"/>
        <v>YES</v>
      </c>
      <c r="AB100" s="113"/>
      <c r="AC100" s="117"/>
      <c r="AD100" s="111"/>
      <c r="AE100" s="111"/>
      <c r="AF100" s="111" t="str">
        <f t="shared" ca="1" si="8"/>
        <v/>
      </c>
      <c r="AG100" s="162"/>
      <c r="AH100" s="162"/>
      <c r="AI100" s="164">
        <f t="shared" si="9"/>
        <v>0</v>
      </c>
      <c r="AJ100" s="118" t="s">
        <v>6</v>
      </c>
      <c r="AK100" s="113">
        <v>41549</v>
      </c>
      <c r="AL100" s="118"/>
      <c r="AM100" s="165" t="str">
        <f t="shared" si="10"/>
        <v>13028 GSK Bio Hamilton (NVS Inc)</v>
      </c>
      <c r="AN100" s="165" t="str">
        <f t="shared" si="11"/>
        <v>13028 GSK Bio Hamilton (NVS Inc) : Casse de 21 membranes à réception</v>
      </c>
    </row>
    <row r="101" spans="1:40" s="76" customFormat="1" ht="13" hidden="1" x14ac:dyDescent="0.3">
      <c r="A101" s="122"/>
      <c r="B101" s="116">
        <v>13029</v>
      </c>
      <c r="C101" s="113" t="s">
        <v>4</v>
      </c>
      <c r="D101" s="117">
        <v>41508</v>
      </c>
      <c r="E101" s="118" t="s">
        <v>129</v>
      </c>
      <c r="F101" s="118"/>
      <c r="G101" s="111" t="s">
        <v>398</v>
      </c>
      <c r="H101" s="111"/>
      <c r="I101" s="119" t="s">
        <v>2057</v>
      </c>
      <c r="J101" s="113"/>
      <c r="K101" s="118"/>
      <c r="L101" s="118" t="s">
        <v>399</v>
      </c>
      <c r="M101" s="118" t="s">
        <v>16</v>
      </c>
      <c r="N101" s="120" t="s">
        <v>404</v>
      </c>
      <c r="O101" s="111" t="s">
        <v>28</v>
      </c>
      <c r="P101" s="111" t="s">
        <v>103</v>
      </c>
      <c r="Q101" s="111"/>
      <c r="R101" s="111" t="s">
        <v>145</v>
      </c>
      <c r="S101" s="111"/>
      <c r="T101" s="118"/>
      <c r="U101" s="64">
        <v>41533</v>
      </c>
      <c r="V101" s="158" t="s">
        <v>10</v>
      </c>
      <c r="W101" s="118"/>
      <c r="X101" s="113"/>
      <c r="Y101" s="117">
        <f t="shared" si="6"/>
        <v>41600</v>
      </c>
      <c r="Z101" s="117">
        <v>41549</v>
      </c>
      <c r="AA101" s="161" t="str">
        <f t="shared" ca="1" si="7"/>
        <v>YES</v>
      </c>
      <c r="AB101" s="113"/>
      <c r="AC101" s="117"/>
      <c r="AD101" s="111"/>
      <c r="AE101" s="111"/>
      <c r="AF101" s="111" t="str">
        <f t="shared" ca="1" si="8"/>
        <v>N/A</v>
      </c>
      <c r="AG101" s="162"/>
      <c r="AH101" s="162"/>
      <c r="AI101" s="164">
        <f t="shared" si="9"/>
        <v>0</v>
      </c>
      <c r="AJ101" s="118" t="s">
        <v>6</v>
      </c>
      <c r="AK101" s="113">
        <v>41549</v>
      </c>
      <c r="AL101" s="118"/>
      <c r="AM101" s="165" t="str">
        <f t="shared" si="10"/>
        <v>13029 HEC PHARMA</v>
      </c>
      <c r="AN101" s="165" t="str">
        <f t="shared" si="11"/>
        <v>13029 HEC PHARMA : palettes plastiques cassées/ tordues</v>
      </c>
    </row>
    <row r="102" spans="1:40" s="76" customFormat="1" ht="13" hidden="1" x14ac:dyDescent="0.3">
      <c r="A102" s="122"/>
      <c r="B102" s="116">
        <v>13030</v>
      </c>
      <c r="C102" s="113" t="s">
        <v>4</v>
      </c>
      <c r="D102" s="117">
        <v>41508</v>
      </c>
      <c r="E102" s="118" t="s">
        <v>129</v>
      </c>
      <c r="F102" s="118"/>
      <c r="G102" s="111" t="s">
        <v>405</v>
      </c>
      <c r="H102" s="111" t="s">
        <v>392</v>
      </c>
      <c r="I102" s="119" t="s">
        <v>5</v>
      </c>
      <c r="J102" s="113"/>
      <c r="K102" s="118"/>
      <c r="L102" s="118" t="s">
        <v>406</v>
      </c>
      <c r="M102" s="118" t="s">
        <v>13</v>
      </c>
      <c r="N102" s="120" t="s">
        <v>407</v>
      </c>
      <c r="O102" s="111" t="s">
        <v>28</v>
      </c>
      <c r="P102" s="111" t="s">
        <v>103</v>
      </c>
      <c r="Q102" s="111"/>
      <c r="R102" s="111" t="s">
        <v>145</v>
      </c>
      <c r="S102" s="111"/>
      <c r="T102" s="128" t="s">
        <v>392</v>
      </c>
      <c r="U102" s="64">
        <v>41549</v>
      </c>
      <c r="V102" s="158" t="s">
        <v>10</v>
      </c>
      <c r="W102" s="118"/>
      <c r="X102" s="113"/>
      <c r="Y102" s="117">
        <f t="shared" si="6"/>
        <v>41600</v>
      </c>
      <c r="Z102" s="117">
        <v>41729</v>
      </c>
      <c r="AA102" s="161" t="str">
        <f t="shared" ca="1" si="7"/>
        <v>NO</v>
      </c>
      <c r="AB102" s="113"/>
      <c r="AC102" s="117"/>
      <c r="AD102" s="111"/>
      <c r="AE102" s="111"/>
      <c r="AF102" s="111" t="str">
        <f t="shared" ca="1" si="8"/>
        <v/>
      </c>
      <c r="AG102" s="162"/>
      <c r="AH102" s="162"/>
      <c r="AI102" s="164">
        <f t="shared" si="9"/>
        <v>0</v>
      </c>
      <c r="AJ102" s="118" t="s">
        <v>10</v>
      </c>
      <c r="AK102" s="113">
        <v>41646</v>
      </c>
      <c r="AL102" s="118" t="s">
        <v>408</v>
      </c>
      <c r="AM102" s="165" t="str">
        <f t="shared" si="10"/>
        <v>13030 CJ USA/</v>
      </c>
      <c r="AN102" s="165" t="str">
        <f t="shared" si="11"/>
        <v>13030 CJ USA/ : Big bag résine déchiré</v>
      </c>
    </row>
    <row r="103" spans="1:40" s="76" customFormat="1" ht="13" hidden="1" x14ac:dyDescent="0.3">
      <c r="A103" s="122"/>
      <c r="B103" s="116">
        <v>13031</v>
      </c>
      <c r="C103" s="113" t="s">
        <v>4</v>
      </c>
      <c r="D103" s="117">
        <v>41512</v>
      </c>
      <c r="E103" s="118" t="s">
        <v>221</v>
      </c>
      <c r="F103" s="118"/>
      <c r="G103" s="111" t="s">
        <v>373</v>
      </c>
      <c r="H103" s="111" t="s">
        <v>374</v>
      </c>
      <c r="I103" s="119" t="s">
        <v>2056</v>
      </c>
      <c r="J103" s="113"/>
      <c r="K103" s="118"/>
      <c r="L103" s="118" t="s">
        <v>375</v>
      </c>
      <c r="M103" s="118" t="s">
        <v>13</v>
      </c>
      <c r="N103" s="120" t="s">
        <v>379</v>
      </c>
      <c r="O103" s="111" t="s">
        <v>29</v>
      </c>
      <c r="P103" s="111" t="s">
        <v>86</v>
      </c>
      <c r="Q103" s="111" t="s">
        <v>176</v>
      </c>
      <c r="R103" s="111" t="s">
        <v>145</v>
      </c>
      <c r="S103" s="111"/>
      <c r="T103" s="128" t="s">
        <v>374</v>
      </c>
      <c r="U103" s="64">
        <v>41521</v>
      </c>
      <c r="V103" s="158" t="s">
        <v>10</v>
      </c>
      <c r="W103" s="118"/>
      <c r="X103" s="113"/>
      <c r="Y103" s="117">
        <f t="shared" si="6"/>
        <v>41604</v>
      </c>
      <c r="Z103" s="117">
        <v>41584</v>
      </c>
      <c r="AA103" s="161" t="str">
        <f t="shared" ca="1" si="7"/>
        <v>YES</v>
      </c>
      <c r="AB103" s="113"/>
      <c r="AC103" s="117"/>
      <c r="AD103" s="111"/>
      <c r="AE103" s="111"/>
      <c r="AF103" s="111" t="str">
        <f t="shared" ca="1" si="8"/>
        <v>N/A</v>
      </c>
      <c r="AG103" s="162"/>
      <c r="AH103" s="162"/>
      <c r="AI103" s="164">
        <f t="shared" si="9"/>
        <v>0</v>
      </c>
      <c r="AJ103" s="118" t="s">
        <v>6</v>
      </c>
      <c r="AK103" s="113">
        <v>41584</v>
      </c>
      <c r="AL103" s="118"/>
      <c r="AM103" s="165" t="str">
        <f t="shared" si="10"/>
        <v>13031 Roquette</v>
      </c>
      <c r="AN103" s="165" t="str">
        <f t="shared" si="11"/>
        <v>13031 Roquette : Erreurs chaudronnerie</v>
      </c>
    </row>
    <row r="104" spans="1:40" s="76" customFormat="1" ht="13" hidden="1" x14ac:dyDescent="0.3">
      <c r="A104" s="122"/>
      <c r="B104" s="116">
        <v>13032</v>
      </c>
      <c r="C104" s="113" t="s">
        <v>4</v>
      </c>
      <c r="D104" s="117">
        <v>41530</v>
      </c>
      <c r="E104" s="118" t="s">
        <v>149</v>
      </c>
      <c r="F104" s="118"/>
      <c r="G104" s="111" t="s">
        <v>161</v>
      </c>
      <c r="H104" s="111"/>
      <c r="I104" s="119" t="s">
        <v>5</v>
      </c>
      <c r="J104" s="113"/>
      <c r="K104" s="118"/>
      <c r="L104" s="118" t="s">
        <v>409</v>
      </c>
      <c r="M104" s="118" t="s">
        <v>13</v>
      </c>
      <c r="N104" s="120" t="s">
        <v>410</v>
      </c>
      <c r="O104" s="111" t="s">
        <v>28</v>
      </c>
      <c r="P104" s="111" t="s">
        <v>103</v>
      </c>
      <c r="Q104" s="111"/>
      <c r="R104" s="111" t="s">
        <v>145</v>
      </c>
      <c r="S104" s="111"/>
      <c r="T104" s="128" t="s">
        <v>411</v>
      </c>
      <c r="U104" s="64">
        <v>41569</v>
      </c>
      <c r="V104" s="158" t="s">
        <v>10</v>
      </c>
      <c r="W104" s="118"/>
      <c r="X104" s="113"/>
      <c r="Y104" s="117">
        <f t="shared" si="6"/>
        <v>41621</v>
      </c>
      <c r="Z104" s="117">
        <v>41604</v>
      </c>
      <c r="AA104" s="161" t="str">
        <f t="shared" ca="1" si="7"/>
        <v>YES</v>
      </c>
      <c r="AB104" s="113"/>
      <c r="AC104" s="117"/>
      <c r="AD104" s="111"/>
      <c r="AE104" s="111"/>
      <c r="AF104" s="111" t="str">
        <f t="shared" ca="1" si="8"/>
        <v/>
      </c>
      <c r="AG104" s="162"/>
      <c r="AH104" s="162"/>
      <c r="AI104" s="164">
        <f t="shared" si="9"/>
        <v>0</v>
      </c>
      <c r="AJ104" s="128" t="s">
        <v>6</v>
      </c>
      <c r="AK104" s="168">
        <v>42051</v>
      </c>
      <c r="AL104" s="128" t="s">
        <v>412</v>
      </c>
      <c r="AM104" s="165" t="str">
        <f t="shared" si="10"/>
        <v>13032 Great Ocean Ingredients</v>
      </c>
      <c r="AN104" s="165" t="str">
        <f t="shared" si="11"/>
        <v>13032 Great Ocean Ingredients : Emballage résines moisies à réception</v>
      </c>
    </row>
    <row r="105" spans="1:40" s="76" customFormat="1" ht="13" hidden="1" x14ac:dyDescent="0.3">
      <c r="A105" s="122"/>
      <c r="B105" s="116">
        <v>13033</v>
      </c>
      <c r="C105" s="113" t="s">
        <v>4</v>
      </c>
      <c r="D105" s="117">
        <v>41535</v>
      </c>
      <c r="E105" s="118" t="s">
        <v>413</v>
      </c>
      <c r="F105" s="118"/>
      <c r="G105" s="111" t="s">
        <v>401</v>
      </c>
      <c r="H105" s="111"/>
      <c r="I105" s="119" t="s">
        <v>5</v>
      </c>
      <c r="J105" s="113" t="s">
        <v>6</v>
      </c>
      <c r="K105" s="118"/>
      <c r="L105" s="118" t="s">
        <v>414</v>
      </c>
      <c r="M105" s="118" t="s">
        <v>16</v>
      </c>
      <c r="N105" s="120" t="s">
        <v>415</v>
      </c>
      <c r="O105" s="111" t="s">
        <v>28</v>
      </c>
      <c r="P105" s="111" t="s">
        <v>103</v>
      </c>
      <c r="Q105" s="111"/>
      <c r="R105" s="111" t="s">
        <v>145</v>
      </c>
      <c r="S105" s="111"/>
      <c r="T105" s="118"/>
      <c r="U105" s="64">
        <v>41551</v>
      </c>
      <c r="V105" s="158" t="s">
        <v>10</v>
      </c>
      <c r="W105" s="118"/>
      <c r="X105" s="113"/>
      <c r="Y105" s="117">
        <f t="shared" si="6"/>
        <v>41626</v>
      </c>
      <c r="Z105" s="117">
        <v>41618</v>
      </c>
      <c r="AA105" s="161" t="str">
        <f t="shared" ca="1" si="7"/>
        <v>YES</v>
      </c>
      <c r="AB105" s="113"/>
      <c r="AC105" s="117"/>
      <c r="AD105" s="111"/>
      <c r="AE105" s="111"/>
      <c r="AF105" s="111" t="str">
        <f t="shared" ca="1" si="8"/>
        <v/>
      </c>
      <c r="AG105" s="162"/>
      <c r="AH105" s="162"/>
      <c r="AI105" s="164">
        <f t="shared" si="9"/>
        <v>0</v>
      </c>
      <c r="AJ105" s="118" t="s">
        <v>6</v>
      </c>
      <c r="AK105" s="113">
        <v>41618</v>
      </c>
      <c r="AL105" s="118"/>
      <c r="AM105" s="165" t="str">
        <f t="shared" si="10"/>
        <v>13033 GSK Bio Hamilton (NVS Inc)</v>
      </c>
      <c r="AN105" s="165" t="str">
        <f t="shared" si="11"/>
        <v xml:space="preserve">13033 GSK Bio Hamilton (NVS Inc) : pb livraison : conditionnement détérioré </v>
      </c>
    </row>
    <row r="106" spans="1:40" s="76" customFormat="1" ht="13" hidden="1" x14ac:dyDescent="0.3">
      <c r="A106" s="122"/>
      <c r="B106" s="116">
        <v>13034</v>
      </c>
      <c r="C106" s="113" t="s">
        <v>4</v>
      </c>
      <c r="D106" s="117">
        <v>41572</v>
      </c>
      <c r="E106" s="118" t="s">
        <v>172</v>
      </c>
      <c r="F106" s="118"/>
      <c r="G106" s="111" t="s">
        <v>416</v>
      </c>
      <c r="H106" s="111"/>
      <c r="I106" s="119" t="s">
        <v>2057</v>
      </c>
      <c r="J106" s="113"/>
      <c r="K106" s="118"/>
      <c r="L106" s="118" t="s">
        <v>417</v>
      </c>
      <c r="M106" s="118" t="s">
        <v>418</v>
      </c>
      <c r="N106" s="120" t="s">
        <v>419</v>
      </c>
      <c r="O106" s="111" t="s">
        <v>420</v>
      </c>
      <c r="P106" s="111" t="s">
        <v>80</v>
      </c>
      <c r="Q106" s="111"/>
      <c r="R106" s="111" t="s">
        <v>9</v>
      </c>
      <c r="S106" s="111"/>
      <c r="T106" s="118"/>
      <c r="U106" s="64">
        <v>41572</v>
      </c>
      <c r="V106" s="158" t="s">
        <v>10</v>
      </c>
      <c r="W106" s="118"/>
      <c r="X106" s="113"/>
      <c r="Y106" s="117">
        <f t="shared" si="6"/>
        <v>41664</v>
      </c>
      <c r="Z106" s="117">
        <v>41660</v>
      </c>
      <c r="AA106" s="161" t="str">
        <f t="shared" ca="1" si="7"/>
        <v>YES</v>
      </c>
      <c r="AB106" s="113"/>
      <c r="AC106" s="117"/>
      <c r="AD106" s="111"/>
      <c r="AE106" s="111"/>
      <c r="AF106" s="111" t="str">
        <f t="shared" ca="1" si="8"/>
        <v>N/A</v>
      </c>
      <c r="AG106" s="162"/>
      <c r="AH106" s="162"/>
      <c r="AI106" s="164">
        <f t="shared" si="9"/>
        <v>0</v>
      </c>
      <c r="AJ106" s="118" t="s">
        <v>6</v>
      </c>
      <c r="AK106" s="113">
        <v>41660</v>
      </c>
      <c r="AL106" s="118"/>
      <c r="AM106" s="165" t="str">
        <f t="shared" si="10"/>
        <v>13034 VITALUS</v>
      </c>
      <c r="AN106" s="165" t="str">
        <f t="shared" si="11"/>
        <v>13034 VITALUS : Validation RC3, offre 20-9825-0</v>
      </c>
    </row>
    <row r="107" spans="1:40" s="76" customFormat="1" ht="13" hidden="1" x14ac:dyDescent="0.3">
      <c r="A107" s="122"/>
      <c r="B107" s="116">
        <v>13035</v>
      </c>
      <c r="C107" s="113" t="s">
        <v>4</v>
      </c>
      <c r="D107" s="117">
        <v>41577</v>
      </c>
      <c r="E107" s="118" t="s">
        <v>82</v>
      </c>
      <c r="F107" s="118"/>
      <c r="G107" s="111" t="s">
        <v>421</v>
      </c>
      <c r="H107" s="111" t="s">
        <v>422</v>
      </c>
      <c r="I107" s="119" t="s">
        <v>2056</v>
      </c>
      <c r="J107" s="113"/>
      <c r="K107" s="118"/>
      <c r="L107" s="118" t="s">
        <v>423</v>
      </c>
      <c r="M107" s="118" t="s">
        <v>13</v>
      </c>
      <c r="N107" s="120" t="s">
        <v>424</v>
      </c>
      <c r="O107" s="111" t="s">
        <v>29</v>
      </c>
      <c r="P107" s="111" t="s">
        <v>86</v>
      </c>
      <c r="Q107" s="111" t="s">
        <v>176</v>
      </c>
      <c r="R107" s="111" t="s">
        <v>145</v>
      </c>
      <c r="S107" s="111"/>
      <c r="T107" s="128" t="s">
        <v>425</v>
      </c>
      <c r="U107" s="64">
        <v>41577</v>
      </c>
      <c r="V107" s="158" t="s">
        <v>6</v>
      </c>
      <c r="W107" s="118" t="s">
        <v>224</v>
      </c>
      <c r="X107" s="113"/>
      <c r="Y107" s="117">
        <f t="shared" si="6"/>
        <v>41669</v>
      </c>
      <c r="Z107" s="117">
        <v>41660</v>
      </c>
      <c r="AA107" s="161" t="str">
        <f t="shared" ca="1" si="7"/>
        <v>YES</v>
      </c>
      <c r="AB107" s="113"/>
      <c r="AC107" s="117"/>
      <c r="AD107" s="111"/>
      <c r="AE107" s="111"/>
      <c r="AF107" s="111" t="str">
        <f t="shared" ca="1" si="8"/>
        <v>N/A</v>
      </c>
      <c r="AG107" s="162"/>
      <c r="AH107" s="162"/>
      <c r="AI107" s="164">
        <f t="shared" si="9"/>
        <v>0</v>
      </c>
      <c r="AJ107" s="118" t="s">
        <v>6</v>
      </c>
      <c r="AK107" s="113">
        <v>41660</v>
      </c>
      <c r="AL107" s="118"/>
      <c r="AM107" s="165" t="str">
        <f t="shared" si="10"/>
        <v xml:space="preserve">13035 Tereos Roumanie / </v>
      </c>
      <c r="AN107" s="165" t="str">
        <f t="shared" si="11"/>
        <v>13035 Tereos Roumanie /  : Retard de livraison</v>
      </c>
    </row>
    <row r="108" spans="1:40" s="76" customFormat="1" ht="13" hidden="1" x14ac:dyDescent="0.3">
      <c r="A108" s="122"/>
      <c r="B108" s="116">
        <v>13036</v>
      </c>
      <c r="C108" s="113" t="s">
        <v>4</v>
      </c>
      <c r="D108" s="117">
        <v>41582</v>
      </c>
      <c r="E108" s="118" t="s">
        <v>91</v>
      </c>
      <c r="F108" s="118"/>
      <c r="G108" s="111" t="s">
        <v>426</v>
      </c>
      <c r="H108" s="111"/>
      <c r="I108" s="119" t="s">
        <v>2057</v>
      </c>
      <c r="J108" s="113"/>
      <c r="K108" s="118"/>
      <c r="L108" s="118" t="s">
        <v>427</v>
      </c>
      <c r="M108" s="118" t="s">
        <v>13</v>
      </c>
      <c r="N108" s="120" t="s">
        <v>428</v>
      </c>
      <c r="O108" s="111" t="s">
        <v>29</v>
      </c>
      <c r="P108" s="111" t="s">
        <v>86</v>
      </c>
      <c r="Q108" s="111"/>
      <c r="R108" s="111" t="s">
        <v>9</v>
      </c>
      <c r="S108" s="111"/>
      <c r="T108" s="118"/>
      <c r="U108" s="64">
        <v>41625</v>
      </c>
      <c r="V108" s="158" t="s">
        <v>6</v>
      </c>
      <c r="W108" s="118" t="s">
        <v>120</v>
      </c>
      <c r="X108" s="113"/>
      <c r="Y108" s="117">
        <f t="shared" si="6"/>
        <v>41674</v>
      </c>
      <c r="Z108" s="117">
        <v>41659</v>
      </c>
      <c r="AA108" s="161" t="str">
        <f t="shared" ca="1" si="7"/>
        <v>YES</v>
      </c>
      <c r="AB108" s="113"/>
      <c r="AC108" s="117"/>
      <c r="AD108" s="111"/>
      <c r="AE108" s="111"/>
      <c r="AF108" s="111" t="str">
        <f t="shared" ca="1" si="8"/>
        <v>N/A</v>
      </c>
      <c r="AG108" s="162"/>
      <c r="AH108" s="162"/>
      <c r="AI108" s="164">
        <f t="shared" si="9"/>
        <v>0</v>
      </c>
      <c r="AJ108" s="118" t="s">
        <v>6</v>
      </c>
      <c r="AK108" s="113">
        <v>41659</v>
      </c>
      <c r="AL108" s="118"/>
      <c r="AM108" s="165" t="str">
        <f t="shared" si="10"/>
        <v>13036 CARGILL Russie</v>
      </c>
      <c r="AN108" s="165" t="str">
        <f t="shared" si="11"/>
        <v>13036 CARGILL Russie : Incompatibilité norme brides</v>
      </c>
    </row>
    <row r="109" spans="1:40" s="76" customFormat="1" ht="13" hidden="1" x14ac:dyDescent="0.3">
      <c r="A109" s="122"/>
      <c r="B109" s="116">
        <v>13037</v>
      </c>
      <c r="C109" s="113" t="s">
        <v>4</v>
      </c>
      <c r="D109" s="117">
        <v>41582</v>
      </c>
      <c r="E109" s="118" t="s">
        <v>91</v>
      </c>
      <c r="F109" s="118"/>
      <c r="G109" s="111" t="s">
        <v>429</v>
      </c>
      <c r="H109" s="111"/>
      <c r="I109" s="119" t="s">
        <v>2057</v>
      </c>
      <c r="J109" s="113"/>
      <c r="K109" s="118"/>
      <c r="L109" s="118" t="s">
        <v>430</v>
      </c>
      <c r="M109" s="118" t="s">
        <v>11</v>
      </c>
      <c r="N109" s="120" t="s">
        <v>431</v>
      </c>
      <c r="O109" s="111" t="s">
        <v>29</v>
      </c>
      <c r="P109" s="111" t="s">
        <v>86</v>
      </c>
      <c r="Q109" s="111"/>
      <c r="R109" s="111" t="s">
        <v>9</v>
      </c>
      <c r="S109" s="111"/>
      <c r="T109" s="118"/>
      <c r="U109" s="64">
        <v>41582</v>
      </c>
      <c r="V109" s="158" t="s">
        <v>6</v>
      </c>
      <c r="W109" s="118" t="s">
        <v>120</v>
      </c>
      <c r="X109" s="113"/>
      <c r="Y109" s="117">
        <f t="shared" si="6"/>
        <v>41674</v>
      </c>
      <c r="Z109" s="117">
        <v>41626</v>
      </c>
      <c r="AA109" s="161" t="str">
        <f t="shared" ca="1" si="7"/>
        <v>YES</v>
      </c>
      <c r="AB109" s="113"/>
      <c r="AC109" s="117"/>
      <c r="AD109" s="111"/>
      <c r="AE109" s="111"/>
      <c r="AF109" s="111" t="str">
        <f t="shared" ca="1" si="8"/>
        <v>N/A</v>
      </c>
      <c r="AG109" s="162"/>
      <c r="AH109" s="162"/>
      <c r="AI109" s="164">
        <f t="shared" si="9"/>
        <v>0</v>
      </c>
      <c r="AJ109" s="118" t="s">
        <v>6</v>
      </c>
      <c r="AK109" s="113">
        <v>41626</v>
      </c>
      <c r="AL109" s="118"/>
      <c r="AM109" s="165" t="str">
        <f t="shared" si="10"/>
        <v>13037 CJ USA</v>
      </c>
      <c r="AN109" s="165" t="str">
        <f t="shared" si="11"/>
        <v>13037 CJ USA : Erreur modélisation colonne</v>
      </c>
    </row>
    <row r="110" spans="1:40" s="76" customFormat="1" ht="13" hidden="1" x14ac:dyDescent="0.3">
      <c r="A110" s="122"/>
      <c r="B110" s="116">
        <v>13038</v>
      </c>
      <c r="C110" s="113" t="s">
        <v>4</v>
      </c>
      <c r="D110" s="117">
        <v>41586</v>
      </c>
      <c r="E110" s="118" t="s">
        <v>91</v>
      </c>
      <c r="F110" s="118"/>
      <c r="G110" s="111" t="s">
        <v>432</v>
      </c>
      <c r="H110" s="111" t="s">
        <v>433</v>
      </c>
      <c r="I110" s="119" t="s">
        <v>2056</v>
      </c>
      <c r="J110" s="113" t="s">
        <v>6</v>
      </c>
      <c r="K110" s="118"/>
      <c r="L110" s="118" t="s">
        <v>430</v>
      </c>
      <c r="M110" s="118" t="s">
        <v>11</v>
      </c>
      <c r="N110" s="120" t="s">
        <v>434</v>
      </c>
      <c r="O110" s="111" t="s">
        <v>29</v>
      </c>
      <c r="P110" s="111" t="s">
        <v>86</v>
      </c>
      <c r="Q110" s="111"/>
      <c r="R110" s="111" t="s">
        <v>145</v>
      </c>
      <c r="S110" s="111"/>
      <c r="T110" s="118"/>
      <c r="U110" s="64">
        <v>41586</v>
      </c>
      <c r="V110" s="158" t="s">
        <v>6</v>
      </c>
      <c r="W110" s="118" t="s">
        <v>116</v>
      </c>
      <c r="X110" s="113"/>
      <c r="Y110" s="117">
        <f t="shared" si="6"/>
        <v>41678</v>
      </c>
      <c r="Z110" s="117">
        <v>41785</v>
      </c>
      <c r="AA110" s="161" t="str">
        <f t="shared" ca="1" si="7"/>
        <v>NO</v>
      </c>
      <c r="AB110" s="113"/>
      <c r="AC110" s="117"/>
      <c r="AD110" s="111"/>
      <c r="AE110" s="111"/>
      <c r="AF110" s="111" t="str">
        <f t="shared" ca="1" si="8"/>
        <v>N/A</v>
      </c>
      <c r="AG110" s="162"/>
      <c r="AH110" s="162"/>
      <c r="AI110" s="164">
        <f t="shared" si="9"/>
        <v>0</v>
      </c>
      <c r="AJ110" s="118" t="s">
        <v>6</v>
      </c>
      <c r="AK110" s="113">
        <v>41785</v>
      </c>
      <c r="AL110" s="118"/>
      <c r="AM110" s="165" t="str">
        <f t="shared" si="10"/>
        <v xml:space="preserve">13038 CJ USA </v>
      </c>
      <c r="AN110" s="165" t="str">
        <f t="shared" si="11"/>
        <v>13038 CJ USA  : Défauts d'ébonitage sur colonnes</v>
      </c>
    </row>
    <row r="111" spans="1:40" s="76" customFormat="1" ht="13" hidden="1" x14ac:dyDescent="0.3">
      <c r="A111" s="122"/>
      <c r="B111" s="116">
        <v>13039</v>
      </c>
      <c r="C111" s="113" t="s">
        <v>4</v>
      </c>
      <c r="D111" s="117">
        <v>41590</v>
      </c>
      <c r="E111" s="118" t="s">
        <v>212</v>
      </c>
      <c r="F111" s="118"/>
      <c r="G111" s="111" t="s">
        <v>435</v>
      </c>
      <c r="H111" s="111"/>
      <c r="I111" s="119" t="s">
        <v>5</v>
      </c>
      <c r="J111" s="113"/>
      <c r="K111" s="118"/>
      <c r="L111" s="118" t="s">
        <v>436</v>
      </c>
      <c r="M111" s="118" t="s">
        <v>20</v>
      </c>
      <c r="N111" s="120" t="s">
        <v>437</v>
      </c>
      <c r="O111" s="111" t="s">
        <v>29</v>
      </c>
      <c r="P111" s="111" t="s">
        <v>86</v>
      </c>
      <c r="Q111" s="111"/>
      <c r="R111" s="111" t="s">
        <v>145</v>
      </c>
      <c r="S111" s="111"/>
      <c r="T111" s="118"/>
      <c r="U111" s="64">
        <v>41548</v>
      </c>
      <c r="V111" s="158" t="s">
        <v>10</v>
      </c>
      <c r="W111" s="118"/>
      <c r="X111" s="113"/>
      <c r="Y111" s="117">
        <f t="shared" si="6"/>
        <v>41682</v>
      </c>
      <c r="Z111" s="117">
        <v>41971</v>
      </c>
      <c r="AA111" s="161" t="str">
        <f t="shared" ca="1" si="7"/>
        <v>NO</v>
      </c>
      <c r="AB111" s="113"/>
      <c r="AC111" s="117"/>
      <c r="AD111" s="111"/>
      <c r="AE111" s="111"/>
      <c r="AF111" s="111" t="str">
        <f t="shared" ca="1" si="8"/>
        <v/>
      </c>
      <c r="AG111" s="162"/>
      <c r="AH111" s="162"/>
      <c r="AI111" s="164">
        <f t="shared" si="9"/>
        <v>0</v>
      </c>
      <c r="AJ111" s="118" t="s">
        <v>6</v>
      </c>
      <c r="AK111" s="113">
        <v>41971</v>
      </c>
      <c r="AL111" s="118"/>
      <c r="AM111" s="165" t="str">
        <f t="shared" si="10"/>
        <v>13039 ANGEL 2</v>
      </c>
      <c r="AN111" s="165" t="str">
        <f t="shared" si="11"/>
        <v>13039 ANGEL 2 : Qualité de condensat</v>
      </c>
    </row>
    <row r="112" spans="1:40" s="76" customFormat="1" ht="13" hidden="1" x14ac:dyDescent="0.3">
      <c r="A112" s="122"/>
      <c r="B112" s="116">
        <v>13040</v>
      </c>
      <c r="C112" s="113" t="s">
        <v>4</v>
      </c>
      <c r="D112" s="117">
        <v>41591</v>
      </c>
      <c r="E112" s="118" t="s">
        <v>82</v>
      </c>
      <c r="F112" s="118"/>
      <c r="G112" s="111" t="s">
        <v>438</v>
      </c>
      <c r="H112" s="111" t="s">
        <v>392</v>
      </c>
      <c r="I112" s="119" t="s">
        <v>2056</v>
      </c>
      <c r="J112" s="113" t="s">
        <v>6</v>
      </c>
      <c r="K112" s="118"/>
      <c r="L112" s="118" t="s">
        <v>439</v>
      </c>
      <c r="M112" s="118" t="s">
        <v>11</v>
      </c>
      <c r="N112" s="120" t="s">
        <v>440</v>
      </c>
      <c r="O112" s="111" t="s">
        <v>28</v>
      </c>
      <c r="P112" s="111" t="s">
        <v>103</v>
      </c>
      <c r="Q112" s="111"/>
      <c r="R112" s="111" t="s">
        <v>145</v>
      </c>
      <c r="S112" s="111"/>
      <c r="T112" s="128" t="s">
        <v>392</v>
      </c>
      <c r="U112" s="64">
        <v>41590</v>
      </c>
      <c r="V112" s="158" t="s">
        <v>10</v>
      </c>
      <c r="W112" s="118"/>
      <c r="X112" s="113"/>
      <c r="Y112" s="117">
        <f t="shared" si="6"/>
        <v>41683</v>
      </c>
      <c r="Z112" s="117">
        <v>41682</v>
      </c>
      <c r="AA112" s="161" t="str">
        <f t="shared" ca="1" si="7"/>
        <v>YES</v>
      </c>
      <c r="AB112" s="113"/>
      <c r="AC112" s="117"/>
      <c r="AD112" s="111"/>
      <c r="AE112" s="111"/>
      <c r="AF112" s="111" t="str">
        <f t="shared" ca="1" si="8"/>
        <v>N/A</v>
      </c>
      <c r="AG112" s="162"/>
      <c r="AH112" s="162"/>
      <c r="AI112" s="164">
        <f t="shared" si="9"/>
        <v>0</v>
      </c>
      <c r="AJ112" s="118" t="s">
        <v>6</v>
      </c>
      <c r="AK112" s="113">
        <v>41682</v>
      </c>
      <c r="AL112" s="118"/>
      <c r="AM112" s="165" t="str">
        <f t="shared" si="10"/>
        <v>13040 Fengning/</v>
      </c>
      <c r="AN112" s="165" t="str">
        <f t="shared" si="11"/>
        <v>13040 Fengning/ : Problème acidité résine</v>
      </c>
    </row>
    <row r="113" spans="1:40" s="76" customFormat="1" ht="13" hidden="1" x14ac:dyDescent="0.3">
      <c r="A113" s="122"/>
      <c r="B113" s="116">
        <v>13041</v>
      </c>
      <c r="C113" s="113" t="s">
        <v>4</v>
      </c>
      <c r="D113" s="117">
        <v>41600</v>
      </c>
      <c r="E113" s="118" t="s">
        <v>441</v>
      </c>
      <c r="F113" s="118"/>
      <c r="G113" s="111" t="s">
        <v>442</v>
      </c>
      <c r="H113" s="111"/>
      <c r="I113" s="119" t="s">
        <v>2057</v>
      </c>
      <c r="J113" s="113"/>
      <c r="K113" s="118"/>
      <c r="L113" s="118" t="s">
        <v>443</v>
      </c>
      <c r="M113" s="118" t="s">
        <v>13</v>
      </c>
      <c r="N113" s="120" t="s">
        <v>444</v>
      </c>
      <c r="O113" s="111" t="s">
        <v>29</v>
      </c>
      <c r="P113" s="111" t="s">
        <v>86</v>
      </c>
      <c r="Q113" s="111"/>
      <c r="R113" s="111" t="s">
        <v>9</v>
      </c>
      <c r="S113" s="111"/>
      <c r="T113" s="118"/>
      <c r="U113" s="64">
        <v>41603</v>
      </c>
      <c r="V113" s="158" t="s">
        <v>6</v>
      </c>
      <c r="W113" s="118" t="s">
        <v>120</v>
      </c>
      <c r="X113" s="113"/>
      <c r="Y113" s="117">
        <f t="shared" si="6"/>
        <v>41692</v>
      </c>
      <c r="Z113" s="117">
        <v>41690</v>
      </c>
      <c r="AA113" s="161" t="str">
        <f t="shared" ca="1" si="7"/>
        <v>YES</v>
      </c>
      <c r="AB113" s="113"/>
      <c r="AC113" s="117"/>
      <c r="AD113" s="111"/>
      <c r="AE113" s="111"/>
      <c r="AF113" s="111" t="str">
        <f t="shared" ca="1" si="8"/>
        <v>N/A</v>
      </c>
      <c r="AG113" s="162"/>
      <c r="AH113" s="162"/>
      <c r="AI113" s="164">
        <f t="shared" si="9"/>
        <v>0</v>
      </c>
      <c r="AJ113" s="118" t="s">
        <v>6</v>
      </c>
      <c r="AK113" s="113">
        <v>41690</v>
      </c>
      <c r="AL113" s="118"/>
      <c r="AM113" s="165" t="str">
        <f t="shared" si="10"/>
        <v>13041 CARGILL (Spain/Russie)</v>
      </c>
      <c r="AN113" s="165" t="str">
        <f t="shared" si="11"/>
        <v>13041 CARGILL (Spain/Russie) : pb orientation entrée/sortie produit sur colonne</v>
      </c>
    </row>
    <row r="114" spans="1:40" s="76" customFormat="1" ht="13" hidden="1" x14ac:dyDescent="0.3">
      <c r="A114" s="122"/>
      <c r="B114" s="116">
        <v>13042</v>
      </c>
      <c r="C114" s="113" t="s">
        <v>4</v>
      </c>
      <c r="D114" s="117">
        <v>41603</v>
      </c>
      <c r="E114" s="118" t="s">
        <v>224</v>
      </c>
      <c r="F114" s="118"/>
      <c r="G114" s="111" t="s">
        <v>445</v>
      </c>
      <c r="H114" s="111" t="s">
        <v>446</v>
      </c>
      <c r="I114" s="119" t="s">
        <v>2056</v>
      </c>
      <c r="J114" s="113"/>
      <c r="K114" s="118">
        <v>1953</v>
      </c>
      <c r="L114" s="118" t="s">
        <v>447</v>
      </c>
      <c r="M114" s="118"/>
      <c r="N114" s="120" t="s">
        <v>152</v>
      </c>
      <c r="O114" s="111" t="s">
        <v>29</v>
      </c>
      <c r="P114" s="111" t="s">
        <v>176</v>
      </c>
      <c r="Q114" s="111"/>
      <c r="R114" s="111" t="s">
        <v>145</v>
      </c>
      <c r="S114" s="111"/>
      <c r="T114" s="118" t="s">
        <v>448</v>
      </c>
      <c r="U114" s="64">
        <v>41603</v>
      </c>
      <c r="V114" s="158" t="s">
        <v>6</v>
      </c>
      <c r="W114" s="118" t="s">
        <v>224</v>
      </c>
      <c r="X114" s="113"/>
      <c r="Y114" s="117">
        <f t="shared" si="6"/>
        <v>41695</v>
      </c>
      <c r="Z114" s="117">
        <v>41675</v>
      </c>
      <c r="AA114" s="161" t="str">
        <f t="shared" ca="1" si="7"/>
        <v>YES</v>
      </c>
      <c r="AB114" s="113"/>
      <c r="AC114" s="117"/>
      <c r="AD114" s="111"/>
      <c r="AE114" s="111"/>
      <c r="AF114" s="111" t="str">
        <f t="shared" ca="1" si="8"/>
        <v>N/A</v>
      </c>
      <c r="AG114" s="162"/>
      <c r="AH114" s="162"/>
      <c r="AI114" s="164">
        <f t="shared" si="9"/>
        <v>0</v>
      </c>
      <c r="AJ114" s="118" t="s">
        <v>6</v>
      </c>
      <c r="AK114" s="113">
        <v>41675</v>
      </c>
      <c r="AL114" s="118"/>
      <c r="AM114" s="165" t="str">
        <f t="shared" si="10"/>
        <v>13042 Sunoko2/</v>
      </c>
      <c r="AN114" s="165" t="str">
        <f t="shared" si="11"/>
        <v>13042 Sunoko2/ : Retard livraison</v>
      </c>
    </row>
    <row r="115" spans="1:40" s="76" customFormat="1" ht="13" hidden="1" x14ac:dyDescent="0.3">
      <c r="A115" s="122"/>
      <c r="B115" s="116">
        <v>13043</v>
      </c>
      <c r="C115" s="113" t="s">
        <v>4</v>
      </c>
      <c r="D115" s="117">
        <v>41604</v>
      </c>
      <c r="E115" s="118" t="s">
        <v>177</v>
      </c>
      <c r="F115" s="118"/>
      <c r="G115" s="111" t="s">
        <v>449</v>
      </c>
      <c r="H115" s="111" t="s">
        <v>448</v>
      </c>
      <c r="I115" s="119" t="s">
        <v>2056</v>
      </c>
      <c r="J115" s="113"/>
      <c r="K115" s="118">
        <v>1964</v>
      </c>
      <c r="L115" s="118" t="s">
        <v>450</v>
      </c>
      <c r="M115" s="118" t="s">
        <v>11</v>
      </c>
      <c r="N115" s="120" t="s">
        <v>451</v>
      </c>
      <c r="O115" s="111" t="s">
        <v>29</v>
      </c>
      <c r="P115" s="111" t="s">
        <v>176</v>
      </c>
      <c r="Q115" s="111" t="s">
        <v>452</v>
      </c>
      <c r="R115" s="111" t="s">
        <v>145</v>
      </c>
      <c r="S115" s="111"/>
      <c r="T115" s="118" t="s">
        <v>448</v>
      </c>
      <c r="U115" s="64">
        <v>41586</v>
      </c>
      <c r="V115" s="158" t="s">
        <v>6</v>
      </c>
      <c r="W115" s="118" t="s">
        <v>177</v>
      </c>
      <c r="X115" s="113"/>
      <c r="Y115" s="117">
        <f t="shared" si="6"/>
        <v>41696</v>
      </c>
      <c r="Z115" s="117">
        <v>41667</v>
      </c>
      <c r="AA115" s="161" t="str">
        <f t="shared" ca="1" si="7"/>
        <v>YES</v>
      </c>
      <c r="AB115" s="113"/>
      <c r="AC115" s="117"/>
      <c r="AD115" s="111"/>
      <c r="AE115" s="111"/>
      <c r="AF115" s="111" t="str">
        <f t="shared" ca="1" si="8"/>
        <v>N/A</v>
      </c>
      <c r="AG115" s="162"/>
      <c r="AH115" s="162"/>
      <c r="AI115" s="164">
        <f t="shared" si="9"/>
        <v>0</v>
      </c>
      <c r="AJ115" s="118" t="s">
        <v>6</v>
      </c>
      <c r="AK115" s="113">
        <v>41892</v>
      </c>
      <c r="AL115" s="118"/>
      <c r="AM115" s="165" t="str">
        <f t="shared" si="10"/>
        <v>13043 ZUOYAN/</v>
      </c>
      <c r="AN115" s="165" t="str">
        <f t="shared" si="11"/>
        <v>13043 ZUOYAN/ : Détérioration de big bag lors de l'empotage</v>
      </c>
    </row>
    <row r="116" spans="1:40" s="76" customFormat="1" ht="13" hidden="1" x14ac:dyDescent="0.3">
      <c r="A116" s="122"/>
      <c r="B116" s="116">
        <v>13044</v>
      </c>
      <c r="C116" s="113" t="s">
        <v>4</v>
      </c>
      <c r="D116" s="117">
        <v>41613</v>
      </c>
      <c r="E116" s="118" t="s">
        <v>273</v>
      </c>
      <c r="F116" s="118"/>
      <c r="G116" s="111" t="s">
        <v>453</v>
      </c>
      <c r="H116" s="111" t="s">
        <v>357</v>
      </c>
      <c r="I116" s="119" t="s">
        <v>5</v>
      </c>
      <c r="J116" s="113" t="s">
        <v>6</v>
      </c>
      <c r="K116" s="118" t="s">
        <v>454</v>
      </c>
      <c r="L116" s="118" t="s">
        <v>455</v>
      </c>
      <c r="M116" s="118" t="s">
        <v>16</v>
      </c>
      <c r="N116" s="120" t="s">
        <v>360</v>
      </c>
      <c r="O116" s="111" t="s">
        <v>28</v>
      </c>
      <c r="P116" s="111" t="s">
        <v>103</v>
      </c>
      <c r="Q116" s="111" t="s">
        <v>456</v>
      </c>
      <c r="R116" s="111" t="s">
        <v>145</v>
      </c>
      <c r="S116" s="111"/>
      <c r="T116" s="128" t="s">
        <v>357</v>
      </c>
      <c r="U116" s="64">
        <v>41648</v>
      </c>
      <c r="V116" s="158" t="s">
        <v>10</v>
      </c>
      <c r="W116" s="118"/>
      <c r="X116" s="113"/>
      <c r="Y116" s="117">
        <f t="shared" si="6"/>
        <v>41703</v>
      </c>
      <c r="Z116" s="117">
        <v>41697</v>
      </c>
      <c r="AA116" s="161" t="str">
        <f t="shared" ca="1" si="7"/>
        <v>YES</v>
      </c>
      <c r="AB116" s="113"/>
      <c r="AC116" s="117"/>
      <c r="AD116" s="111"/>
      <c r="AE116" s="111"/>
      <c r="AF116" s="111" t="str">
        <f t="shared" ca="1" si="8"/>
        <v/>
      </c>
      <c r="AG116" s="162"/>
      <c r="AH116" s="162"/>
      <c r="AI116" s="164">
        <f t="shared" si="9"/>
        <v>0</v>
      </c>
      <c r="AJ116" s="118" t="s">
        <v>6</v>
      </c>
      <c r="AK116" s="113">
        <v>41886</v>
      </c>
      <c r="AL116" s="118" t="s">
        <v>457</v>
      </c>
      <c r="AM116" s="165" t="str">
        <f t="shared" si="10"/>
        <v xml:space="preserve">13044 MEIHUA / </v>
      </c>
      <c r="AN116" s="165" t="str">
        <f t="shared" si="11"/>
        <v>13044 MEIHUA /  : Défaufts d'aspect mbres Kerasep BW 150 KD</v>
      </c>
    </row>
    <row r="117" spans="1:40" s="76" customFormat="1" ht="13" hidden="1" x14ac:dyDescent="0.3">
      <c r="A117" s="122" t="s">
        <v>458</v>
      </c>
      <c r="B117" s="116">
        <v>14001</v>
      </c>
      <c r="C117" s="113" t="s">
        <v>4</v>
      </c>
      <c r="D117" s="117">
        <v>41649</v>
      </c>
      <c r="E117" s="118" t="s">
        <v>82</v>
      </c>
      <c r="F117" s="118"/>
      <c r="G117" s="111" t="s">
        <v>459</v>
      </c>
      <c r="H117" s="111" t="s">
        <v>460</v>
      </c>
      <c r="I117" s="119" t="s">
        <v>5</v>
      </c>
      <c r="J117" s="113"/>
      <c r="K117" s="118" t="s">
        <v>454</v>
      </c>
      <c r="L117" s="118" t="s">
        <v>461</v>
      </c>
      <c r="M117" s="118" t="s">
        <v>18</v>
      </c>
      <c r="N117" s="120" t="s">
        <v>462</v>
      </c>
      <c r="O117" s="111" t="s">
        <v>28</v>
      </c>
      <c r="P117" s="111" t="s">
        <v>103</v>
      </c>
      <c r="Q117" s="111" t="s">
        <v>456</v>
      </c>
      <c r="R117" s="111" t="s">
        <v>145</v>
      </c>
      <c r="S117" s="111"/>
      <c r="T117" s="128" t="s">
        <v>460</v>
      </c>
      <c r="U117" s="64">
        <v>41674</v>
      </c>
      <c r="V117" s="158" t="s">
        <v>6</v>
      </c>
      <c r="W117" s="118" t="s">
        <v>82</v>
      </c>
      <c r="X117" s="113"/>
      <c r="Y117" s="117">
        <f t="shared" si="6"/>
        <v>41739</v>
      </c>
      <c r="Z117" s="117">
        <v>41836</v>
      </c>
      <c r="AA117" s="161" t="str">
        <f t="shared" ca="1" si="7"/>
        <v>NO</v>
      </c>
      <c r="AB117" s="113"/>
      <c r="AC117" s="117">
        <v>41696</v>
      </c>
      <c r="AD117" s="111"/>
      <c r="AE117" s="111"/>
      <c r="AF117" s="111" t="str">
        <f t="shared" ca="1" si="8"/>
        <v/>
      </c>
      <c r="AG117" s="162"/>
      <c r="AH117" s="162"/>
      <c r="AI117" s="164">
        <f t="shared" si="9"/>
        <v>0</v>
      </c>
      <c r="AJ117" s="118" t="s">
        <v>6</v>
      </c>
      <c r="AK117" s="113">
        <v>42249</v>
      </c>
      <c r="AL117" s="118" t="s">
        <v>463</v>
      </c>
      <c r="AM117" s="165" t="str">
        <f t="shared" si="10"/>
        <v xml:space="preserve">14001 TEREOS SYRAL / </v>
      </c>
      <c r="AN117" s="165" t="str">
        <f t="shared" si="11"/>
        <v>14001 TEREOS SYRAL /  : Performances/Déformations membranes NF</v>
      </c>
    </row>
    <row r="118" spans="1:40" s="76" customFormat="1" ht="13" hidden="1" x14ac:dyDescent="0.3">
      <c r="A118" s="122" t="s">
        <v>464</v>
      </c>
      <c r="B118" s="116">
        <v>14002</v>
      </c>
      <c r="C118" s="113" t="s">
        <v>4</v>
      </c>
      <c r="D118" s="117">
        <v>41649</v>
      </c>
      <c r="E118" s="118" t="s">
        <v>82</v>
      </c>
      <c r="F118" s="118"/>
      <c r="G118" s="111" t="s">
        <v>320</v>
      </c>
      <c r="H118" s="111" t="s">
        <v>465</v>
      </c>
      <c r="I118" s="119" t="s">
        <v>2056</v>
      </c>
      <c r="J118" s="113" t="s">
        <v>6</v>
      </c>
      <c r="K118" s="118" t="s">
        <v>454</v>
      </c>
      <c r="L118" s="118" t="s">
        <v>406</v>
      </c>
      <c r="M118" s="118" t="s">
        <v>11</v>
      </c>
      <c r="N118" s="120" t="s">
        <v>466</v>
      </c>
      <c r="O118" s="111" t="s">
        <v>28</v>
      </c>
      <c r="P118" s="111" t="s">
        <v>103</v>
      </c>
      <c r="Q118" s="111" t="s">
        <v>467</v>
      </c>
      <c r="R118" s="111" t="s">
        <v>145</v>
      </c>
      <c r="S118" s="111"/>
      <c r="T118" s="128" t="s">
        <v>392</v>
      </c>
      <c r="U118" s="64">
        <v>41649</v>
      </c>
      <c r="V118" s="158" t="s">
        <v>6</v>
      </c>
      <c r="W118" s="118" t="s">
        <v>82</v>
      </c>
      <c r="X118" s="113"/>
      <c r="Y118" s="117">
        <f t="shared" si="6"/>
        <v>41739</v>
      </c>
      <c r="Z118" s="117">
        <v>41729</v>
      </c>
      <c r="AA118" s="161" t="str">
        <f t="shared" ca="1" si="7"/>
        <v>YES</v>
      </c>
      <c r="AB118" s="113"/>
      <c r="AC118" s="117"/>
      <c r="AD118" s="111"/>
      <c r="AE118" s="111"/>
      <c r="AF118" s="111" t="str">
        <f t="shared" ca="1" si="8"/>
        <v>N/A</v>
      </c>
      <c r="AG118" s="162"/>
      <c r="AH118" s="162"/>
      <c r="AI118" s="164">
        <f t="shared" si="9"/>
        <v>0</v>
      </c>
      <c r="AJ118" s="118" t="s">
        <v>6</v>
      </c>
      <c r="AK118" s="113">
        <v>41971</v>
      </c>
      <c r="AL118" s="118" t="s">
        <v>468</v>
      </c>
      <c r="AM118" s="165" t="str">
        <f t="shared" si="10"/>
        <v>14002 CJ US</v>
      </c>
      <c r="AN118" s="165" t="str">
        <f t="shared" si="11"/>
        <v>14002 CJ US :  1 Big bag résine déchiré</v>
      </c>
    </row>
    <row r="119" spans="1:40" s="76" customFormat="1" ht="13" hidden="1" x14ac:dyDescent="0.3">
      <c r="A119" s="122" t="s">
        <v>469</v>
      </c>
      <c r="B119" s="116">
        <v>14003</v>
      </c>
      <c r="C119" s="113" t="s">
        <v>4</v>
      </c>
      <c r="D119" s="117">
        <v>41667</v>
      </c>
      <c r="E119" s="118" t="s">
        <v>82</v>
      </c>
      <c r="F119" s="118"/>
      <c r="G119" s="111" t="s">
        <v>470</v>
      </c>
      <c r="H119" s="111"/>
      <c r="I119" s="119" t="s">
        <v>2057</v>
      </c>
      <c r="J119" s="113"/>
      <c r="K119" s="118">
        <v>1872</v>
      </c>
      <c r="L119" s="118" t="s">
        <v>471</v>
      </c>
      <c r="M119" s="118" t="s">
        <v>18</v>
      </c>
      <c r="N119" s="120" t="s">
        <v>472</v>
      </c>
      <c r="O119" s="111" t="s">
        <v>29</v>
      </c>
      <c r="P119" s="111" t="s">
        <v>473</v>
      </c>
      <c r="Q119" s="111" t="s">
        <v>474</v>
      </c>
      <c r="R119" s="111" t="s">
        <v>9</v>
      </c>
      <c r="S119" s="111"/>
      <c r="T119" s="128" t="s">
        <v>475</v>
      </c>
      <c r="U119" s="64">
        <v>41674</v>
      </c>
      <c r="V119" s="158" t="s">
        <v>6</v>
      </c>
      <c r="W119" s="118" t="s">
        <v>82</v>
      </c>
      <c r="X119" s="113"/>
      <c r="Y119" s="117">
        <f t="shared" si="6"/>
        <v>41757</v>
      </c>
      <c r="Z119" s="117">
        <v>41747</v>
      </c>
      <c r="AA119" s="161" t="str">
        <f t="shared" ca="1" si="7"/>
        <v>YES</v>
      </c>
      <c r="AB119" s="113"/>
      <c r="AC119" s="117"/>
      <c r="AD119" s="111"/>
      <c r="AE119" s="111"/>
      <c r="AF119" s="111" t="str">
        <f t="shared" ca="1" si="8"/>
        <v>N/A</v>
      </c>
      <c r="AG119" s="162"/>
      <c r="AH119" s="162"/>
      <c r="AI119" s="164">
        <f t="shared" si="9"/>
        <v>0</v>
      </c>
      <c r="AJ119" s="118" t="s">
        <v>6</v>
      </c>
      <c r="AK119" s="113">
        <v>42249</v>
      </c>
      <c r="AL119" s="118" t="s">
        <v>476</v>
      </c>
      <c r="AM119" s="165" t="str">
        <f t="shared" si="10"/>
        <v>14003 De Smet Yemen</v>
      </c>
      <c r="AN119" s="165" t="str">
        <f t="shared" si="11"/>
        <v>14003 De Smet Yemen : Fonctionnement skid NF (débit perméat élevé)</v>
      </c>
    </row>
    <row r="120" spans="1:40" s="76" customFormat="1" ht="13" hidden="1" x14ac:dyDescent="0.3">
      <c r="A120" s="122" t="s">
        <v>477</v>
      </c>
      <c r="B120" s="116">
        <v>14004</v>
      </c>
      <c r="C120" s="113" t="s">
        <v>4</v>
      </c>
      <c r="D120" s="117">
        <v>41682</v>
      </c>
      <c r="E120" s="118" t="s">
        <v>91</v>
      </c>
      <c r="F120" s="118"/>
      <c r="G120" s="111" t="s">
        <v>426</v>
      </c>
      <c r="H120" s="111"/>
      <c r="I120" s="119" t="s">
        <v>2057</v>
      </c>
      <c r="J120" s="113"/>
      <c r="K120" s="118">
        <v>1936</v>
      </c>
      <c r="L120" s="118" t="s">
        <v>427</v>
      </c>
      <c r="M120" s="118" t="s">
        <v>13</v>
      </c>
      <c r="N120" s="120" t="s">
        <v>478</v>
      </c>
      <c r="O120" s="111" t="s">
        <v>29</v>
      </c>
      <c r="P120" s="111" t="s">
        <v>479</v>
      </c>
      <c r="Q120" s="111" t="s">
        <v>480</v>
      </c>
      <c r="R120" s="111" t="s">
        <v>145</v>
      </c>
      <c r="S120" s="111"/>
      <c r="T120" s="118"/>
      <c r="U120" s="64">
        <v>41717</v>
      </c>
      <c r="V120" s="158" t="s">
        <v>6</v>
      </c>
      <c r="W120" s="118" t="s">
        <v>120</v>
      </c>
      <c r="X120" s="113"/>
      <c r="Y120" s="117">
        <f t="shared" si="6"/>
        <v>41771</v>
      </c>
      <c r="Z120" s="117">
        <v>41771</v>
      </c>
      <c r="AA120" s="161" t="str">
        <f t="shared" ca="1" si="7"/>
        <v>YES</v>
      </c>
      <c r="AB120" s="113"/>
      <c r="AC120" s="117"/>
      <c r="AD120" s="111"/>
      <c r="AE120" s="111"/>
      <c r="AF120" s="111" t="str">
        <f t="shared" ca="1" si="8"/>
        <v>N/A</v>
      </c>
      <c r="AG120" s="162"/>
      <c r="AH120" s="162"/>
      <c r="AI120" s="164">
        <f t="shared" si="9"/>
        <v>0</v>
      </c>
      <c r="AJ120" s="118" t="s">
        <v>6</v>
      </c>
      <c r="AK120" s="113">
        <v>41893</v>
      </c>
      <c r="AL120" s="118" t="s">
        <v>481</v>
      </c>
      <c r="AM120" s="165" t="str">
        <f t="shared" si="10"/>
        <v>14004 CARGILL Russie</v>
      </c>
      <c r="AN120" s="165" t="str">
        <f t="shared" si="11"/>
        <v>14004 CARGILL Russie : Dommages sur vannes papillon</v>
      </c>
    </row>
    <row r="121" spans="1:40" s="76" customFormat="1" ht="13" hidden="1" x14ac:dyDescent="0.3">
      <c r="A121" s="122" t="s">
        <v>482</v>
      </c>
      <c r="B121" s="116">
        <v>14005</v>
      </c>
      <c r="C121" s="113" t="s">
        <v>4</v>
      </c>
      <c r="D121" s="117">
        <v>41682</v>
      </c>
      <c r="E121" s="118" t="s">
        <v>91</v>
      </c>
      <c r="F121" s="118"/>
      <c r="G121" s="111" t="s">
        <v>429</v>
      </c>
      <c r="H121" s="111"/>
      <c r="I121" s="119" t="s">
        <v>2057</v>
      </c>
      <c r="J121" s="113"/>
      <c r="K121" s="118">
        <v>1931</v>
      </c>
      <c r="L121" s="118" t="s">
        <v>430</v>
      </c>
      <c r="M121" s="118" t="s">
        <v>11</v>
      </c>
      <c r="N121" s="120" t="s">
        <v>483</v>
      </c>
      <c r="O121" s="111" t="s">
        <v>29</v>
      </c>
      <c r="P121" s="111" t="s">
        <v>479</v>
      </c>
      <c r="Q121" s="111" t="s">
        <v>484</v>
      </c>
      <c r="R121" s="111" t="s">
        <v>145</v>
      </c>
      <c r="S121" s="111"/>
      <c r="T121" s="118"/>
      <c r="U121" s="64">
        <v>41719</v>
      </c>
      <c r="V121" s="158" t="s">
        <v>10</v>
      </c>
      <c r="W121" s="118"/>
      <c r="X121" s="113"/>
      <c r="Y121" s="117">
        <f t="shared" si="6"/>
        <v>41771</v>
      </c>
      <c r="Z121" s="117">
        <v>41771</v>
      </c>
      <c r="AA121" s="161" t="str">
        <f t="shared" ca="1" si="7"/>
        <v>YES</v>
      </c>
      <c r="AB121" s="113"/>
      <c r="AC121" s="117"/>
      <c r="AD121" s="111"/>
      <c r="AE121" s="111"/>
      <c r="AF121" s="111" t="str">
        <f t="shared" ca="1" si="8"/>
        <v>N/A</v>
      </c>
      <c r="AG121" s="162"/>
      <c r="AH121" s="162"/>
      <c r="AI121" s="164">
        <f t="shared" si="9"/>
        <v>0</v>
      </c>
      <c r="AJ121" s="118" t="s">
        <v>6</v>
      </c>
      <c r="AK121" s="113">
        <v>41890</v>
      </c>
      <c r="AL121" s="118"/>
      <c r="AM121" s="165" t="str">
        <f t="shared" si="10"/>
        <v>14005 CJ USA</v>
      </c>
      <c r="AN121" s="165" t="str">
        <f t="shared" si="11"/>
        <v>14005 CJ USA : Fuites sur tuyauterie ébonitée</v>
      </c>
    </row>
    <row r="122" spans="1:40" s="76" customFormat="1" ht="13" hidden="1" x14ac:dyDescent="0.3">
      <c r="A122" s="122" t="s">
        <v>485</v>
      </c>
      <c r="B122" s="116">
        <v>14006</v>
      </c>
      <c r="C122" s="113" t="s">
        <v>4</v>
      </c>
      <c r="D122" s="117">
        <v>41690</v>
      </c>
      <c r="E122" s="118" t="s">
        <v>486</v>
      </c>
      <c r="F122" s="118"/>
      <c r="G122" s="111" t="s">
        <v>487</v>
      </c>
      <c r="H122" s="111" t="s">
        <v>488</v>
      </c>
      <c r="I122" s="119" t="s">
        <v>2056</v>
      </c>
      <c r="J122" s="113"/>
      <c r="K122" s="118">
        <v>1971</v>
      </c>
      <c r="L122" s="118" t="s">
        <v>489</v>
      </c>
      <c r="M122" s="118" t="s">
        <v>13</v>
      </c>
      <c r="N122" s="120" t="s">
        <v>490</v>
      </c>
      <c r="O122" s="111" t="s">
        <v>29</v>
      </c>
      <c r="P122" s="111" t="s">
        <v>176</v>
      </c>
      <c r="Q122" s="111" t="s">
        <v>491</v>
      </c>
      <c r="R122" s="111" t="s">
        <v>145</v>
      </c>
      <c r="S122" s="111"/>
      <c r="T122" s="118"/>
      <c r="U122" s="64">
        <v>41718</v>
      </c>
      <c r="V122" s="158" t="s">
        <v>10</v>
      </c>
      <c r="W122" s="118"/>
      <c r="X122" s="113"/>
      <c r="Y122" s="117">
        <f t="shared" si="6"/>
        <v>41779</v>
      </c>
      <c r="Z122" s="117">
        <v>41747</v>
      </c>
      <c r="AA122" s="161" t="str">
        <f t="shared" ca="1" si="7"/>
        <v>YES</v>
      </c>
      <c r="AB122" s="113"/>
      <c r="AC122" s="117"/>
      <c r="AD122" s="111"/>
      <c r="AE122" s="111"/>
      <c r="AF122" s="111" t="str">
        <f t="shared" ca="1" si="8"/>
        <v>N/A</v>
      </c>
      <c r="AG122" s="162"/>
      <c r="AH122" s="162"/>
      <c r="AI122" s="164">
        <f t="shared" si="9"/>
        <v>0</v>
      </c>
      <c r="AJ122" s="118" t="s">
        <v>6</v>
      </c>
      <c r="AK122" s="113">
        <v>41747</v>
      </c>
      <c r="AL122" s="118"/>
      <c r="AM122" s="165" t="str">
        <f t="shared" si="10"/>
        <v>14006 BMA</v>
      </c>
      <c r="AN122" s="165" t="str">
        <f t="shared" si="11"/>
        <v>14006 BMA : Retard mise à disposition colonnes</v>
      </c>
    </row>
    <row r="123" spans="1:40" s="76" customFormat="1" ht="13" hidden="1" x14ac:dyDescent="0.3">
      <c r="A123" s="122" t="s">
        <v>492</v>
      </c>
      <c r="B123" s="116">
        <v>14007</v>
      </c>
      <c r="C123" s="113" t="s">
        <v>4</v>
      </c>
      <c r="D123" s="117">
        <v>41698</v>
      </c>
      <c r="E123" s="118" t="s">
        <v>258</v>
      </c>
      <c r="F123" s="118"/>
      <c r="G123" s="111" t="s">
        <v>416</v>
      </c>
      <c r="H123" s="111"/>
      <c r="I123" s="119" t="s">
        <v>2057</v>
      </c>
      <c r="J123" s="113"/>
      <c r="K123" s="118" t="s">
        <v>454</v>
      </c>
      <c r="L123" s="118" t="s">
        <v>417</v>
      </c>
      <c r="M123" s="118" t="s">
        <v>418</v>
      </c>
      <c r="N123" s="120" t="s">
        <v>493</v>
      </c>
      <c r="O123" s="111" t="s">
        <v>420</v>
      </c>
      <c r="P123" s="111" t="s">
        <v>80</v>
      </c>
      <c r="Q123" s="111"/>
      <c r="R123" s="111" t="s">
        <v>9</v>
      </c>
      <c r="S123" s="111"/>
      <c r="T123" s="118"/>
      <c r="U123" s="64">
        <v>41709</v>
      </c>
      <c r="V123" s="158" t="s">
        <v>6</v>
      </c>
      <c r="W123" s="118" t="s">
        <v>258</v>
      </c>
      <c r="X123" s="113"/>
      <c r="Y123" s="117">
        <f t="shared" si="6"/>
        <v>41787</v>
      </c>
      <c r="Z123" s="117">
        <v>41780</v>
      </c>
      <c r="AA123" s="161" t="str">
        <f t="shared" ca="1" si="7"/>
        <v>YES</v>
      </c>
      <c r="AB123" s="113"/>
      <c r="AC123" s="117"/>
      <c r="AD123" s="111"/>
      <c r="AE123" s="111"/>
      <c r="AF123" s="111" t="str">
        <f t="shared" ca="1" si="8"/>
        <v>N/A</v>
      </c>
      <c r="AG123" s="162"/>
      <c r="AH123" s="162"/>
      <c r="AI123" s="164">
        <f t="shared" si="9"/>
        <v>0</v>
      </c>
      <c r="AJ123" s="118" t="s">
        <v>6</v>
      </c>
      <c r="AK123" s="113">
        <v>41891</v>
      </c>
      <c r="AL123" s="118" t="s">
        <v>494</v>
      </c>
      <c r="AM123" s="165" t="str">
        <f t="shared" si="10"/>
        <v>14007 VITALUS</v>
      </c>
      <c r="AN123" s="165" t="str">
        <f t="shared" si="11"/>
        <v>14007 VITALUS : Résultats essais non exploitables</v>
      </c>
    </row>
    <row r="124" spans="1:40" s="76" customFormat="1" ht="13" hidden="1" x14ac:dyDescent="0.3">
      <c r="A124" s="122" t="s">
        <v>495</v>
      </c>
      <c r="B124" s="116">
        <v>14008</v>
      </c>
      <c r="C124" s="113" t="s">
        <v>4</v>
      </c>
      <c r="D124" s="117">
        <v>41711</v>
      </c>
      <c r="E124" s="118" t="s">
        <v>99</v>
      </c>
      <c r="F124" s="118"/>
      <c r="G124" s="111" t="s">
        <v>496</v>
      </c>
      <c r="H124" s="111"/>
      <c r="I124" s="119" t="s">
        <v>5</v>
      </c>
      <c r="J124" s="113"/>
      <c r="K124" s="118" t="s">
        <v>454</v>
      </c>
      <c r="L124" s="118" t="s">
        <v>497</v>
      </c>
      <c r="M124" s="118" t="s">
        <v>359</v>
      </c>
      <c r="N124" s="120" t="s">
        <v>498</v>
      </c>
      <c r="O124" s="111" t="s">
        <v>28</v>
      </c>
      <c r="P124" s="111" t="s">
        <v>103</v>
      </c>
      <c r="Q124" s="111" t="s">
        <v>456</v>
      </c>
      <c r="R124" s="111" t="s">
        <v>145</v>
      </c>
      <c r="S124" s="111"/>
      <c r="T124" s="128" t="s">
        <v>357</v>
      </c>
      <c r="U124" s="64">
        <v>41726</v>
      </c>
      <c r="V124" s="158" t="s">
        <v>10</v>
      </c>
      <c r="W124" s="118"/>
      <c r="X124" s="113"/>
      <c r="Y124" s="117">
        <f t="shared" si="6"/>
        <v>41803</v>
      </c>
      <c r="Z124" s="117">
        <v>41773</v>
      </c>
      <c r="AA124" s="161" t="str">
        <f t="shared" ca="1" si="7"/>
        <v>YES</v>
      </c>
      <c r="AB124" s="113"/>
      <c r="AC124" s="117">
        <v>41751</v>
      </c>
      <c r="AD124" s="111"/>
      <c r="AE124" s="111"/>
      <c r="AF124" s="111" t="str">
        <f t="shared" ca="1" si="8"/>
        <v/>
      </c>
      <c r="AG124" s="162"/>
      <c r="AH124" s="162"/>
      <c r="AI124" s="164">
        <f t="shared" si="9"/>
        <v>0</v>
      </c>
      <c r="AJ124" s="118" t="s">
        <v>6</v>
      </c>
      <c r="AK124" s="113">
        <v>41773</v>
      </c>
      <c r="AL124" s="118"/>
      <c r="AM124" s="165" t="str">
        <f t="shared" si="10"/>
        <v>14008 NESTLE CHILI</v>
      </c>
      <c r="AN124" s="165" t="str">
        <f t="shared" si="11"/>
        <v>14008 NESTLE CHILI : trous en surface couche 150 KD</v>
      </c>
    </row>
    <row r="125" spans="1:40" s="76" customFormat="1" ht="13" hidden="1" x14ac:dyDescent="0.3">
      <c r="A125" s="122" t="s">
        <v>499</v>
      </c>
      <c r="B125" s="116">
        <v>14009</v>
      </c>
      <c r="C125" s="113" t="s">
        <v>4</v>
      </c>
      <c r="D125" s="117">
        <v>41715</v>
      </c>
      <c r="E125" s="118" t="s">
        <v>205</v>
      </c>
      <c r="F125" s="118"/>
      <c r="G125" s="111" t="s">
        <v>500</v>
      </c>
      <c r="H125" s="111"/>
      <c r="I125" s="119" t="s">
        <v>5</v>
      </c>
      <c r="J125" s="113"/>
      <c r="K125" s="118">
        <v>1967</v>
      </c>
      <c r="L125" s="118" t="s">
        <v>501</v>
      </c>
      <c r="M125" s="118" t="s">
        <v>502</v>
      </c>
      <c r="N125" s="120" t="s">
        <v>503</v>
      </c>
      <c r="O125" s="111" t="s">
        <v>29</v>
      </c>
      <c r="P125" s="111" t="s">
        <v>86</v>
      </c>
      <c r="Q125" s="111" t="s">
        <v>504</v>
      </c>
      <c r="R125" s="111" t="s">
        <v>12</v>
      </c>
      <c r="S125" s="111"/>
      <c r="T125" s="118"/>
      <c r="U125" s="64">
        <v>41730</v>
      </c>
      <c r="V125" s="158" t="s">
        <v>6</v>
      </c>
      <c r="W125" s="118" t="s">
        <v>205</v>
      </c>
      <c r="X125" s="113"/>
      <c r="Y125" s="117">
        <f t="shared" si="6"/>
        <v>41807</v>
      </c>
      <c r="Z125" s="117">
        <v>41785</v>
      </c>
      <c r="AA125" s="161" t="str">
        <f t="shared" ca="1" si="7"/>
        <v>YES</v>
      </c>
      <c r="AB125" s="113"/>
      <c r="AC125" s="117">
        <v>41724</v>
      </c>
      <c r="AD125" s="111"/>
      <c r="AE125" s="111"/>
      <c r="AF125" s="111" t="str">
        <f t="shared" ca="1" si="8"/>
        <v/>
      </c>
      <c r="AG125" s="162"/>
      <c r="AH125" s="162"/>
      <c r="AI125" s="164">
        <f t="shared" si="9"/>
        <v>0</v>
      </c>
      <c r="AJ125" s="118" t="s">
        <v>6</v>
      </c>
      <c r="AK125" s="113">
        <v>41886</v>
      </c>
      <c r="AL125" s="118" t="s">
        <v>505</v>
      </c>
      <c r="AM125" s="165" t="str">
        <f t="shared" si="10"/>
        <v>14009 RZBC</v>
      </c>
      <c r="AN125" s="165" t="str">
        <f t="shared" si="11"/>
        <v>14009 RZBC : cracks on rubber lining columns</v>
      </c>
    </row>
    <row r="126" spans="1:40" s="76" customFormat="1" ht="13" hidden="1" x14ac:dyDescent="0.3">
      <c r="A126" s="122" t="s">
        <v>506</v>
      </c>
      <c r="B126" s="116">
        <v>14010</v>
      </c>
      <c r="C126" s="113" t="s">
        <v>4</v>
      </c>
      <c r="D126" s="117">
        <v>41718</v>
      </c>
      <c r="E126" s="118" t="s">
        <v>205</v>
      </c>
      <c r="F126" s="118"/>
      <c r="G126" s="111" t="s">
        <v>507</v>
      </c>
      <c r="H126" s="111" t="s">
        <v>448</v>
      </c>
      <c r="I126" s="119" t="s">
        <v>2056</v>
      </c>
      <c r="J126" s="113"/>
      <c r="K126" s="118">
        <v>1968</v>
      </c>
      <c r="L126" s="118" t="s">
        <v>508</v>
      </c>
      <c r="M126" s="118" t="s">
        <v>13</v>
      </c>
      <c r="N126" s="120" t="s">
        <v>509</v>
      </c>
      <c r="O126" s="111" t="s">
        <v>29</v>
      </c>
      <c r="P126" s="111" t="s">
        <v>176</v>
      </c>
      <c r="Q126" s="111" t="s">
        <v>510</v>
      </c>
      <c r="R126" s="111" t="s">
        <v>145</v>
      </c>
      <c r="S126" s="111"/>
      <c r="T126" s="128" t="s">
        <v>448</v>
      </c>
      <c r="U126" s="64">
        <v>41718</v>
      </c>
      <c r="V126" s="158" t="s">
        <v>10</v>
      </c>
      <c r="W126" s="118"/>
      <c r="X126" s="113"/>
      <c r="Y126" s="117">
        <f t="shared" si="6"/>
        <v>41810</v>
      </c>
      <c r="Z126" s="117">
        <v>41801</v>
      </c>
      <c r="AA126" s="161" t="str">
        <f t="shared" ca="1" si="7"/>
        <v>YES</v>
      </c>
      <c r="AB126" s="113"/>
      <c r="AC126" s="117"/>
      <c r="AD126" s="111"/>
      <c r="AE126" s="111"/>
      <c r="AF126" s="111" t="str">
        <f t="shared" ca="1" si="8"/>
        <v>N/A</v>
      </c>
      <c r="AG126" s="162"/>
      <c r="AH126" s="162"/>
      <c r="AI126" s="164">
        <f t="shared" si="9"/>
        <v>0</v>
      </c>
      <c r="AJ126" s="118" t="s">
        <v>6</v>
      </c>
      <c r="AK126" s="113">
        <v>41886</v>
      </c>
      <c r="AL126" s="118"/>
      <c r="AM126" s="165" t="str">
        <f t="shared" si="10"/>
        <v>14010 ZUOYAN</v>
      </c>
      <c r="AN126" s="165" t="str">
        <f t="shared" si="11"/>
        <v xml:space="preserve">14010 ZUOYAN : démarquage résines </v>
      </c>
    </row>
    <row r="127" spans="1:40" s="76" customFormat="1" ht="13" hidden="1" x14ac:dyDescent="0.3">
      <c r="A127" s="122" t="s">
        <v>511</v>
      </c>
      <c r="B127" s="116">
        <v>14011</v>
      </c>
      <c r="C127" s="113" t="s">
        <v>4</v>
      </c>
      <c r="D127" s="117">
        <v>41725</v>
      </c>
      <c r="E127" s="118" t="s">
        <v>273</v>
      </c>
      <c r="F127" s="118"/>
      <c r="G127" s="111" t="s">
        <v>512</v>
      </c>
      <c r="H127" s="111" t="s">
        <v>357</v>
      </c>
      <c r="I127" s="119" t="s">
        <v>5</v>
      </c>
      <c r="J127" s="113"/>
      <c r="K127" s="118" t="s">
        <v>454</v>
      </c>
      <c r="L127" s="118" t="s">
        <v>513</v>
      </c>
      <c r="M127" s="118" t="s">
        <v>16</v>
      </c>
      <c r="N127" s="120" t="s">
        <v>514</v>
      </c>
      <c r="O127" s="111" t="s">
        <v>28</v>
      </c>
      <c r="P127" s="111" t="s">
        <v>103</v>
      </c>
      <c r="Q127" s="111" t="s">
        <v>456</v>
      </c>
      <c r="R127" s="111" t="s">
        <v>145</v>
      </c>
      <c r="S127" s="111"/>
      <c r="T127" s="128" t="s">
        <v>357</v>
      </c>
      <c r="U127" s="64">
        <v>41779</v>
      </c>
      <c r="V127" s="158" t="s">
        <v>6</v>
      </c>
      <c r="W127" s="118" t="s">
        <v>273</v>
      </c>
      <c r="X127" s="113"/>
      <c r="Y127" s="117">
        <f t="shared" si="6"/>
        <v>41817</v>
      </c>
      <c r="Z127" s="117">
        <v>41816</v>
      </c>
      <c r="AA127" s="161" t="str">
        <f t="shared" ca="1" si="7"/>
        <v>YES</v>
      </c>
      <c r="AB127" s="113"/>
      <c r="AC127" s="117">
        <v>41737</v>
      </c>
      <c r="AD127" s="111"/>
      <c r="AE127" s="111"/>
      <c r="AF127" s="111" t="str">
        <f t="shared" ca="1" si="8"/>
        <v/>
      </c>
      <c r="AG127" s="162"/>
      <c r="AH127" s="162"/>
      <c r="AI127" s="164">
        <f t="shared" si="9"/>
        <v>0</v>
      </c>
      <c r="AJ127" s="118" t="s">
        <v>6</v>
      </c>
      <c r="AK127" s="113">
        <v>41971</v>
      </c>
      <c r="AL127" s="118" t="s">
        <v>515</v>
      </c>
      <c r="AM127" s="165" t="str">
        <f t="shared" si="10"/>
        <v>14011 EVONIK FERMAS</v>
      </c>
      <c r="AN127" s="165" t="str">
        <f t="shared" si="11"/>
        <v>14011 EVONIK FERMAS : Flèche et casse mbre Kerasep</v>
      </c>
    </row>
    <row r="128" spans="1:40" s="76" customFormat="1" ht="13" hidden="1" x14ac:dyDescent="0.3">
      <c r="A128" s="122" t="s">
        <v>516</v>
      </c>
      <c r="B128" s="116">
        <v>14012</v>
      </c>
      <c r="C128" s="113" t="s">
        <v>4</v>
      </c>
      <c r="D128" s="117">
        <v>41729</v>
      </c>
      <c r="E128" s="118" t="s">
        <v>239</v>
      </c>
      <c r="F128" s="118"/>
      <c r="G128" s="111" t="s">
        <v>517</v>
      </c>
      <c r="H128" s="111" t="s">
        <v>374</v>
      </c>
      <c r="I128" s="119" t="s">
        <v>2056</v>
      </c>
      <c r="J128" s="113"/>
      <c r="K128" s="118">
        <v>1965</v>
      </c>
      <c r="L128" s="118" t="s">
        <v>518</v>
      </c>
      <c r="M128" s="118" t="s">
        <v>13</v>
      </c>
      <c r="N128" s="120" t="s">
        <v>519</v>
      </c>
      <c r="O128" s="111" t="s">
        <v>29</v>
      </c>
      <c r="P128" s="111" t="s">
        <v>176</v>
      </c>
      <c r="Q128" s="111" t="s">
        <v>504</v>
      </c>
      <c r="R128" s="111" t="s">
        <v>145</v>
      </c>
      <c r="S128" s="111"/>
      <c r="T128" s="118"/>
      <c r="U128" s="64">
        <v>41785</v>
      </c>
      <c r="V128" s="158" t="s">
        <v>10</v>
      </c>
      <c r="W128" s="118"/>
      <c r="X128" s="113"/>
      <c r="Y128" s="117">
        <f t="shared" si="6"/>
        <v>41820</v>
      </c>
      <c r="Z128" s="117">
        <v>41810</v>
      </c>
      <c r="AA128" s="161" t="str">
        <f t="shared" ca="1" si="7"/>
        <v>YES</v>
      </c>
      <c r="AB128" s="113"/>
      <c r="AC128" s="117"/>
      <c r="AD128" s="111"/>
      <c r="AE128" s="111"/>
      <c r="AF128" s="111" t="str">
        <f t="shared" ca="1" si="8"/>
        <v>N/A</v>
      </c>
      <c r="AG128" s="162"/>
      <c r="AH128" s="162"/>
      <c r="AI128" s="164">
        <f t="shared" si="9"/>
        <v>0</v>
      </c>
      <c r="AJ128" s="118" t="s">
        <v>6</v>
      </c>
      <c r="AK128" s="113">
        <v>42244</v>
      </c>
      <c r="AL128" s="118"/>
      <c r="AM128" s="165" t="str">
        <f t="shared" si="10"/>
        <v>14012 GOS4</v>
      </c>
      <c r="AN128" s="165" t="str">
        <f t="shared" si="11"/>
        <v>14012 GOS4 : fourniture de joints non pleine bride</v>
      </c>
    </row>
    <row r="129" spans="1:40" s="76" customFormat="1" ht="13" hidden="1" x14ac:dyDescent="0.3">
      <c r="A129" s="122" t="s">
        <v>520</v>
      </c>
      <c r="B129" s="116">
        <v>14013</v>
      </c>
      <c r="C129" s="113" t="s">
        <v>4</v>
      </c>
      <c r="D129" s="117">
        <v>41729</v>
      </c>
      <c r="E129" s="118" t="s">
        <v>239</v>
      </c>
      <c r="F129" s="118"/>
      <c r="G129" s="111" t="s">
        <v>517</v>
      </c>
      <c r="H129" s="111"/>
      <c r="I129" s="119" t="s">
        <v>2057</v>
      </c>
      <c r="J129" s="113"/>
      <c r="K129" s="118">
        <v>1965</v>
      </c>
      <c r="L129" s="118" t="s">
        <v>518</v>
      </c>
      <c r="M129" s="118" t="s">
        <v>13</v>
      </c>
      <c r="N129" s="120" t="s">
        <v>521</v>
      </c>
      <c r="O129" s="111" t="s">
        <v>29</v>
      </c>
      <c r="P129" s="111" t="s">
        <v>86</v>
      </c>
      <c r="Q129" s="111" t="s">
        <v>522</v>
      </c>
      <c r="R129" s="111" t="s">
        <v>15</v>
      </c>
      <c r="S129" s="111"/>
      <c r="T129" s="118"/>
      <c r="U129" s="64">
        <v>41667</v>
      </c>
      <c r="V129" s="158" t="s">
        <v>6</v>
      </c>
      <c r="W129" s="118" t="s">
        <v>120</v>
      </c>
      <c r="X129" s="113"/>
      <c r="Y129" s="117">
        <f t="shared" si="6"/>
        <v>41820</v>
      </c>
      <c r="Z129" s="117">
        <v>41785</v>
      </c>
      <c r="AA129" s="161" t="str">
        <f t="shared" ca="1" si="7"/>
        <v>YES</v>
      </c>
      <c r="AB129" s="113"/>
      <c r="AC129" s="117"/>
      <c r="AD129" s="111"/>
      <c r="AE129" s="111"/>
      <c r="AF129" s="111" t="str">
        <f t="shared" ca="1" si="8"/>
        <v>N/A</v>
      </c>
      <c r="AG129" s="162"/>
      <c r="AH129" s="162"/>
      <c r="AI129" s="164">
        <f t="shared" si="9"/>
        <v>0</v>
      </c>
      <c r="AJ129" s="118" t="s">
        <v>6</v>
      </c>
      <c r="AK129" s="113">
        <v>41785</v>
      </c>
      <c r="AL129" s="118"/>
      <c r="AM129" s="165" t="str">
        <f t="shared" si="10"/>
        <v>14013 GOS4</v>
      </c>
      <c r="AN129" s="165" t="str">
        <f t="shared" si="11"/>
        <v>14013 GOS4 : erreur de plans ramification</v>
      </c>
    </row>
    <row r="130" spans="1:40" s="76" customFormat="1" ht="13" hidden="1" x14ac:dyDescent="0.3">
      <c r="A130" s="122" t="s">
        <v>523</v>
      </c>
      <c r="B130" s="116">
        <v>14014</v>
      </c>
      <c r="C130" s="113" t="s">
        <v>4</v>
      </c>
      <c r="D130" s="117">
        <v>41729</v>
      </c>
      <c r="E130" s="118" t="s">
        <v>239</v>
      </c>
      <c r="F130" s="118"/>
      <c r="G130" s="111" t="s">
        <v>524</v>
      </c>
      <c r="H130" s="111" t="s">
        <v>525</v>
      </c>
      <c r="I130" s="119" t="s">
        <v>2056</v>
      </c>
      <c r="J130" s="113"/>
      <c r="K130" s="118">
        <v>1965</v>
      </c>
      <c r="L130" s="118" t="s">
        <v>518</v>
      </c>
      <c r="M130" s="118" t="s">
        <v>13</v>
      </c>
      <c r="N130" s="120" t="s">
        <v>526</v>
      </c>
      <c r="O130" s="111" t="s">
        <v>29</v>
      </c>
      <c r="P130" s="111" t="s">
        <v>176</v>
      </c>
      <c r="Q130" s="111" t="s">
        <v>504</v>
      </c>
      <c r="R130" s="111" t="s">
        <v>145</v>
      </c>
      <c r="S130" s="111"/>
      <c r="T130" s="118"/>
      <c r="U130" s="64">
        <v>41690</v>
      </c>
      <c r="V130" s="158" t="s">
        <v>6</v>
      </c>
      <c r="W130" s="118" t="s">
        <v>120</v>
      </c>
      <c r="X130" s="113"/>
      <c r="Y130" s="117">
        <f t="shared" si="6"/>
        <v>41820</v>
      </c>
      <c r="Z130" s="117">
        <v>41785</v>
      </c>
      <c r="AA130" s="161" t="str">
        <f t="shared" ca="1" si="7"/>
        <v>YES</v>
      </c>
      <c r="AB130" s="113"/>
      <c r="AC130" s="117"/>
      <c r="AD130" s="111"/>
      <c r="AE130" s="111"/>
      <c r="AF130" s="111" t="str">
        <f t="shared" ca="1" si="8"/>
        <v>N/A</v>
      </c>
      <c r="AG130" s="162"/>
      <c r="AH130" s="162"/>
      <c r="AI130" s="164">
        <f t="shared" si="9"/>
        <v>0</v>
      </c>
      <c r="AJ130" s="118" t="s">
        <v>6</v>
      </c>
      <c r="AK130" s="113">
        <v>41785</v>
      </c>
      <c r="AL130" s="118"/>
      <c r="AM130" s="165" t="str">
        <f t="shared" si="10"/>
        <v>14014 GOS4/</v>
      </c>
      <c r="AN130" s="165" t="str">
        <f t="shared" si="11"/>
        <v>14014 GOS4/ : défaut épaisseur ébonitage /regards</v>
      </c>
    </row>
    <row r="131" spans="1:40" s="76" customFormat="1" ht="13" hidden="1" x14ac:dyDescent="0.3">
      <c r="A131" s="122" t="s">
        <v>527</v>
      </c>
      <c r="B131" s="116">
        <v>14015</v>
      </c>
      <c r="C131" s="113" t="s">
        <v>4</v>
      </c>
      <c r="D131" s="117">
        <v>41729</v>
      </c>
      <c r="E131" s="118" t="s">
        <v>239</v>
      </c>
      <c r="F131" s="118"/>
      <c r="G131" s="111" t="s">
        <v>524</v>
      </c>
      <c r="H131" s="111" t="s">
        <v>528</v>
      </c>
      <c r="I131" s="119" t="s">
        <v>2056</v>
      </c>
      <c r="J131" s="113"/>
      <c r="K131" s="118">
        <v>1965</v>
      </c>
      <c r="L131" s="118" t="s">
        <v>518</v>
      </c>
      <c r="M131" s="118" t="s">
        <v>13</v>
      </c>
      <c r="N131" s="120" t="s">
        <v>529</v>
      </c>
      <c r="O131" s="111" t="s">
        <v>29</v>
      </c>
      <c r="P131" s="111" t="s">
        <v>176</v>
      </c>
      <c r="Q131" s="111" t="s">
        <v>504</v>
      </c>
      <c r="R131" s="111" t="s">
        <v>145</v>
      </c>
      <c r="S131" s="111"/>
      <c r="T131" s="118"/>
      <c r="U131" s="64">
        <v>41690</v>
      </c>
      <c r="V131" s="158" t="s">
        <v>10</v>
      </c>
      <c r="W131" s="118"/>
      <c r="X131" s="113"/>
      <c r="Y131" s="117">
        <f t="shared" si="6"/>
        <v>41820</v>
      </c>
      <c r="Z131" s="117">
        <v>41785</v>
      </c>
      <c r="AA131" s="161" t="str">
        <f t="shared" ca="1" si="7"/>
        <v>YES</v>
      </c>
      <c r="AB131" s="113"/>
      <c r="AC131" s="117"/>
      <c r="AD131" s="111"/>
      <c r="AE131" s="111"/>
      <c r="AF131" s="111" t="str">
        <f t="shared" ca="1" si="8"/>
        <v>N/A</v>
      </c>
      <c r="AG131" s="162"/>
      <c r="AH131" s="162"/>
      <c r="AI131" s="164">
        <f t="shared" si="9"/>
        <v>0</v>
      </c>
      <c r="AJ131" s="118" t="s">
        <v>6</v>
      </c>
      <c r="AK131" s="113">
        <v>41785</v>
      </c>
      <c r="AL131" s="118"/>
      <c r="AM131" s="165" t="str">
        <f t="shared" si="10"/>
        <v>14015 GOS4/</v>
      </c>
      <c r="AN131" s="165" t="str">
        <f t="shared" si="11"/>
        <v>14015 GOS4/ : Abs. trous fixation regards</v>
      </c>
    </row>
    <row r="132" spans="1:40" s="76" customFormat="1" ht="13" hidden="1" x14ac:dyDescent="0.3">
      <c r="A132" s="122" t="s">
        <v>530</v>
      </c>
      <c r="B132" s="116">
        <v>14016</v>
      </c>
      <c r="C132" s="113" t="s">
        <v>4</v>
      </c>
      <c r="D132" s="117">
        <v>41744</v>
      </c>
      <c r="E132" s="118" t="s">
        <v>531</v>
      </c>
      <c r="F132" s="118"/>
      <c r="G132" s="111" t="s">
        <v>532</v>
      </c>
      <c r="H132" s="111" t="s">
        <v>533</v>
      </c>
      <c r="I132" s="119" t="s">
        <v>2056</v>
      </c>
      <c r="J132" s="113"/>
      <c r="K132" s="118" t="s">
        <v>454</v>
      </c>
      <c r="L132" s="118" t="s">
        <v>534</v>
      </c>
      <c r="M132" s="118" t="s">
        <v>11</v>
      </c>
      <c r="N132" s="120" t="s">
        <v>535</v>
      </c>
      <c r="O132" s="111" t="s">
        <v>28</v>
      </c>
      <c r="P132" s="111" t="s">
        <v>103</v>
      </c>
      <c r="Q132" s="111" t="s">
        <v>536</v>
      </c>
      <c r="R132" s="111" t="s">
        <v>9</v>
      </c>
      <c r="S132" s="111"/>
      <c r="T132" s="118"/>
      <c r="U132" s="64">
        <v>41781</v>
      </c>
      <c r="V132" s="158" t="s">
        <v>6</v>
      </c>
      <c r="W132" s="118" t="s">
        <v>531</v>
      </c>
      <c r="X132" s="113"/>
      <c r="Y132" s="117">
        <f t="shared" si="6"/>
        <v>41835</v>
      </c>
      <c r="Z132" s="117">
        <v>41829</v>
      </c>
      <c r="AA132" s="161" t="str">
        <f t="shared" ca="1" si="7"/>
        <v>YES</v>
      </c>
      <c r="AB132" s="113"/>
      <c r="AC132" s="117"/>
      <c r="AD132" s="111"/>
      <c r="AE132" s="111"/>
      <c r="AF132" s="111" t="str">
        <f t="shared" ca="1" si="8"/>
        <v>N/A</v>
      </c>
      <c r="AG132" s="162"/>
      <c r="AH132" s="162"/>
      <c r="AI132" s="164">
        <f t="shared" si="9"/>
        <v>0</v>
      </c>
      <c r="AJ132" s="118" t="s">
        <v>6</v>
      </c>
      <c r="AK132" s="113">
        <v>41897</v>
      </c>
      <c r="AL132" s="118"/>
      <c r="AM132" s="165" t="str">
        <f t="shared" si="10"/>
        <v>14016 Ingredion/</v>
      </c>
      <c r="AN132" s="165" t="str">
        <f t="shared" si="11"/>
        <v>14016 Ingredion/ : Pompe HS sur pilote SSMB</v>
      </c>
    </row>
    <row r="133" spans="1:40" s="76" customFormat="1" ht="13" hidden="1" x14ac:dyDescent="0.3">
      <c r="A133" s="122" t="s">
        <v>537</v>
      </c>
      <c r="B133" s="116">
        <v>14017</v>
      </c>
      <c r="C133" s="113" t="s">
        <v>4</v>
      </c>
      <c r="D133" s="117">
        <v>41753</v>
      </c>
      <c r="E133" s="118" t="s">
        <v>441</v>
      </c>
      <c r="F133" s="118"/>
      <c r="G133" s="111" t="s">
        <v>538</v>
      </c>
      <c r="H133" s="111"/>
      <c r="I133" s="119" t="s">
        <v>2057</v>
      </c>
      <c r="J133" s="113"/>
      <c r="K133" s="118">
        <v>1951</v>
      </c>
      <c r="L133" s="118" t="s">
        <v>539</v>
      </c>
      <c r="M133" s="118" t="s">
        <v>13</v>
      </c>
      <c r="N133" s="120" t="s">
        <v>540</v>
      </c>
      <c r="O133" s="111" t="s">
        <v>29</v>
      </c>
      <c r="P133" s="111" t="s">
        <v>86</v>
      </c>
      <c r="Q133" s="111" t="s">
        <v>522</v>
      </c>
      <c r="R133" s="111" t="s">
        <v>9</v>
      </c>
      <c r="S133" s="111"/>
      <c r="T133" s="118"/>
      <c r="U133" s="64">
        <v>41743</v>
      </c>
      <c r="V133" s="158" t="s">
        <v>6</v>
      </c>
      <c r="W133" s="118" t="s">
        <v>120</v>
      </c>
      <c r="X133" s="113"/>
      <c r="Y133" s="117">
        <f t="shared" si="6"/>
        <v>41844</v>
      </c>
      <c r="Z133" s="117">
        <v>41813</v>
      </c>
      <c r="AA133" s="161" t="str">
        <f t="shared" ca="1" si="7"/>
        <v>YES</v>
      </c>
      <c r="AB133" s="113"/>
      <c r="AC133" s="117"/>
      <c r="AD133" s="111"/>
      <c r="AE133" s="111"/>
      <c r="AF133" s="111" t="str">
        <f t="shared" ca="1" si="8"/>
        <v>N/A</v>
      </c>
      <c r="AG133" s="162"/>
      <c r="AH133" s="162"/>
      <c r="AI133" s="164">
        <f t="shared" si="9"/>
        <v>0</v>
      </c>
      <c r="AJ133" s="118" t="s">
        <v>6</v>
      </c>
      <c r="AK133" s="113">
        <v>41942</v>
      </c>
      <c r="AL133" s="118" t="s">
        <v>541</v>
      </c>
      <c r="AM133" s="165" t="str">
        <f t="shared" si="10"/>
        <v>14017 ADM</v>
      </c>
      <c r="AN133" s="165" t="str">
        <f t="shared" si="11"/>
        <v>14017 ADM : mixed bed top networks design</v>
      </c>
    </row>
    <row r="134" spans="1:40" s="76" customFormat="1" ht="13" hidden="1" x14ac:dyDescent="0.3">
      <c r="A134" s="122" t="s">
        <v>542</v>
      </c>
      <c r="B134" s="116">
        <v>14018</v>
      </c>
      <c r="C134" s="113" t="s">
        <v>4</v>
      </c>
      <c r="D134" s="117">
        <v>41753</v>
      </c>
      <c r="E134" s="118" t="s">
        <v>441</v>
      </c>
      <c r="F134" s="118"/>
      <c r="G134" s="111" t="s">
        <v>543</v>
      </c>
      <c r="H134" s="111"/>
      <c r="I134" s="119" t="s">
        <v>2057</v>
      </c>
      <c r="J134" s="113"/>
      <c r="K134" s="118">
        <v>1969</v>
      </c>
      <c r="L134" s="118" t="s">
        <v>544</v>
      </c>
      <c r="M134" s="118" t="s">
        <v>13</v>
      </c>
      <c r="N134" s="120" t="s">
        <v>545</v>
      </c>
      <c r="O134" s="111" t="s">
        <v>29</v>
      </c>
      <c r="P134" s="111" t="s">
        <v>86</v>
      </c>
      <c r="Q134" s="111" t="s">
        <v>522</v>
      </c>
      <c r="R134" s="111" t="s">
        <v>9</v>
      </c>
      <c r="S134" s="111"/>
      <c r="T134" s="118"/>
      <c r="U134" s="64">
        <v>41753</v>
      </c>
      <c r="V134" s="158" t="s">
        <v>6</v>
      </c>
      <c r="W134" s="118" t="s">
        <v>120</v>
      </c>
      <c r="X134" s="113"/>
      <c r="Y134" s="117">
        <f t="shared" si="6"/>
        <v>41844</v>
      </c>
      <c r="Z134" s="117">
        <v>41836</v>
      </c>
      <c r="AA134" s="161" t="str">
        <f t="shared" ca="1" si="7"/>
        <v>YES</v>
      </c>
      <c r="AB134" s="113"/>
      <c r="AC134" s="117"/>
      <c r="AD134" s="111"/>
      <c r="AE134" s="111"/>
      <c r="AF134" s="111" t="str">
        <f t="shared" ca="1" si="8"/>
        <v>N/A</v>
      </c>
      <c r="AG134" s="162"/>
      <c r="AH134" s="162"/>
      <c r="AI134" s="164">
        <f t="shared" si="9"/>
        <v>0</v>
      </c>
      <c r="AJ134" s="118" t="s">
        <v>6</v>
      </c>
      <c r="AK134" s="113">
        <v>42244</v>
      </c>
      <c r="AL134" s="118" t="s">
        <v>546</v>
      </c>
      <c r="AM134" s="165" t="str">
        <f t="shared" si="10"/>
        <v>14018 ASR</v>
      </c>
      <c r="AN134" s="165" t="str">
        <f t="shared" si="11"/>
        <v xml:space="preserve">14018 ASR : fasteners qtity and dimensions of mixed beds </v>
      </c>
    </row>
    <row r="135" spans="1:40" s="76" customFormat="1" ht="13" hidden="1" x14ac:dyDescent="0.3">
      <c r="A135" s="122" t="s">
        <v>547</v>
      </c>
      <c r="B135" s="116">
        <v>14019</v>
      </c>
      <c r="C135" s="113" t="s">
        <v>4</v>
      </c>
      <c r="D135" s="117">
        <v>41753</v>
      </c>
      <c r="E135" s="118" t="s">
        <v>441</v>
      </c>
      <c r="F135" s="118"/>
      <c r="G135" s="111" t="s">
        <v>507</v>
      </c>
      <c r="H135" s="111"/>
      <c r="I135" s="119" t="s">
        <v>2057</v>
      </c>
      <c r="J135" s="113"/>
      <c r="K135" s="118">
        <v>1968</v>
      </c>
      <c r="L135" s="118" t="s">
        <v>508</v>
      </c>
      <c r="M135" s="118" t="s">
        <v>13</v>
      </c>
      <c r="N135" s="120" t="s">
        <v>548</v>
      </c>
      <c r="O135" s="111" t="s">
        <v>29</v>
      </c>
      <c r="P135" s="111" t="s">
        <v>86</v>
      </c>
      <c r="Q135" s="111" t="s">
        <v>522</v>
      </c>
      <c r="R135" s="111" t="s">
        <v>9</v>
      </c>
      <c r="S135" s="111"/>
      <c r="T135" s="118"/>
      <c r="U135" s="64">
        <v>41753</v>
      </c>
      <c r="V135" s="158" t="s">
        <v>6</v>
      </c>
      <c r="W135" s="118" t="s">
        <v>120</v>
      </c>
      <c r="X135" s="113"/>
      <c r="Y135" s="117">
        <f t="shared" ref="Y135:Y198" si="12">EDATE(D135,3)</f>
        <v>41844</v>
      </c>
      <c r="Z135" s="117">
        <v>41836</v>
      </c>
      <c r="AA135" s="161" t="str">
        <f t="shared" ca="1" si="7"/>
        <v>YES</v>
      </c>
      <c r="AB135" s="113"/>
      <c r="AC135" s="117"/>
      <c r="AD135" s="111"/>
      <c r="AE135" s="111"/>
      <c r="AF135" s="111" t="str">
        <f t="shared" ca="1" si="8"/>
        <v>N/A</v>
      </c>
      <c r="AG135" s="162"/>
      <c r="AH135" s="162"/>
      <c r="AI135" s="164">
        <f t="shared" si="9"/>
        <v>0</v>
      </c>
      <c r="AJ135" s="118" t="s">
        <v>6</v>
      </c>
      <c r="AK135" s="113">
        <v>42244</v>
      </c>
      <c r="AL135" s="118" t="s">
        <v>549</v>
      </c>
      <c r="AM135" s="165" t="str">
        <f t="shared" si="10"/>
        <v>14019 ZUOYAN</v>
      </c>
      <c r="AN135" s="165" t="str">
        <f t="shared" si="11"/>
        <v>14019 ZUOYAN : strainers tightening</v>
      </c>
    </row>
    <row r="136" spans="1:40" s="76" customFormat="1" ht="13" hidden="1" x14ac:dyDescent="0.3">
      <c r="A136" s="122" t="s">
        <v>550</v>
      </c>
      <c r="B136" s="116">
        <v>14020</v>
      </c>
      <c r="C136" s="113" t="s">
        <v>4</v>
      </c>
      <c r="D136" s="117">
        <v>41780</v>
      </c>
      <c r="E136" s="118" t="s">
        <v>551</v>
      </c>
      <c r="F136" s="118"/>
      <c r="G136" s="111" t="s">
        <v>552</v>
      </c>
      <c r="H136" s="111"/>
      <c r="I136" s="119" t="s">
        <v>2057</v>
      </c>
      <c r="J136" s="113"/>
      <c r="K136" s="118">
        <v>1339</v>
      </c>
      <c r="L136" s="118" t="s">
        <v>553</v>
      </c>
      <c r="M136" s="118" t="s">
        <v>13</v>
      </c>
      <c r="N136" s="120" t="s">
        <v>554</v>
      </c>
      <c r="O136" s="111" t="s">
        <v>28</v>
      </c>
      <c r="P136" s="111" t="s">
        <v>86</v>
      </c>
      <c r="Q136" s="111" t="s">
        <v>522</v>
      </c>
      <c r="R136" s="111" t="s">
        <v>9</v>
      </c>
      <c r="S136" s="111"/>
      <c r="T136" s="118"/>
      <c r="U136" s="64">
        <v>41835</v>
      </c>
      <c r="V136" s="158" t="s">
        <v>10</v>
      </c>
      <c r="W136" s="118"/>
      <c r="X136" s="113"/>
      <c r="Y136" s="117">
        <f t="shared" si="12"/>
        <v>41872</v>
      </c>
      <c r="Z136" s="117">
        <v>41836</v>
      </c>
      <c r="AA136" s="161" t="str">
        <f t="shared" ref="AA136:AA199" ca="1" si="13">IF(Z136="",IF(TODAY()&gt;Y136,"NO","YES"),IF(Z136&gt;Y136,"NO",IF(Z136&lt;Y136,"YES",IF(Y136=Z136,"YES","N/A"))))</f>
        <v>YES</v>
      </c>
      <c r="AB136" s="113"/>
      <c r="AC136" s="117"/>
      <c r="AD136" s="111"/>
      <c r="AE136" s="111"/>
      <c r="AF136" s="111" t="str">
        <f t="shared" ref="AF136:AF199" ca="1" si="14">IF(I136="Claim",IF(AD136="","",IF(AE136="",IF(TODAY()&gt;AD136,"NO","YES"),IF(AE136&gt;AD136,"NO",IF(AE136&lt;AD136,"YES",IF(AD136=AE136,"YES","N/A"))))),"N/A")</f>
        <v>N/A</v>
      </c>
      <c r="AG136" s="162"/>
      <c r="AH136" s="162"/>
      <c r="AI136" s="164">
        <f t="shared" ref="AI136:AI199" si="15">AH136+AG136</f>
        <v>0</v>
      </c>
      <c r="AJ136" s="118" t="s">
        <v>6</v>
      </c>
      <c r="AK136" s="113">
        <v>42249</v>
      </c>
      <c r="AL136" s="118" t="s">
        <v>555</v>
      </c>
      <c r="AM136" s="165" t="str">
        <f t="shared" ref="AM136:AM199" si="16">CONCATENATE(B136," ",G136)</f>
        <v xml:space="preserve">14020 CEVITAL </v>
      </c>
      <c r="AN136" s="165" t="str">
        <f t="shared" ref="AN136:AN199" si="17">CONCATENATE(B136," ",G136," : ",N136)</f>
        <v>14020 CEVITAL  : dégradation ébonite/casse crépine</v>
      </c>
    </row>
    <row r="137" spans="1:40" s="76" customFormat="1" ht="13" hidden="1" x14ac:dyDescent="0.3">
      <c r="A137" s="122" t="s">
        <v>556</v>
      </c>
      <c r="B137" s="116">
        <v>14021</v>
      </c>
      <c r="C137" s="113" t="s">
        <v>4</v>
      </c>
      <c r="D137" s="117">
        <v>41780</v>
      </c>
      <c r="E137" s="118" t="s">
        <v>551</v>
      </c>
      <c r="F137" s="118"/>
      <c r="G137" s="111" t="s">
        <v>557</v>
      </c>
      <c r="H137" s="111"/>
      <c r="I137" s="119" t="s">
        <v>2057</v>
      </c>
      <c r="J137" s="113"/>
      <c r="K137" s="118">
        <v>1849</v>
      </c>
      <c r="L137" s="118" t="s">
        <v>558</v>
      </c>
      <c r="M137" s="118" t="s">
        <v>13</v>
      </c>
      <c r="N137" s="120" t="s">
        <v>559</v>
      </c>
      <c r="O137" s="111" t="s">
        <v>28</v>
      </c>
      <c r="P137" s="111" t="s">
        <v>86</v>
      </c>
      <c r="Q137" s="111" t="s">
        <v>522</v>
      </c>
      <c r="R137" s="111" t="s">
        <v>9</v>
      </c>
      <c r="S137" s="111"/>
      <c r="T137" s="118"/>
      <c r="U137" s="64">
        <v>41802</v>
      </c>
      <c r="V137" s="158" t="s">
        <v>10</v>
      </c>
      <c r="W137" s="118"/>
      <c r="X137" s="113"/>
      <c r="Y137" s="117">
        <f t="shared" si="12"/>
        <v>41872</v>
      </c>
      <c r="Z137" s="117">
        <v>41836</v>
      </c>
      <c r="AA137" s="161" t="str">
        <f t="shared" ca="1" si="13"/>
        <v>YES</v>
      </c>
      <c r="AB137" s="113"/>
      <c r="AC137" s="117"/>
      <c r="AD137" s="111"/>
      <c r="AE137" s="111"/>
      <c r="AF137" s="111" t="str">
        <f t="shared" ca="1" si="14"/>
        <v>N/A</v>
      </c>
      <c r="AG137" s="162"/>
      <c r="AH137" s="162"/>
      <c r="AI137" s="164">
        <f t="shared" si="15"/>
        <v>0</v>
      </c>
      <c r="AJ137" s="118" t="s">
        <v>6</v>
      </c>
      <c r="AK137" s="113">
        <v>42249</v>
      </c>
      <c r="AL137" s="118" t="s">
        <v>560</v>
      </c>
      <c r="AM137" s="165" t="str">
        <f t="shared" si="16"/>
        <v>14021 TEREOS OLMEDO</v>
      </c>
      <c r="AN137" s="165" t="str">
        <f t="shared" si="17"/>
        <v>14021 TEREOS OLMEDO : arrachement ébonite interne colonne</v>
      </c>
    </row>
    <row r="138" spans="1:40" s="76" customFormat="1" ht="25.5" hidden="1" x14ac:dyDescent="0.3">
      <c r="A138" s="122" t="s">
        <v>561</v>
      </c>
      <c r="B138" s="116">
        <v>14022</v>
      </c>
      <c r="C138" s="113" t="s">
        <v>4</v>
      </c>
      <c r="D138" s="117">
        <v>41780</v>
      </c>
      <c r="E138" s="118" t="s">
        <v>551</v>
      </c>
      <c r="F138" s="118"/>
      <c r="G138" s="111" t="s">
        <v>562</v>
      </c>
      <c r="H138" s="111" t="s">
        <v>563</v>
      </c>
      <c r="I138" s="119" t="s">
        <v>2056</v>
      </c>
      <c r="J138" s="113"/>
      <c r="K138" s="118">
        <v>1952</v>
      </c>
      <c r="L138" s="118" t="s">
        <v>564</v>
      </c>
      <c r="M138" s="118" t="s">
        <v>18</v>
      </c>
      <c r="N138" s="120" t="s">
        <v>565</v>
      </c>
      <c r="O138" s="111" t="s">
        <v>28</v>
      </c>
      <c r="P138" s="111" t="s">
        <v>86</v>
      </c>
      <c r="Q138" s="111" t="s">
        <v>566</v>
      </c>
      <c r="R138" s="111" t="s">
        <v>145</v>
      </c>
      <c r="S138" s="111"/>
      <c r="T138" s="128" t="s">
        <v>563</v>
      </c>
      <c r="U138" s="64">
        <v>41802</v>
      </c>
      <c r="V138" s="158" t="s">
        <v>10</v>
      </c>
      <c r="W138" s="118"/>
      <c r="X138" s="113"/>
      <c r="Y138" s="117">
        <f t="shared" si="12"/>
        <v>41872</v>
      </c>
      <c r="Z138" s="117">
        <v>42011</v>
      </c>
      <c r="AA138" s="161" t="str">
        <f t="shared" ca="1" si="13"/>
        <v>NO</v>
      </c>
      <c r="AB138" s="113"/>
      <c r="AC138" s="117"/>
      <c r="AD138" s="111"/>
      <c r="AE138" s="111"/>
      <c r="AF138" s="111" t="str">
        <f t="shared" ca="1" si="14"/>
        <v>N/A</v>
      </c>
      <c r="AG138" s="162"/>
      <c r="AH138" s="162"/>
      <c r="AI138" s="164">
        <f t="shared" si="15"/>
        <v>0</v>
      </c>
      <c r="AJ138" s="118" t="s">
        <v>10</v>
      </c>
      <c r="AK138" s="113">
        <v>42249</v>
      </c>
      <c r="AL138" s="118" t="s">
        <v>567</v>
      </c>
      <c r="AM138" s="165" t="str">
        <f t="shared" si="16"/>
        <v>14022 CEVITAL</v>
      </c>
      <c r="AN138" s="165" t="str">
        <f t="shared" si="17"/>
        <v>14022 CEVITAL : déformation collecteur perméat NF / corrosion bague alu des TP</v>
      </c>
    </row>
    <row r="139" spans="1:40" s="76" customFormat="1" ht="13" hidden="1" x14ac:dyDescent="0.3">
      <c r="A139" s="122" t="s">
        <v>568</v>
      </c>
      <c r="B139" s="116">
        <v>14023</v>
      </c>
      <c r="C139" s="113" t="s">
        <v>4</v>
      </c>
      <c r="D139" s="117">
        <v>41814</v>
      </c>
      <c r="E139" s="118" t="s">
        <v>205</v>
      </c>
      <c r="F139" s="118"/>
      <c r="G139" s="111" t="s">
        <v>569</v>
      </c>
      <c r="H139" s="111" t="s">
        <v>570</v>
      </c>
      <c r="I139" s="119" t="s">
        <v>5</v>
      </c>
      <c r="J139" s="113"/>
      <c r="K139" s="118">
        <v>1953</v>
      </c>
      <c r="L139" s="118" t="s">
        <v>571</v>
      </c>
      <c r="M139" s="118" t="s">
        <v>11</v>
      </c>
      <c r="N139" s="120" t="s">
        <v>572</v>
      </c>
      <c r="O139" s="111" t="s">
        <v>29</v>
      </c>
      <c r="P139" s="111" t="s">
        <v>86</v>
      </c>
      <c r="Q139" s="111" t="s">
        <v>176</v>
      </c>
      <c r="R139" s="111" t="s">
        <v>145</v>
      </c>
      <c r="S139" s="111"/>
      <c r="T139" s="129" t="s">
        <v>573</v>
      </c>
      <c r="U139" s="64">
        <v>41814</v>
      </c>
      <c r="V139" s="158" t="s">
        <v>6</v>
      </c>
      <c r="W139" s="118" t="s">
        <v>574</v>
      </c>
      <c r="X139" s="113"/>
      <c r="Y139" s="117">
        <f t="shared" si="12"/>
        <v>41906</v>
      </c>
      <c r="Z139" s="117">
        <v>42383</v>
      </c>
      <c r="AA139" s="161" t="str">
        <f t="shared" ca="1" si="13"/>
        <v>NO</v>
      </c>
      <c r="AB139" s="113"/>
      <c r="AC139" s="117">
        <v>41814</v>
      </c>
      <c r="AD139" s="169">
        <v>42125</v>
      </c>
      <c r="AE139" s="169">
        <v>42370</v>
      </c>
      <c r="AF139" s="111" t="str">
        <f t="shared" ca="1" si="14"/>
        <v>NO</v>
      </c>
      <c r="AG139" s="162"/>
      <c r="AH139" s="162"/>
      <c r="AI139" s="164">
        <f t="shared" si="15"/>
        <v>0</v>
      </c>
      <c r="AJ139" s="118"/>
      <c r="AK139" s="113" t="s">
        <v>575</v>
      </c>
      <c r="AL139" s="118"/>
      <c r="AM139" s="165" t="str">
        <f t="shared" si="16"/>
        <v>14023 SUNOKO</v>
      </c>
      <c r="AN139" s="165" t="str">
        <f t="shared" si="17"/>
        <v>14023 SUNOKO : non atteinte de la capacité contractuelle</v>
      </c>
    </row>
    <row r="140" spans="1:40" s="76" customFormat="1" ht="13" hidden="1" x14ac:dyDescent="0.3">
      <c r="A140" s="122" t="s">
        <v>576</v>
      </c>
      <c r="B140" s="116">
        <v>14024</v>
      </c>
      <c r="C140" s="113" t="s">
        <v>4</v>
      </c>
      <c r="D140" s="117">
        <v>41835</v>
      </c>
      <c r="E140" s="118" t="s">
        <v>577</v>
      </c>
      <c r="F140" s="118"/>
      <c r="G140" s="111" t="s">
        <v>578</v>
      </c>
      <c r="H140" s="111"/>
      <c r="I140" s="119" t="s">
        <v>2058</v>
      </c>
      <c r="J140" s="113"/>
      <c r="K140" s="118" t="s">
        <v>454</v>
      </c>
      <c r="L140" s="118" t="s">
        <v>454</v>
      </c>
      <c r="M140" s="118" t="s">
        <v>454</v>
      </c>
      <c r="N140" s="120" t="s">
        <v>579</v>
      </c>
      <c r="O140" s="111" t="s">
        <v>454</v>
      </c>
      <c r="P140" s="111" t="s">
        <v>580</v>
      </c>
      <c r="Q140" s="111"/>
      <c r="R140" s="111" t="s">
        <v>15</v>
      </c>
      <c r="S140" s="111"/>
      <c r="T140" s="118"/>
      <c r="U140" s="64">
        <v>41939</v>
      </c>
      <c r="V140" s="158" t="s">
        <v>6</v>
      </c>
      <c r="W140" s="118" t="s">
        <v>577</v>
      </c>
      <c r="X140" s="113"/>
      <c r="Y140" s="117">
        <f t="shared" si="12"/>
        <v>41927</v>
      </c>
      <c r="Z140" s="117">
        <v>41969</v>
      </c>
      <c r="AA140" s="161" t="str">
        <f t="shared" ca="1" si="13"/>
        <v>NO</v>
      </c>
      <c r="AB140" s="113"/>
      <c r="AC140" s="117"/>
      <c r="AD140" s="111"/>
      <c r="AE140" s="111"/>
      <c r="AF140" s="111" t="str">
        <f t="shared" ca="1" si="14"/>
        <v>N/A</v>
      </c>
      <c r="AG140" s="162"/>
      <c r="AH140" s="162"/>
      <c r="AI140" s="164">
        <f t="shared" si="15"/>
        <v>0</v>
      </c>
      <c r="AJ140" s="118" t="s">
        <v>6</v>
      </c>
      <c r="AK140" s="113">
        <v>42184</v>
      </c>
      <c r="AL140" s="118"/>
      <c r="AM140" s="165" t="str">
        <f t="shared" si="16"/>
        <v>14024 Service IT</v>
      </c>
      <c r="AN140" s="165" t="str">
        <f t="shared" si="17"/>
        <v>14024 Service IT : Chute escalier suite malaise</v>
      </c>
    </row>
    <row r="141" spans="1:40" s="76" customFormat="1" ht="13" hidden="1" x14ac:dyDescent="0.3">
      <c r="A141" s="122" t="s">
        <v>581</v>
      </c>
      <c r="B141" s="116">
        <v>14025</v>
      </c>
      <c r="C141" s="113" t="s">
        <v>4</v>
      </c>
      <c r="D141" s="117">
        <v>41876</v>
      </c>
      <c r="E141" s="118" t="s">
        <v>82</v>
      </c>
      <c r="F141" s="118"/>
      <c r="G141" s="111" t="s">
        <v>582</v>
      </c>
      <c r="H141" s="111" t="s">
        <v>392</v>
      </c>
      <c r="I141" s="119" t="s">
        <v>2056</v>
      </c>
      <c r="J141" s="113"/>
      <c r="K141" s="118">
        <v>1984</v>
      </c>
      <c r="L141" s="118" t="s">
        <v>583</v>
      </c>
      <c r="M141" s="118" t="s">
        <v>11</v>
      </c>
      <c r="N141" s="120" t="s">
        <v>584</v>
      </c>
      <c r="O141" s="111" t="s">
        <v>28</v>
      </c>
      <c r="P141" s="111" t="s">
        <v>103</v>
      </c>
      <c r="Q141" s="111"/>
      <c r="R141" s="111" t="s">
        <v>145</v>
      </c>
      <c r="S141" s="111"/>
      <c r="T141" s="128" t="s">
        <v>392</v>
      </c>
      <c r="U141" s="64">
        <v>41852</v>
      </c>
      <c r="V141" s="158" t="s">
        <v>10</v>
      </c>
      <c r="W141" s="118"/>
      <c r="X141" s="113"/>
      <c r="Y141" s="117">
        <f t="shared" si="12"/>
        <v>41968</v>
      </c>
      <c r="Z141" s="117">
        <v>41929</v>
      </c>
      <c r="AA141" s="161" t="str">
        <f t="shared" ca="1" si="13"/>
        <v>YES</v>
      </c>
      <c r="AB141" s="113"/>
      <c r="AC141" s="117"/>
      <c r="AD141" s="111"/>
      <c r="AE141" s="111"/>
      <c r="AF141" s="111" t="str">
        <f t="shared" ca="1" si="14"/>
        <v>N/A</v>
      </c>
      <c r="AG141" s="162"/>
      <c r="AH141" s="162"/>
      <c r="AI141" s="164">
        <f t="shared" si="15"/>
        <v>0</v>
      </c>
      <c r="AJ141" s="118" t="s">
        <v>6</v>
      </c>
      <c r="AK141" s="113">
        <v>42249</v>
      </c>
      <c r="AL141" s="118"/>
      <c r="AM141" s="165" t="str">
        <f t="shared" si="16"/>
        <v xml:space="preserve">14025 ADM </v>
      </c>
      <c r="AN141" s="165" t="str">
        <f t="shared" si="17"/>
        <v>14025 ADM  : Problèmes livraison inerte</v>
      </c>
    </row>
    <row r="142" spans="1:40" s="76" customFormat="1" ht="25.5" hidden="1" x14ac:dyDescent="0.3">
      <c r="A142" s="122" t="s">
        <v>585</v>
      </c>
      <c r="B142" s="116">
        <v>14026</v>
      </c>
      <c r="C142" s="113" t="s">
        <v>4</v>
      </c>
      <c r="D142" s="117">
        <v>41876</v>
      </c>
      <c r="E142" s="118" t="s">
        <v>82</v>
      </c>
      <c r="F142" s="118"/>
      <c r="G142" s="120" t="s">
        <v>586</v>
      </c>
      <c r="H142" s="120" t="s">
        <v>309</v>
      </c>
      <c r="I142" s="119" t="s">
        <v>2056</v>
      </c>
      <c r="J142" s="113"/>
      <c r="K142" s="118">
        <v>1980</v>
      </c>
      <c r="L142" s="118" t="s">
        <v>587</v>
      </c>
      <c r="M142" s="118" t="s">
        <v>11</v>
      </c>
      <c r="N142" s="120" t="s">
        <v>588</v>
      </c>
      <c r="O142" s="111" t="s">
        <v>28</v>
      </c>
      <c r="P142" s="111" t="s">
        <v>103</v>
      </c>
      <c r="Q142" s="111"/>
      <c r="R142" s="111" t="s">
        <v>145</v>
      </c>
      <c r="S142" s="111"/>
      <c r="T142" s="128" t="s">
        <v>309</v>
      </c>
      <c r="U142" s="64">
        <v>41856</v>
      </c>
      <c r="V142" s="158" t="s">
        <v>10</v>
      </c>
      <c r="W142" s="118"/>
      <c r="X142" s="113"/>
      <c r="Y142" s="117">
        <f t="shared" si="12"/>
        <v>41968</v>
      </c>
      <c r="Z142" s="117">
        <v>41915</v>
      </c>
      <c r="AA142" s="161" t="str">
        <f t="shared" ca="1" si="13"/>
        <v>YES</v>
      </c>
      <c r="AB142" s="113"/>
      <c r="AC142" s="117"/>
      <c r="AD142" s="111"/>
      <c r="AE142" s="111"/>
      <c r="AF142" s="111" t="str">
        <f t="shared" ca="1" si="14"/>
        <v>N/A</v>
      </c>
      <c r="AG142" s="162"/>
      <c r="AH142" s="162"/>
      <c r="AI142" s="164">
        <f t="shared" si="15"/>
        <v>0</v>
      </c>
      <c r="AJ142" s="118" t="s">
        <v>10</v>
      </c>
      <c r="AK142" s="113">
        <v>41971</v>
      </c>
      <c r="AL142" s="118" t="s">
        <v>589</v>
      </c>
      <c r="AM142" s="165" t="str">
        <f t="shared" si="16"/>
        <v xml:space="preserve">14026 Conaprole - VRS </v>
      </c>
      <c r="AN142" s="165" t="str">
        <f t="shared" si="17"/>
        <v>14026 Conaprole - VRS  : Problèmes livraison résines</v>
      </c>
    </row>
    <row r="143" spans="1:40" s="76" customFormat="1" ht="13" hidden="1" x14ac:dyDescent="0.3">
      <c r="A143" s="122" t="s">
        <v>590</v>
      </c>
      <c r="B143" s="116">
        <v>14027</v>
      </c>
      <c r="C143" s="113" t="s">
        <v>4</v>
      </c>
      <c r="D143" s="117">
        <v>41911</v>
      </c>
      <c r="E143" s="118" t="s">
        <v>441</v>
      </c>
      <c r="F143" s="118"/>
      <c r="G143" s="111" t="s">
        <v>591</v>
      </c>
      <c r="H143" s="111" t="s">
        <v>592</v>
      </c>
      <c r="I143" s="119" t="s">
        <v>2056</v>
      </c>
      <c r="J143" s="113" t="s">
        <v>6</v>
      </c>
      <c r="K143" s="118">
        <v>1976</v>
      </c>
      <c r="L143" s="118" t="s">
        <v>593</v>
      </c>
      <c r="M143" s="118" t="s">
        <v>13</v>
      </c>
      <c r="N143" s="120" t="s">
        <v>594</v>
      </c>
      <c r="O143" s="111" t="s">
        <v>29</v>
      </c>
      <c r="P143" s="111" t="s">
        <v>86</v>
      </c>
      <c r="Q143" s="111" t="s">
        <v>522</v>
      </c>
      <c r="R143" s="111" t="s">
        <v>145</v>
      </c>
      <c r="S143" s="111"/>
      <c r="T143" s="118"/>
      <c r="U143" s="64">
        <v>41937</v>
      </c>
      <c r="V143" s="158" t="s">
        <v>6</v>
      </c>
      <c r="W143" s="118" t="s">
        <v>120</v>
      </c>
      <c r="X143" s="113"/>
      <c r="Y143" s="117">
        <f t="shared" si="12"/>
        <v>42002</v>
      </c>
      <c r="Z143" s="117">
        <v>41995</v>
      </c>
      <c r="AA143" s="161" t="str">
        <f t="shared" ca="1" si="13"/>
        <v>YES</v>
      </c>
      <c r="AB143" s="113"/>
      <c r="AC143" s="117"/>
      <c r="AD143" s="111"/>
      <c r="AE143" s="111"/>
      <c r="AF143" s="111" t="str">
        <f t="shared" ca="1" si="14"/>
        <v>N/A</v>
      </c>
      <c r="AG143" s="162"/>
      <c r="AH143" s="162"/>
      <c r="AI143" s="164">
        <f t="shared" si="15"/>
        <v>0</v>
      </c>
      <c r="AJ143" s="118" t="s">
        <v>6</v>
      </c>
      <c r="AK143" s="113">
        <v>42244</v>
      </c>
      <c r="AL143" s="118"/>
      <c r="AM143" s="165" t="str">
        <f t="shared" si="16"/>
        <v xml:space="preserve">14027 Tanichem </v>
      </c>
      <c r="AN143" s="165" t="str">
        <f t="shared" si="17"/>
        <v>14027 Tanichem  : Erreur dimensions bride de tampon (GB Code / ASME)</v>
      </c>
    </row>
    <row r="144" spans="1:40" s="76" customFormat="1" ht="13" hidden="1" x14ac:dyDescent="0.3">
      <c r="A144" s="122" t="s">
        <v>595</v>
      </c>
      <c r="B144" s="116">
        <v>14028</v>
      </c>
      <c r="C144" s="113" t="s">
        <v>4</v>
      </c>
      <c r="D144" s="117">
        <v>41921</v>
      </c>
      <c r="E144" s="118" t="s">
        <v>91</v>
      </c>
      <c r="F144" s="118"/>
      <c r="G144" s="111" t="s">
        <v>596</v>
      </c>
      <c r="H144" s="111" t="s">
        <v>597</v>
      </c>
      <c r="I144" s="119" t="s">
        <v>2056</v>
      </c>
      <c r="J144" s="113"/>
      <c r="K144" s="118">
        <v>1980</v>
      </c>
      <c r="L144" s="118" t="s">
        <v>598</v>
      </c>
      <c r="M144" s="118" t="s">
        <v>13</v>
      </c>
      <c r="N144" s="120" t="s">
        <v>599</v>
      </c>
      <c r="O144" s="111" t="s">
        <v>29</v>
      </c>
      <c r="P144" s="111" t="s">
        <v>86</v>
      </c>
      <c r="Q144" s="111" t="s">
        <v>566</v>
      </c>
      <c r="R144" s="111" t="s">
        <v>145</v>
      </c>
      <c r="S144" s="111"/>
      <c r="T144" s="118"/>
      <c r="U144" s="64">
        <v>41912</v>
      </c>
      <c r="V144" s="158" t="s">
        <v>6</v>
      </c>
      <c r="W144" s="118" t="s">
        <v>120</v>
      </c>
      <c r="X144" s="113"/>
      <c r="Y144" s="117">
        <f t="shared" si="12"/>
        <v>42013</v>
      </c>
      <c r="Z144" s="117">
        <v>42010</v>
      </c>
      <c r="AA144" s="161" t="str">
        <f t="shared" ca="1" si="13"/>
        <v>YES</v>
      </c>
      <c r="AB144" s="113"/>
      <c r="AC144" s="117"/>
      <c r="AD144" s="111"/>
      <c r="AE144" s="111"/>
      <c r="AF144" s="111" t="str">
        <f t="shared" ca="1" si="14"/>
        <v>N/A</v>
      </c>
      <c r="AG144" s="162"/>
      <c r="AH144" s="162"/>
      <c r="AI144" s="164">
        <f t="shared" si="15"/>
        <v>0</v>
      </c>
      <c r="AJ144" s="118" t="s">
        <v>6</v>
      </c>
      <c r="AK144" s="113">
        <v>42244</v>
      </c>
      <c r="AL144" s="118"/>
      <c r="AM144" s="165" t="str">
        <f t="shared" si="16"/>
        <v>14028 Conaprole</v>
      </c>
      <c r="AN144" s="165" t="str">
        <f t="shared" si="17"/>
        <v>14028 Conaprole : tuyauteries entrée lavage manquantes</v>
      </c>
    </row>
    <row r="145" spans="1:40" s="76" customFormat="1" ht="13" hidden="1" x14ac:dyDescent="0.3">
      <c r="A145" s="122" t="s">
        <v>600</v>
      </c>
      <c r="B145" s="116">
        <v>14029</v>
      </c>
      <c r="C145" s="113" t="s">
        <v>4</v>
      </c>
      <c r="D145" s="117">
        <v>41922</v>
      </c>
      <c r="E145" s="118" t="s">
        <v>601</v>
      </c>
      <c r="F145" s="118"/>
      <c r="G145" s="111" t="s">
        <v>602</v>
      </c>
      <c r="H145" s="111"/>
      <c r="I145" s="119" t="s">
        <v>5</v>
      </c>
      <c r="J145" s="113"/>
      <c r="K145" s="118">
        <v>1952</v>
      </c>
      <c r="L145" s="118" t="s">
        <v>603</v>
      </c>
      <c r="M145" s="118" t="s">
        <v>13</v>
      </c>
      <c r="N145" s="120" t="s">
        <v>604</v>
      </c>
      <c r="O145" s="111" t="s">
        <v>29</v>
      </c>
      <c r="P145" s="111" t="s">
        <v>86</v>
      </c>
      <c r="Q145" s="111" t="s">
        <v>605</v>
      </c>
      <c r="R145" s="111" t="s">
        <v>9</v>
      </c>
      <c r="S145" s="111"/>
      <c r="T145" s="118"/>
      <c r="U145" s="64">
        <v>41949</v>
      </c>
      <c r="V145" s="158" t="s">
        <v>6</v>
      </c>
      <c r="W145" s="118" t="s">
        <v>82</v>
      </c>
      <c r="X145" s="113"/>
      <c r="Y145" s="117">
        <f t="shared" si="12"/>
        <v>42014</v>
      </c>
      <c r="Z145" s="117">
        <v>41971</v>
      </c>
      <c r="AA145" s="161" t="str">
        <f t="shared" ca="1" si="13"/>
        <v>YES</v>
      </c>
      <c r="AB145" s="113"/>
      <c r="AC145" s="117">
        <v>41949</v>
      </c>
      <c r="AD145" s="169">
        <v>41944</v>
      </c>
      <c r="AE145" s="169">
        <v>41944</v>
      </c>
      <c r="AF145" s="111" t="str">
        <f t="shared" ca="1" si="14"/>
        <v>YES</v>
      </c>
      <c r="AG145" s="162"/>
      <c r="AH145" s="162"/>
      <c r="AI145" s="164">
        <f t="shared" si="15"/>
        <v>0</v>
      </c>
      <c r="AJ145" s="118" t="s">
        <v>6</v>
      </c>
      <c r="AK145" s="113">
        <v>42249</v>
      </c>
      <c r="AL145" s="118"/>
      <c r="AM145" s="165" t="str">
        <f t="shared" si="16"/>
        <v>14029 Cevital</v>
      </c>
      <c r="AN145" s="165" t="str">
        <f t="shared" si="17"/>
        <v>14029 Cevital : Durée d'arrêt raffinerie - redémarrage</v>
      </c>
    </row>
    <row r="146" spans="1:40" s="76" customFormat="1" ht="13" hidden="1" x14ac:dyDescent="0.3">
      <c r="A146" s="122" t="s">
        <v>606</v>
      </c>
      <c r="B146" s="116">
        <v>14030</v>
      </c>
      <c r="C146" s="113" t="s">
        <v>4</v>
      </c>
      <c r="D146" s="117">
        <v>41933</v>
      </c>
      <c r="E146" s="118" t="s">
        <v>82</v>
      </c>
      <c r="F146" s="118"/>
      <c r="G146" s="111" t="s">
        <v>460</v>
      </c>
      <c r="H146" s="111"/>
      <c r="I146" s="119" t="s">
        <v>2056</v>
      </c>
      <c r="J146" s="113"/>
      <c r="K146" s="118" t="s">
        <v>454</v>
      </c>
      <c r="L146" s="118" t="s">
        <v>454</v>
      </c>
      <c r="M146" s="118" t="s">
        <v>18</v>
      </c>
      <c r="N146" s="120" t="s">
        <v>607</v>
      </c>
      <c r="O146" s="111" t="s">
        <v>28</v>
      </c>
      <c r="P146" s="111" t="s">
        <v>103</v>
      </c>
      <c r="Q146" s="111" t="s">
        <v>176</v>
      </c>
      <c r="R146" s="111" t="s">
        <v>145</v>
      </c>
      <c r="S146" s="111"/>
      <c r="T146" s="128" t="s">
        <v>460</v>
      </c>
      <c r="U146" s="64">
        <v>41932</v>
      </c>
      <c r="V146" s="158" t="s">
        <v>10</v>
      </c>
      <c r="W146" s="118"/>
      <c r="X146" s="113"/>
      <c r="Y146" s="117">
        <f t="shared" si="12"/>
        <v>42025</v>
      </c>
      <c r="Z146" s="117">
        <v>41971</v>
      </c>
      <c r="AA146" s="161" t="str">
        <f t="shared" ca="1" si="13"/>
        <v>YES</v>
      </c>
      <c r="AB146" s="113"/>
      <c r="AC146" s="117"/>
      <c r="AD146" s="111"/>
      <c r="AE146" s="111"/>
      <c r="AF146" s="111" t="str">
        <f t="shared" ca="1" si="14"/>
        <v>N/A</v>
      </c>
      <c r="AG146" s="162"/>
      <c r="AH146" s="162"/>
      <c r="AI146" s="164">
        <f t="shared" si="15"/>
        <v>0</v>
      </c>
      <c r="AJ146" s="118" t="s">
        <v>6</v>
      </c>
      <c r="AK146" s="113">
        <v>42249</v>
      </c>
      <c r="AL146" s="118"/>
      <c r="AM146" s="165" t="str">
        <f t="shared" si="16"/>
        <v>14030 GE</v>
      </c>
      <c r="AN146" s="165" t="str">
        <f t="shared" si="17"/>
        <v>14030 GE : Absence/retard systématique d'ARCs et B/Ls</v>
      </c>
    </row>
    <row r="147" spans="1:40" s="76" customFormat="1" ht="13" hidden="1" x14ac:dyDescent="0.3">
      <c r="A147" s="122" t="s">
        <v>608</v>
      </c>
      <c r="B147" s="116">
        <v>14031</v>
      </c>
      <c r="C147" s="113" t="s">
        <v>4</v>
      </c>
      <c r="D147" s="117">
        <v>41933</v>
      </c>
      <c r="E147" s="118" t="s">
        <v>609</v>
      </c>
      <c r="F147" s="118"/>
      <c r="G147" s="111" t="s">
        <v>610</v>
      </c>
      <c r="H147" s="111"/>
      <c r="I147" s="119" t="s">
        <v>2057</v>
      </c>
      <c r="J147" s="113"/>
      <c r="K147" s="118" t="s">
        <v>454</v>
      </c>
      <c r="L147" s="118" t="s">
        <v>611</v>
      </c>
      <c r="M147" s="118" t="s">
        <v>13</v>
      </c>
      <c r="N147" s="120" t="s">
        <v>612</v>
      </c>
      <c r="O147" s="111" t="s">
        <v>29</v>
      </c>
      <c r="P147" s="111" t="s">
        <v>157</v>
      </c>
      <c r="Q147" s="111" t="s">
        <v>613</v>
      </c>
      <c r="R147" s="111" t="s">
        <v>9</v>
      </c>
      <c r="S147" s="111"/>
      <c r="T147" s="118"/>
      <c r="U147" s="64">
        <v>41929</v>
      </c>
      <c r="V147" s="158" t="s">
        <v>10</v>
      </c>
      <c r="W147" s="118"/>
      <c r="X147" s="113"/>
      <c r="Y147" s="117">
        <f t="shared" si="12"/>
        <v>42025</v>
      </c>
      <c r="Z147" s="117">
        <v>42306</v>
      </c>
      <c r="AA147" s="161" t="str">
        <f t="shared" ca="1" si="13"/>
        <v>NO</v>
      </c>
      <c r="AB147" s="113"/>
      <c r="AC147" s="117"/>
      <c r="AD147" s="111"/>
      <c r="AE147" s="111"/>
      <c r="AF147" s="111" t="str">
        <f t="shared" ca="1" si="14"/>
        <v>N/A</v>
      </c>
      <c r="AG147" s="162"/>
      <c r="AH147" s="162"/>
      <c r="AI147" s="164">
        <f t="shared" si="15"/>
        <v>0</v>
      </c>
      <c r="AJ147" s="118" t="s">
        <v>6</v>
      </c>
      <c r="AK147" s="113">
        <v>42683</v>
      </c>
      <c r="AL147" s="118"/>
      <c r="AM147" s="165" t="str">
        <f t="shared" si="16"/>
        <v>14031 ALMASIRAH</v>
      </c>
      <c r="AN147" s="165" t="str">
        <f t="shared" si="17"/>
        <v>14031 ALMASIRAH : Erreur calcul conso électrique glucoserie</v>
      </c>
    </row>
    <row r="148" spans="1:40" s="76" customFormat="1" ht="13" hidden="1" x14ac:dyDescent="0.3">
      <c r="A148" s="122" t="s">
        <v>614</v>
      </c>
      <c r="B148" s="116">
        <v>14032</v>
      </c>
      <c r="C148" s="113" t="s">
        <v>4</v>
      </c>
      <c r="D148" s="117">
        <v>41943</v>
      </c>
      <c r="E148" s="118" t="s">
        <v>221</v>
      </c>
      <c r="F148" s="118"/>
      <c r="G148" s="111" t="s">
        <v>615</v>
      </c>
      <c r="H148" s="111" t="s">
        <v>616</v>
      </c>
      <c r="I148" s="119" t="s">
        <v>2056</v>
      </c>
      <c r="J148" s="113"/>
      <c r="K148" s="118">
        <v>1953</v>
      </c>
      <c r="L148" s="118" t="s">
        <v>571</v>
      </c>
      <c r="M148" s="118" t="s">
        <v>11</v>
      </c>
      <c r="N148" s="120" t="s">
        <v>617</v>
      </c>
      <c r="O148" s="111" t="s">
        <v>29</v>
      </c>
      <c r="P148" s="111" t="s">
        <v>618</v>
      </c>
      <c r="Q148" s="111" t="s">
        <v>619</v>
      </c>
      <c r="R148" s="111" t="s">
        <v>145</v>
      </c>
      <c r="S148" s="111"/>
      <c r="T148" s="118"/>
      <c r="U148" s="64">
        <v>41936</v>
      </c>
      <c r="V148" s="158" t="s">
        <v>6</v>
      </c>
      <c r="W148" s="118" t="s">
        <v>205</v>
      </c>
      <c r="X148" s="113"/>
      <c r="Y148" s="117">
        <f t="shared" si="12"/>
        <v>42035</v>
      </c>
      <c r="Z148" s="117">
        <v>42031</v>
      </c>
      <c r="AA148" s="161" t="str">
        <f t="shared" ca="1" si="13"/>
        <v>YES</v>
      </c>
      <c r="AB148" s="113"/>
      <c r="AC148" s="117"/>
      <c r="AD148" s="111"/>
      <c r="AE148" s="111"/>
      <c r="AF148" s="111" t="str">
        <f t="shared" ca="1" si="14"/>
        <v>N/A</v>
      </c>
      <c r="AG148" s="162"/>
      <c r="AH148" s="162"/>
      <c r="AI148" s="164">
        <f t="shared" si="15"/>
        <v>0</v>
      </c>
      <c r="AJ148" s="118" t="s">
        <v>6</v>
      </c>
      <c r="AK148" s="113">
        <v>42244</v>
      </c>
      <c r="AL148" s="118"/>
      <c r="AM148" s="165" t="str">
        <f t="shared" si="16"/>
        <v xml:space="preserve">14032 SUNOKO </v>
      </c>
      <c r="AN148" s="165" t="str">
        <f t="shared" si="17"/>
        <v>14032 SUNOKO  : Fuite sur tuyauterie de distribution (araignée)</v>
      </c>
    </row>
    <row r="149" spans="1:40" s="76" customFormat="1" ht="13" hidden="1" x14ac:dyDescent="0.3">
      <c r="A149" s="122" t="s">
        <v>620</v>
      </c>
      <c r="B149" s="116">
        <v>14033</v>
      </c>
      <c r="C149" s="113" t="s">
        <v>4</v>
      </c>
      <c r="D149" s="117">
        <v>41946</v>
      </c>
      <c r="E149" s="118" t="s">
        <v>621</v>
      </c>
      <c r="F149" s="118"/>
      <c r="G149" s="111" t="s">
        <v>320</v>
      </c>
      <c r="H149" s="111" t="s">
        <v>622</v>
      </c>
      <c r="I149" s="119" t="s">
        <v>5</v>
      </c>
      <c r="J149" s="113"/>
      <c r="K149" s="118">
        <v>1953</v>
      </c>
      <c r="L149" s="118" t="s">
        <v>430</v>
      </c>
      <c r="M149" s="118" t="s">
        <v>13</v>
      </c>
      <c r="N149" s="120" t="s">
        <v>623</v>
      </c>
      <c r="O149" s="111" t="s">
        <v>29</v>
      </c>
      <c r="P149" s="111" t="s">
        <v>86</v>
      </c>
      <c r="Q149" s="111" t="s">
        <v>605</v>
      </c>
      <c r="R149" s="111" t="s">
        <v>145</v>
      </c>
      <c r="S149" s="111"/>
      <c r="T149" s="118"/>
      <c r="U149" s="64">
        <v>41989</v>
      </c>
      <c r="V149" s="158" t="s">
        <v>6</v>
      </c>
      <c r="W149" s="118" t="s">
        <v>116</v>
      </c>
      <c r="X149" s="113"/>
      <c r="Y149" s="117">
        <f t="shared" si="12"/>
        <v>42038</v>
      </c>
      <c r="Z149" s="117">
        <v>42115</v>
      </c>
      <c r="AA149" s="161" t="str">
        <f t="shared" ca="1" si="13"/>
        <v>NO</v>
      </c>
      <c r="AB149" s="113"/>
      <c r="AC149" s="117">
        <v>42013</v>
      </c>
      <c r="AD149" s="169">
        <v>42095</v>
      </c>
      <c r="AE149" s="169">
        <v>42095</v>
      </c>
      <c r="AF149" s="111" t="str">
        <f t="shared" ca="1" si="14"/>
        <v>YES</v>
      </c>
      <c r="AG149" s="162"/>
      <c r="AH149" s="162"/>
      <c r="AI149" s="164">
        <f t="shared" si="15"/>
        <v>0</v>
      </c>
      <c r="AJ149" s="118" t="s">
        <v>6</v>
      </c>
      <c r="AK149" s="113">
        <v>42306</v>
      </c>
      <c r="AL149" s="118"/>
      <c r="AM149" s="165" t="str">
        <f t="shared" si="16"/>
        <v>14033 CJ US</v>
      </c>
      <c r="AN149" s="165" t="str">
        <f t="shared" si="17"/>
        <v>14033 CJ US : Ampérage moteurs des pompes excessif</v>
      </c>
    </row>
    <row r="150" spans="1:40" s="76" customFormat="1" ht="25.5" hidden="1" x14ac:dyDescent="0.3">
      <c r="A150" s="122" t="s">
        <v>624</v>
      </c>
      <c r="B150" s="116">
        <v>14034</v>
      </c>
      <c r="C150" s="113" t="s">
        <v>4</v>
      </c>
      <c r="D150" s="117">
        <v>41948</v>
      </c>
      <c r="E150" s="118" t="s">
        <v>221</v>
      </c>
      <c r="F150" s="118"/>
      <c r="G150" s="111" t="s">
        <v>615</v>
      </c>
      <c r="H150" s="111" t="s">
        <v>625</v>
      </c>
      <c r="I150" s="119" t="s">
        <v>2056</v>
      </c>
      <c r="J150" s="113"/>
      <c r="K150" s="118">
        <v>1953</v>
      </c>
      <c r="L150" s="118" t="s">
        <v>571</v>
      </c>
      <c r="M150" s="118" t="s">
        <v>11</v>
      </c>
      <c r="N150" s="120" t="s">
        <v>626</v>
      </c>
      <c r="O150" s="118" t="s">
        <v>29</v>
      </c>
      <c r="P150" s="118" t="s">
        <v>618</v>
      </c>
      <c r="Q150" s="118" t="s">
        <v>619</v>
      </c>
      <c r="R150" s="118" t="s">
        <v>145</v>
      </c>
      <c r="S150" s="118"/>
      <c r="T150" s="118"/>
      <c r="U150" s="64">
        <v>41936</v>
      </c>
      <c r="V150" s="158" t="s">
        <v>6</v>
      </c>
      <c r="W150" s="118" t="s">
        <v>205</v>
      </c>
      <c r="X150" s="113"/>
      <c r="Y150" s="117">
        <f t="shared" si="12"/>
        <v>42040</v>
      </c>
      <c r="Z150" s="117">
        <v>42037</v>
      </c>
      <c r="AA150" s="161" t="str">
        <f t="shared" ca="1" si="13"/>
        <v>YES</v>
      </c>
      <c r="AB150" s="113"/>
      <c r="AC150" s="117"/>
      <c r="AD150" s="118"/>
      <c r="AE150" s="118"/>
      <c r="AF150" s="118" t="str">
        <f t="shared" ca="1" si="14"/>
        <v>N/A</v>
      </c>
      <c r="AG150" s="170"/>
      <c r="AH150" s="170"/>
      <c r="AI150" s="171">
        <f t="shared" si="15"/>
        <v>0</v>
      </c>
      <c r="AJ150" s="118" t="s">
        <v>6</v>
      </c>
      <c r="AK150" s="113">
        <v>42244</v>
      </c>
      <c r="AL150" s="118"/>
      <c r="AM150" s="165" t="str">
        <f t="shared" si="16"/>
        <v xml:space="preserve">14034 SUNOKO </v>
      </c>
      <c r="AN150" s="165" t="str">
        <f t="shared" si="17"/>
        <v>14034 SUNOKO  : Fuite sur tampon trou d'homme d'entrée réseau (colonnes)</v>
      </c>
    </row>
    <row r="151" spans="1:40" s="76" customFormat="1" ht="13" hidden="1" x14ac:dyDescent="0.3">
      <c r="A151" s="122" t="s">
        <v>627</v>
      </c>
      <c r="B151" s="116">
        <v>14035</v>
      </c>
      <c r="C151" s="113" t="s">
        <v>4</v>
      </c>
      <c r="D151" s="117">
        <v>41949</v>
      </c>
      <c r="E151" s="118" t="s">
        <v>221</v>
      </c>
      <c r="F151" s="118"/>
      <c r="G151" s="111" t="s">
        <v>569</v>
      </c>
      <c r="H151" s="111"/>
      <c r="I151" s="119" t="s">
        <v>2057</v>
      </c>
      <c r="J151" s="113"/>
      <c r="K151" s="118">
        <v>1953</v>
      </c>
      <c r="L151" s="118">
        <v>9263</v>
      </c>
      <c r="M151" s="118" t="s">
        <v>11</v>
      </c>
      <c r="N151" s="120" t="s">
        <v>628</v>
      </c>
      <c r="O151" s="111" t="s">
        <v>29</v>
      </c>
      <c r="P151" s="111" t="s">
        <v>618</v>
      </c>
      <c r="Q151" s="111" t="s">
        <v>619</v>
      </c>
      <c r="R151" s="111" t="s">
        <v>145</v>
      </c>
      <c r="S151" s="111"/>
      <c r="T151" s="118"/>
      <c r="U151" s="64">
        <v>41936</v>
      </c>
      <c r="V151" s="158" t="s">
        <v>6</v>
      </c>
      <c r="W151" s="118" t="s">
        <v>205</v>
      </c>
      <c r="X151" s="113"/>
      <c r="Y151" s="117">
        <f t="shared" si="12"/>
        <v>42041</v>
      </c>
      <c r="Z151" s="117">
        <v>42017</v>
      </c>
      <c r="AA151" s="161" t="str">
        <f t="shared" ca="1" si="13"/>
        <v>YES</v>
      </c>
      <c r="AB151" s="113"/>
      <c r="AC151" s="117"/>
      <c r="AD151" s="111"/>
      <c r="AE151" s="111"/>
      <c r="AF151" s="111" t="str">
        <f t="shared" ca="1" si="14"/>
        <v>N/A</v>
      </c>
      <c r="AG151" s="162"/>
      <c r="AH151" s="162"/>
      <c r="AI151" s="164">
        <f t="shared" si="15"/>
        <v>0</v>
      </c>
      <c r="AJ151" s="118" t="s">
        <v>6</v>
      </c>
      <c r="AK151" s="113">
        <v>42306</v>
      </c>
      <c r="AL151" s="118"/>
      <c r="AM151" s="165" t="str">
        <f t="shared" si="16"/>
        <v>14035 SUNOKO</v>
      </c>
      <c r="AN151" s="165" t="str">
        <f t="shared" si="17"/>
        <v xml:space="preserve">14035 SUNOKO : Déformation grille sur réseau (intérieur colonne) </v>
      </c>
    </row>
    <row r="152" spans="1:40" s="76" customFormat="1" ht="13" hidden="1" x14ac:dyDescent="0.3">
      <c r="A152" s="122" t="s">
        <v>629</v>
      </c>
      <c r="B152" s="116">
        <v>14036</v>
      </c>
      <c r="C152" s="113" t="s">
        <v>4</v>
      </c>
      <c r="D152" s="117">
        <v>41961</v>
      </c>
      <c r="E152" s="118" t="s">
        <v>99</v>
      </c>
      <c r="F152" s="118"/>
      <c r="G152" s="111" t="s">
        <v>630</v>
      </c>
      <c r="H152" s="111"/>
      <c r="I152" s="119" t="s">
        <v>2057</v>
      </c>
      <c r="J152" s="113"/>
      <c r="K152" s="118" t="s">
        <v>454</v>
      </c>
      <c r="L152" s="118" t="s">
        <v>631</v>
      </c>
      <c r="M152" s="118" t="s">
        <v>632</v>
      </c>
      <c r="N152" s="120" t="s">
        <v>633</v>
      </c>
      <c r="O152" s="111" t="s">
        <v>28</v>
      </c>
      <c r="P152" s="111" t="s">
        <v>103</v>
      </c>
      <c r="Q152" s="111" t="s">
        <v>634</v>
      </c>
      <c r="R152" s="111" t="s">
        <v>9</v>
      </c>
      <c r="S152" s="111"/>
      <c r="T152" s="118"/>
      <c r="U152" s="64">
        <v>41971</v>
      </c>
      <c r="V152" s="158" t="s">
        <v>6</v>
      </c>
      <c r="W152" s="118" t="s">
        <v>99</v>
      </c>
      <c r="X152" s="113"/>
      <c r="Y152" s="117">
        <f t="shared" si="12"/>
        <v>42053</v>
      </c>
      <c r="Z152" s="117">
        <v>42040</v>
      </c>
      <c r="AA152" s="161" t="str">
        <f t="shared" ca="1" si="13"/>
        <v>YES</v>
      </c>
      <c r="AB152" s="113"/>
      <c r="AC152" s="117"/>
      <c r="AD152" s="111"/>
      <c r="AE152" s="111"/>
      <c r="AF152" s="111" t="str">
        <f t="shared" ca="1" si="14"/>
        <v>N/A</v>
      </c>
      <c r="AG152" s="162"/>
      <c r="AH152" s="162"/>
      <c r="AI152" s="164">
        <f t="shared" si="15"/>
        <v>0</v>
      </c>
      <c r="AJ152" s="118" t="s">
        <v>6</v>
      </c>
      <c r="AK152" s="113">
        <v>42249</v>
      </c>
      <c r="AL152" s="118"/>
      <c r="AM152" s="165" t="str">
        <f t="shared" si="16"/>
        <v>14036 Sanofi Chimie Aramon</v>
      </c>
      <c r="AN152" s="165" t="str">
        <f t="shared" si="17"/>
        <v>14036 Sanofi Chimie Aramon : erreur stock membranes réservées</v>
      </c>
    </row>
    <row r="153" spans="1:40" s="76" customFormat="1" ht="13" hidden="1" x14ac:dyDescent="0.3">
      <c r="A153" s="122" t="s">
        <v>635</v>
      </c>
      <c r="B153" s="116">
        <v>14037</v>
      </c>
      <c r="C153" s="113" t="s">
        <v>4</v>
      </c>
      <c r="D153" s="117">
        <v>41961</v>
      </c>
      <c r="E153" s="118" t="s">
        <v>636</v>
      </c>
      <c r="F153" s="118"/>
      <c r="G153" s="111" t="s">
        <v>637</v>
      </c>
      <c r="H153" s="111"/>
      <c r="I153" s="119" t="s">
        <v>2057</v>
      </c>
      <c r="J153" s="113"/>
      <c r="K153" s="118" t="s">
        <v>454</v>
      </c>
      <c r="L153" s="118" t="s">
        <v>638</v>
      </c>
      <c r="M153" s="118" t="s">
        <v>11</v>
      </c>
      <c r="N153" s="120" t="s">
        <v>639</v>
      </c>
      <c r="O153" s="111" t="s">
        <v>420</v>
      </c>
      <c r="P153" s="111" t="s">
        <v>80</v>
      </c>
      <c r="Q153" s="111" t="s">
        <v>81</v>
      </c>
      <c r="R153" s="111" t="s">
        <v>9</v>
      </c>
      <c r="S153" s="111"/>
      <c r="T153" s="118"/>
      <c r="U153" s="64">
        <v>41961</v>
      </c>
      <c r="V153" s="158" t="s">
        <v>6</v>
      </c>
      <c r="W153" s="118" t="s">
        <v>258</v>
      </c>
      <c r="X153" s="113"/>
      <c r="Y153" s="117">
        <f t="shared" si="12"/>
        <v>42053</v>
      </c>
      <c r="Z153" s="117">
        <v>42045</v>
      </c>
      <c r="AA153" s="161" t="str">
        <f t="shared" ca="1" si="13"/>
        <v>YES</v>
      </c>
      <c r="AB153" s="113"/>
      <c r="AC153" s="117"/>
      <c r="AD153" s="111"/>
      <c r="AE153" s="111"/>
      <c r="AF153" s="111" t="str">
        <f t="shared" ca="1" si="14"/>
        <v>N/A</v>
      </c>
      <c r="AG153" s="162"/>
      <c r="AH153" s="162"/>
      <c r="AI153" s="164">
        <f t="shared" si="15"/>
        <v>0</v>
      </c>
      <c r="AJ153" s="118" t="s">
        <v>6</v>
      </c>
      <c r="AK153" s="113">
        <v>42255</v>
      </c>
      <c r="AL153" s="118"/>
      <c r="AM153" s="165" t="str">
        <f t="shared" si="16"/>
        <v>14037 SENSUS</v>
      </c>
      <c r="AN153" s="165" t="str">
        <f t="shared" si="17"/>
        <v xml:space="preserve">14037 SENSUS : retard essais PPD </v>
      </c>
    </row>
    <row r="154" spans="1:40" s="76" customFormat="1" ht="13" hidden="1" x14ac:dyDescent="0.3">
      <c r="A154" s="122" t="s">
        <v>640</v>
      </c>
      <c r="B154" s="116">
        <v>14038</v>
      </c>
      <c r="C154" s="113" t="s">
        <v>4</v>
      </c>
      <c r="D154" s="117">
        <v>41971</v>
      </c>
      <c r="E154" s="118" t="s">
        <v>82</v>
      </c>
      <c r="F154" s="118"/>
      <c r="G154" s="111" t="s">
        <v>641</v>
      </c>
      <c r="H154" s="111" t="s">
        <v>309</v>
      </c>
      <c r="I154" s="119" t="s">
        <v>5</v>
      </c>
      <c r="J154" s="113"/>
      <c r="K154" s="118" t="s">
        <v>454</v>
      </c>
      <c r="L154" s="118" t="s">
        <v>642</v>
      </c>
      <c r="M154" s="118" t="s">
        <v>11</v>
      </c>
      <c r="N154" s="120" t="s">
        <v>643</v>
      </c>
      <c r="O154" s="111" t="s">
        <v>28</v>
      </c>
      <c r="P154" s="111" t="s">
        <v>103</v>
      </c>
      <c r="Q154" s="111"/>
      <c r="R154" s="111" t="s">
        <v>145</v>
      </c>
      <c r="S154" s="111"/>
      <c r="T154" s="128" t="s">
        <v>309</v>
      </c>
      <c r="U154" s="64">
        <v>41969</v>
      </c>
      <c r="V154" s="158" t="s">
        <v>10</v>
      </c>
      <c r="W154" s="118"/>
      <c r="X154" s="113"/>
      <c r="Y154" s="117">
        <f t="shared" si="12"/>
        <v>42063</v>
      </c>
      <c r="Z154" s="117">
        <v>42017</v>
      </c>
      <c r="AA154" s="161" t="str">
        <f t="shared" ca="1" si="13"/>
        <v>YES</v>
      </c>
      <c r="AB154" s="113"/>
      <c r="AC154" s="117">
        <v>41984</v>
      </c>
      <c r="AD154" s="169"/>
      <c r="AE154" s="169"/>
      <c r="AF154" s="111" t="str">
        <f t="shared" ca="1" si="14"/>
        <v/>
      </c>
      <c r="AG154" s="162"/>
      <c r="AH154" s="162"/>
      <c r="AI154" s="164">
        <f t="shared" si="15"/>
        <v>0</v>
      </c>
      <c r="AJ154" s="118" t="s">
        <v>10</v>
      </c>
      <c r="AK154" s="113">
        <v>42249</v>
      </c>
      <c r="AL154" s="118" t="s">
        <v>644</v>
      </c>
      <c r="AM154" s="165" t="str">
        <f t="shared" si="16"/>
        <v xml:space="preserve">14038 Armor Proteines </v>
      </c>
      <c r="AN154" s="165" t="str">
        <f t="shared" si="17"/>
        <v>14038 Armor Proteines  : Retard de livraison résine</v>
      </c>
    </row>
    <row r="155" spans="1:40" s="76" customFormat="1" ht="13" hidden="1" x14ac:dyDescent="0.3">
      <c r="A155" s="122" t="s">
        <v>645</v>
      </c>
      <c r="B155" s="116">
        <v>15001</v>
      </c>
      <c r="C155" s="113" t="s">
        <v>4</v>
      </c>
      <c r="D155" s="117">
        <v>42016</v>
      </c>
      <c r="E155" s="118" t="s">
        <v>239</v>
      </c>
      <c r="F155" s="118" t="s">
        <v>164</v>
      </c>
      <c r="G155" s="111" t="s">
        <v>646</v>
      </c>
      <c r="H155" s="111"/>
      <c r="I155" s="119" t="s">
        <v>5</v>
      </c>
      <c r="J155" s="113"/>
      <c r="K155" s="118">
        <v>1987</v>
      </c>
      <c r="L155" s="118">
        <v>8023</v>
      </c>
      <c r="M155" s="118" t="s">
        <v>13</v>
      </c>
      <c r="N155" s="120" t="s">
        <v>647</v>
      </c>
      <c r="O155" s="111" t="s">
        <v>29</v>
      </c>
      <c r="P155" s="111" t="s">
        <v>86</v>
      </c>
      <c r="Q155" s="111" t="s">
        <v>522</v>
      </c>
      <c r="R155" s="111" t="s">
        <v>9</v>
      </c>
      <c r="S155" s="111"/>
      <c r="T155" s="118"/>
      <c r="U155" s="64">
        <v>41989</v>
      </c>
      <c r="V155" s="158" t="s">
        <v>10</v>
      </c>
      <c r="W155" s="118"/>
      <c r="X155" s="113"/>
      <c r="Y155" s="117">
        <f t="shared" si="12"/>
        <v>42106</v>
      </c>
      <c r="Z155" s="117">
        <v>42076</v>
      </c>
      <c r="AA155" s="161" t="str">
        <f t="shared" ca="1" si="13"/>
        <v>YES</v>
      </c>
      <c r="AB155" s="113"/>
      <c r="AC155" s="117"/>
      <c r="AD155" s="169">
        <v>42095</v>
      </c>
      <c r="AE155" s="169">
        <v>42064</v>
      </c>
      <c r="AF155" s="111" t="str">
        <f t="shared" ca="1" si="14"/>
        <v>YES</v>
      </c>
      <c r="AG155" s="162"/>
      <c r="AH155" s="162"/>
      <c r="AI155" s="164">
        <f t="shared" si="15"/>
        <v>0</v>
      </c>
      <c r="AJ155" s="118" t="s">
        <v>6</v>
      </c>
      <c r="AK155" s="113">
        <v>42244</v>
      </c>
      <c r="AL155" s="118"/>
      <c r="AM155" s="165" t="str">
        <f t="shared" si="16"/>
        <v xml:space="preserve">15001 Solanic </v>
      </c>
      <c r="AN155" s="165" t="str">
        <f t="shared" si="17"/>
        <v>15001 Solanic  : Dimensions trous d'homme cuve back wash</v>
      </c>
    </row>
    <row r="156" spans="1:40" s="76" customFormat="1" ht="13" hidden="1" x14ac:dyDescent="0.3">
      <c r="A156" s="122" t="s">
        <v>648</v>
      </c>
      <c r="B156" s="116">
        <v>15002</v>
      </c>
      <c r="C156" s="113" t="s">
        <v>4</v>
      </c>
      <c r="D156" s="117">
        <v>42016</v>
      </c>
      <c r="E156" s="118" t="s">
        <v>239</v>
      </c>
      <c r="F156" s="118" t="s">
        <v>164</v>
      </c>
      <c r="G156" s="111" t="s">
        <v>649</v>
      </c>
      <c r="H156" s="111" t="s">
        <v>650</v>
      </c>
      <c r="I156" s="119" t="s">
        <v>2057</v>
      </c>
      <c r="J156" s="113"/>
      <c r="K156" s="118">
        <v>1987</v>
      </c>
      <c r="L156" s="118">
        <v>8023</v>
      </c>
      <c r="M156" s="118" t="s">
        <v>13</v>
      </c>
      <c r="N156" s="120" t="s">
        <v>651</v>
      </c>
      <c r="O156" s="111" t="s">
        <v>29</v>
      </c>
      <c r="P156" s="111" t="s">
        <v>86</v>
      </c>
      <c r="Q156" s="111" t="s">
        <v>522</v>
      </c>
      <c r="R156" s="111" t="s">
        <v>9</v>
      </c>
      <c r="S156" s="111"/>
      <c r="T156" s="118"/>
      <c r="U156" s="64">
        <v>42096</v>
      </c>
      <c r="V156" s="158" t="s">
        <v>10</v>
      </c>
      <c r="W156" s="118"/>
      <c r="X156" s="113"/>
      <c r="Y156" s="117">
        <f t="shared" si="12"/>
        <v>42106</v>
      </c>
      <c r="Z156" s="117">
        <v>42102</v>
      </c>
      <c r="AA156" s="161" t="str">
        <f t="shared" ca="1" si="13"/>
        <v>YES</v>
      </c>
      <c r="AB156" s="113"/>
      <c r="AC156" s="117"/>
      <c r="AD156" s="111"/>
      <c r="AE156" s="111"/>
      <c r="AF156" s="111" t="str">
        <f t="shared" ca="1" si="14"/>
        <v>N/A</v>
      </c>
      <c r="AG156" s="162"/>
      <c r="AH156" s="162"/>
      <c r="AI156" s="164">
        <f t="shared" si="15"/>
        <v>0</v>
      </c>
      <c r="AJ156" s="118" t="s">
        <v>6</v>
      </c>
      <c r="AK156" s="113">
        <v>42244</v>
      </c>
      <c r="AL156" s="118"/>
      <c r="AM156" s="165" t="str">
        <f t="shared" si="16"/>
        <v>15002 Solanic</v>
      </c>
      <c r="AN156" s="165" t="str">
        <f t="shared" si="17"/>
        <v>15002 Solanic : Absence Pression d'air / marquage colonnes</v>
      </c>
    </row>
    <row r="157" spans="1:40" s="76" customFormat="1" ht="13" hidden="1" x14ac:dyDescent="0.3">
      <c r="A157" s="122" t="s">
        <v>652</v>
      </c>
      <c r="B157" s="116">
        <v>15003</v>
      </c>
      <c r="C157" s="113" t="s">
        <v>4</v>
      </c>
      <c r="D157" s="117">
        <v>42016</v>
      </c>
      <c r="E157" s="118" t="s">
        <v>239</v>
      </c>
      <c r="F157" s="118" t="s">
        <v>164</v>
      </c>
      <c r="G157" s="111" t="s">
        <v>646</v>
      </c>
      <c r="H157" s="111" t="s">
        <v>653</v>
      </c>
      <c r="I157" s="119" t="s">
        <v>2057</v>
      </c>
      <c r="J157" s="113"/>
      <c r="K157" s="118">
        <v>1987</v>
      </c>
      <c r="L157" s="118">
        <v>8023</v>
      </c>
      <c r="M157" s="118" t="s">
        <v>13</v>
      </c>
      <c r="N157" s="120" t="s">
        <v>654</v>
      </c>
      <c r="O157" s="111" t="s">
        <v>29</v>
      </c>
      <c r="P157" s="111" t="s">
        <v>86</v>
      </c>
      <c r="Q157" s="111" t="s">
        <v>522</v>
      </c>
      <c r="R157" s="111" t="s">
        <v>9</v>
      </c>
      <c r="S157" s="111"/>
      <c r="T157" s="118"/>
      <c r="U157" s="64">
        <v>42017</v>
      </c>
      <c r="V157" s="158" t="s">
        <v>10</v>
      </c>
      <c r="W157" s="118"/>
      <c r="X157" s="113"/>
      <c r="Y157" s="117">
        <f t="shared" si="12"/>
        <v>42106</v>
      </c>
      <c r="Z157" s="117">
        <v>42076</v>
      </c>
      <c r="AA157" s="161" t="str">
        <f t="shared" ca="1" si="13"/>
        <v>YES</v>
      </c>
      <c r="AB157" s="113"/>
      <c r="AC157" s="117"/>
      <c r="AD157" s="111"/>
      <c r="AE157" s="111"/>
      <c r="AF157" s="111" t="str">
        <f t="shared" ca="1" si="14"/>
        <v>N/A</v>
      </c>
      <c r="AG157" s="162"/>
      <c r="AH157" s="162"/>
      <c r="AI157" s="164">
        <f t="shared" si="15"/>
        <v>0</v>
      </c>
      <c r="AJ157" s="118" t="s">
        <v>6</v>
      </c>
      <c r="AK157" s="113">
        <v>42244</v>
      </c>
      <c r="AL157" s="118"/>
      <c r="AM157" s="165" t="str">
        <f t="shared" si="16"/>
        <v xml:space="preserve">15003 Solanic </v>
      </c>
      <c r="AN157" s="165" t="str">
        <f t="shared" si="17"/>
        <v xml:space="preserve">15003 Solanic  : Erreur diamètre tuyauterie skids </v>
      </c>
    </row>
    <row r="158" spans="1:40" s="76" customFormat="1" ht="13" hidden="1" x14ac:dyDescent="0.3">
      <c r="A158" s="122" t="s">
        <v>655</v>
      </c>
      <c r="B158" s="116">
        <v>15004</v>
      </c>
      <c r="C158" s="113" t="s">
        <v>4</v>
      </c>
      <c r="D158" s="117">
        <v>42017</v>
      </c>
      <c r="E158" s="118" t="s">
        <v>239</v>
      </c>
      <c r="F158" s="118" t="s">
        <v>164</v>
      </c>
      <c r="G158" s="111" t="s">
        <v>656</v>
      </c>
      <c r="H158" s="111"/>
      <c r="I158" s="119" t="s">
        <v>2057</v>
      </c>
      <c r="J158" s="113"/>
      <c r="K158" s="118">
        <v>8101</v>
      </c>
      <c r="L158" s="118">
        <v>9933</v>
      </c>
      <c r="M158" s="118" t="s">
        <v>13</v>
      </c>
      <c r="N158" s="120" t="s">
        <v>657</v>
      </c>
      <c r="O158" s="111" t="s">
        <v>29</v>
      </c>
      <c r="P158" s="111" t="s">
        <v>86</v>
      </c>
      <c r="Q158" s="111" t="s">
        <v>522</v>
      </c>
      <c r="R158" s="111" t="s">
        <v>9</v>
      </c>
      <c r="S158" s="111"/>
      <c r="T158" s="118"/>
      <c r="U158" s="64">
        <v>42096</v>
      </c>
      <c r="V158" s="158" t="s">
        <v>10</v>
      </c>
      <c r="W158" s="118"/>
      <c r="X158" s="113"/>
      <c r="Y158" s="117">
        <f t="shared" si="12"/>
        <v>42107</v>
      </c>
      <c r="Z158" s="117">
        <v>42102</v>
      </c>
      <c r="AA158" s="161" t="str">
        <f t="shared" ca="1" si="13"/>
        <v>YES</v>
      </c>
      <c r="AB158" s="113"/>
      <c r="AC158" s="117"/>
      <c r="AD158" s="111"/>
      <c r="AE158" s="111"/>
      <c r="AF158" s="111" t="str">
        <f t="shared" ca="1" si="14"/>
        <v>N/A</v>
      </c>
      <c r="AG158" s="162"/>
      <c r="AH158" s="162"/>
      <c r="AI158" s="164">
        <f t="shared" si="15"/>
        <v>0</v>
      </c>
      <c r="AJ158" s="118" t="s">
        <v>6</v>
      </c>
      <c r="AK158" s="113">
        <v>42244</v>
      </c>
      <c r="AL158" s="118"/>
      <c r="AM158" s="165" t="str">
        <f t="shared" si="16"/>
        <v>15004 Tunisie sucre</v>
      </c>
      <c r="AN158" s="165" t="str">
        <f t="shared" si="17"/>
        <v>15004 Tunisie sucre : Pompe neutralisation endommagée</v>
      </c>
    </row>
    <row r="159" spans="1:40" s="76" customFormat="1" ht="13" hidden="1" x14ac:dyDescent="0.3">
      <c r="A159" s="122"/>
      <c r="B159" s="116">
        <v>15005</v>
      </c>
      <c r="C159" s="113" t="s">
        <v>4</v>
      </c>
      <c r="D159" s="117">
        <v>42020</v>
      </c>
      <c r="E159" s="118" t="s">
        <v>99</v>
      </c>
      <c r="F159" s="118" t="s">
        <v>658</v>
      </c>
      <c r="G159" s="111" t="s">
        <v>659</v>
      </c>
      <c r="H159" s="111" t="s">
        <v>357</v>
      </c>
      <c r="I159" s="119" t="s">
        <v>5</v>
      </c>
      <c r="J159" s="113"/>
      <c r="K159" s="118" t="s">
        <v>454</v>
      </c>
      <c r="L159" s="118" t="s">
        <v>660</v>
      </c>
      <c r="M159" s="118" t="s">
        <v>338</v>
      </c>
      <c r="N159" s="120" t="s">
        <v>661</v>
      </c>
      <c r="O159" s="111" t="s">
        <v>28</v>
      </c>
      <c r="P159" s="111" t="s">
        <v>103</v>
      </c>
      <c r="Q159" s="111" t="s">
        <v>634</v>
      </c>
      <c r="R159" s="111" t="s">
        <v>145</v>
      </c>
      <c r="S159" s="111"/>
      <c r="T159" s="118"/>
      <c r="U159" s="64">
        <v>42074</v>
      </c>
      <c r="V159" s="158" t="s">
        <v>6</v>
      </c>
      <c r="W159" s="118" t="s">
        <v>82</v>
      </c>
      <c r="X159" s="113"/>
      <c r="Y159" s="117">
        <f t="shared" si="12"/>
        <v>42110</v>
      </c>
      <c r="Z159" s="117">
        <v>42107</v>
      </c>
      <c r="AA159" s="161" t="str">
        <f t="shared" ca="1" si="13"/>
        <v>YES</v>
      </c>
      <c r="AB159" s="113"/>
      <c r="AC159" s="117">
        <v>42074</v>
      </c>
      <c r="AD159" s="111"/>
      <c r="AE159" s="111"/>
      <c r="AF159" s="111" t="str">
        <f t="shared" ca="1" si="14"/>
        <v/>
      </c>
      <c r="AG159" s="162"/>
      <c r="AH159" s="162"/>
      <c r="AI159" s="164">
        <f t="shared" si="15"/>
        <v>0</v>
      </c>
      <c r="AJ159" s="118" t="s">
        <v>6</v>
      </c>
      <c r="AK159" s="113">
        <v>42681</v>
      </c>
      <c r="AL159" s="118" t="s">
        <v>662</v>
      </c>
      <c r="AM159" s="165" t="str">
        <f t="shared" si="16"/>
        <v xml:space="preserve">15005 Jungbunzlauer </v>
      </c>
      <c r="AN159" s="165" t="str">
        <f t="shared" si="17"/>
        <v>15005 Jungbunzlauer  : Défaut longueur d'étanchement mbre Kerasep</v>
      </c>
    </row>
    <row r="160" spans="1:40" s="76" customFormat="1" ht="13" hidden="1" x14ac:dyDescent="0.3">
      <c r="A160" s="122" t="s">
        <v>663</v>
      </c>
      <c r="B160" s="116">
        <v>15006</v>
      </c>
      <c r="C160" s="113" t="s">
        <v>4</v>
      </c>
      <c r="D160" s="117">
        <v>42052</v>
      </c>
      <c r="E160" s="118" t="s">
        <v>99</v>
      </c>
      <c r="F160" s="118" t="s">
        <v>658</v>
      </c>
      <c r="G160" s="111" t="s">
        <v>664</v>
      </c>
      <c r="H160" s="111" t="s">
        <v>460</v>
      </c>
      <c r="I160" s="119" t="s">
        <v>5</v>
      </c>
      <c r="J160" s="113"/>
      <c r="K160" s="118" t="s">
        <v>454</v>
      </c>
      <c r="L160" s="118" t="s">
        <v>665</v>
      </c>
      <c r="M160" s="118" t="s">
        <v>18</v>
      </c>
      <c r="N160" s="120" t="s">
        <v>666</v>
      </c>
      <c r="O160" s="111" t="s">
        <v>28</v>
      </c>
      <c r="P160" s="111" t="s">
        <v>103</v>
      </c>
      <c r="Q160" s="111"/>
      <c r="R160" s="111" t="s">
        <v>145</v>
      </c>
      <c r="S160" s="111"/>
      <c r="T160" s="129" t="s">
        <v>460</v>
      </c>
      <c r="U160" s="64">
        <v>42074</v>
      </c>
      <c r="V160" s="158" t="s">
        <v>10</v>
      </c>
      <c r="W160" s="118"/>
      <c r="X160" s="113"/>
      <c r="Y160" s="117">
        <f t="shared" si="12"/>
        <v>42141</v>
      </c>
      <c r="Z160" s="117">
        <v>42107</v>
      </c>
      <c r="AA160" s="161" t="str">
        <f t="shared" ca="1" si="13"/>
        <v>YES</v>
      </c>
      <c r="AB160" s="113"/>
      <c r="AC160" s="117">
        <v>42090</v>
      </c>
      <c r="AD160" s="111"/>
      <c r="AE160" s="111"/>
      <c r="AF160" s="111" t="str">
        <f t="shared" ca="1" si="14"/>
        <v/>
      </c>
      <c r="AG160" s="162"/>
      <c r="AH160" s="162"/>
      <c r="AI160" s="164">
        <f t="shared" si="15"/>
        <v>0</v>
      </c>
      <c r="AJ160" s="118" t="s">
        <v>6</v>
      </c>
      <c r="AK160" s="113">
        <v>42249</v>
      </c>
      <c r="AL160" s="118"/>
      <c r="AM160" s="165" t="str">
        <f t="shared" si="16"/>
        <v xml:space="preserve">15006 TEREOS NESLE </v>
      </c>
      <c r="AN160" s="165" t="str">
        <f t="shared" si="17"/>
        <v>15006 TEREOS NESLE  : Joints plus larges sur 20 éléments</v>
      </c>
    </row>
    <row r="161" spans="1:40" s="76" customFormat="1" ht="13" hidden="1" x14ac:dyDescent="0.3">
      <c r="A161" s="122" t="s">
        <v>667</v>
      </c>
      <c r="B161" s="116">
        <v>15007</v>
      </c>
      <c r="C161" s="113" t="s">
        <v>4</v>
      </c>
      <c r="D161" s="117">
        <v>42053</v>
      </c>
      <c r="E161" s="118" t="s">
        <v>441</v>
      </c>
      <c r="F161" s="118" t="s">
        <v>8</v>
      </c>
      <c r="G161" s="111" t="s">
        <v>538</v>
      </c>
      <c r="H161" s="111" t="s">
        <v>625</v>
      </c>
      <c r="I161" s="119" t="s">
        <v>2057</v>
      </c>
      <c r="J161" s="113"/>
      <c r="K161" s="118">
        <v>1984</v>
      </c>
      <c r="L161" s="118">
        <v>9728</v>
      </c>
      <c r="M161" s="118" t="s">
        <v>11</v>
      </c>
      <c r="N161" s="120" t="s">
        <v>668</v>
      </c>
      <c r="O161" s="111" t="s">
        <v>29</v>
      </c>
      <c r="P161" s="111" t="s">
        <v>86</v>
      </c>
      <c r="Q161" s="111" t="s">
        <v>522</v>
      </c>
      <c r="R161" s="111" t="s">
        <v>9</v>
      </c>
      <c r="S161" s="111"/>
      <c r="T161" s="118"/>
      <c r="U161" s="64">
        <v>42023</v>
      </c>
      <c r="V161" s="158" t="s">
        <v>6</v>
      </c>
      <c r="W161" s="118" t="s">
        <v>120</v>
      </c>
      <c r="X161" s="113"/>
      <c r="Y161" s="117">
        <f t="shared" si="12"/>
        <v>42142</v>
      </c>
      <c r="Z161" s="117">
        <v>42135</v>
      </c>
      <c r="AA161" s="161" t="str">
        <f t="shared" ca="1" si="13"/>
        <v>YES</v>
      </c>
      <c r="AB161" s="113"/>
      <c r="AC161" s="117"/>
      <c r="AD161" s="111"/>
      <c r="AE161" s="111"/>
      <c r="AF161" s="111" t="str">
        <f t="shared" ca="1" si="14"/>
        <v>N/A</v>
      </c>
      <c r="AG161" s="162"/>
      <c r="AH161" s="162"/>
      <c r="AI161" s="164">
        <f t="shared" si="15"/>
        <v>0</v>
      </c>
      <c r="AJ161" s="118" t="s">
        <v>6</v>
      </c>
      <c r="AK161" s="113">
        <v>42244</v>
      </c>
      <c r="AL161" s="118"/>
      <c r="AM161" s="165" t="str">
        <f t="shared" si="16"/>
        <v>15007 ADM</v>
      </c>
      <c r="AN161" s="165" t="str">
        <f t="shared" si="17"/>
        <v>15007 ADM : Conflit entre évent et réseau intérieur colonne</v>
      </c>
    </row>
    <row r="162" spans="1:40" s="76" customFormat="1" ht="13" hidden="1" x14ac:dyDescent="0.3">
      <c r="A162" s="122" t="s">
        <v>669</v>
      </c>
      <c r="B162" s="116">
        <v>15008</v>
      </c>
      <c r="C162" s="113" t="s">
        <v>4</v>
      </c>
      <c r="D162" s="117">
        <v>42058</v>
      </c>
      <c r="E162" s="118" t="s">
        <v>82</v>
      </c>
      <c r="F162" s="118" t="s">
        <v>658</v>
      </c>
      <c r="G162" s="111" t="s">
        <v>670</v>
      </c>
      <c r="H162" s="111" t="s">
        <v>671</v>
      </c>
      <c r="I162" s="119" t="s">
        <v>5</v>
      </c>
      <c r="J162" s="113"/>
      <c r="K162" s="118">
        <v>1952</v>
      </c>
      <c r="L162" s="118">
        <v>8259</v>
      </c>
      <c r="M162" s="118" t="s">
        <v>672</v>
      </c>
      <c r="N162" s="120" t="s">
        <v>673</v>
      </c>
      <c r="O162" s="111" t="s">
        <v>29</v>
      </c>
      <c r="P162" s="111" t="s">
        <v>86</v>
      </c>
      <c r="Q162" s="111" t="s">
        <v>674</v>
      </c>
      <c r="R162" s="111" t="s">
        <v>145</v>
      </c>
      <c r="S162" s="111"/>
      <c r="T162" s="118"/>
      <c r="U162" s="64">
        <v>42067</v>
      </c>
      <c r="V162" s="158" t="s">
        <v>6</v>
      </c>
      <c r="W162" s="118" t="s">
        <v>675</v>
      </c>
      <c r="X162" s="113"/>
      <c r="Y162" s="117">
        <f t="shared" si="12"/>
        <v>42147</v>
      </c>
      <c r="Z162" s="117">
        <v>42605</v>
      </c>
      <c r="AA162" s="161" t="str">
        <f t="shared" ca="1" si="13"/>
        <v>NO</v>
      </c>
      <c r="AB162" s="113"/>
      <c r="AC162" s="117">
        <v>42067</v>
      </c>
      <c r="AD162" s="169">
        <v>42125</v>
      </c>
      <c r="AE162" s="172">
        <v>42605</v>
      </c>
      <c r="AF162" s="111" t="str">
        <f t="shared" ca="1" si="14"/>
        <v>NO</v>
      </c>
      <c r="AG162" s="162"/>
      <c r="AH162" s="162"/>
      <c r="AI162" s="164">
        <f t="shared" si="15"/>
        <v>0</v>
      </c>
      <c r="AJ162" s="118"/>
      <c r="AK162" s="113" t="s">
        <v>676</v>
      </c>
      <c r="AL162" s="118" t="s">
        <v>677</v>
      </c>
      <c r="AM162" s="165" t="str">
        <f t="shared" si="16"/>
        <v xml:space="preserve">15008 Cevital </v>
      </c>
      <c r="AN162" s="165" t="str">
        <f t="shared" si="17"/>
        <v>15008 Cevital  : Fuite sur colonne de décoloration</v>
      </c>
    </row>
    <row r="163" spans="1:40" s="76" customFormat="1" ht="13" hidden="1" x14ac:dyDescent="0.3">
      <c r="A163" s="122" t="s">
        <v>678</v>
      </c>
      <c r="B163" s="116">
        <v>15009</v>
      </c>
      <c r="C163" s="113" t="s">
        <v>4</v>
      </c>
      <c r="D163" s="117">
        <v>42062</v>
      </c>
      <c r="E163" s="118" t="s">
        <v>441</v>
      </c>
      <c r="F163" s="118" t="s">
        <v>8</v>
      </c>
      <c r="G163" s="111" t="s">
        <v>538</v>
      </c>
      <c r="H163" s="111" t="s">
        <v>679</v>
      </c>
      <c r="I163" s="119" t="s">
        <v>2057</v>
      </c>
      <c r="J163" s="113"/>
      <c r="K163" s="118">
        <v>1984</v>
      </c>
      <c r="L163" s="118">
        <v>9728</v>
      </c>
      <c r="M163" s="118" t="s">
        <v>11</v>
      </c>
      <c r="N163" s="120" t="s">
        <v>680</v>
      </c>
      <c r="O163" s="111" t="s">
        <v>29</v>
      </c>
      <c r="P163" s="111" t="s">
        <v>86</v>
      </c>
      <c r="Q163" s="111" t="s">
        <v>605</v>
      </c>
      <c r="R163" s="111" t="s">
        <v>9</v>
      </c>
      <c r="S163" s="111"/>
      <c r="T163" s="118"/>
      <c r="U163" s="64">
        <v>42016</v>
      </c>
      <c r="V163" s="158" t="s">
        <v>6</v>
      </c>
      <c r="W163" s="118" t="s">
        <v>120</v>
      </c>
      <c r="X163" s="113"/>
      <c r="Y163" s="117">
        <f t="shared" si="12"/>
        <v>42151</v>
      </c>
      <c r="Z163" s="117">
        <v>42135</v>
      </c>
      <c r="AA163" s="161" t="str">
        <f t="shared" ca="1" si="13"/>
        <v>YES</v>
      </c>
      <c r="AB163" s="113"/>
      <c r="AC163" s="117"/>
      <c r="AD163" s="111"/>
      <c r="AE163" s="111"/>
      <c r="AF163" s="111" t="str">
        <f t="shared" ca="1" si="14"/>
        <v>N/A</v>
      </c>
      <c r="AG163" s="162"/>
      <c r="AH163" s="162"/>
      <c r="AI163" s="164">
        <f t="shared" si="15"/>
        <v>0</v>
      </c>
      <c r="AJ163" s="118" t="s">
        <v>6</v>
      </c>
      <c r="AK163" s="113">
        <v>42244</v>
      </c>
      <c r="AL163" s="118"/>
      <c r="AM163" s="165" t="str">
        <f t="shared" si="16"/>
        <v>15009 ADM</v>
      </c>
      <c r="AN163" s="165" t="str">
        <f t="shared" si="17"/>
        <v>15009 ADM : erreur longueur DIT</v>
      </c>
    </row>
    <row r="164" spans="1:40" s="76" customFormat="1" ht="13" hidden="1" x14ac:dyDescent="0.3">
      <c r="A164" s="122" t="s">
        <v>681</v>
      </c>
      <c r="B164" s="116">
        <v>15010</v>
      </c>
      <c r="C164" s="113" t="s">
        <v>4</v>
      </c>
      <c r="D164" s="117">
        <v>42065</v>
      </c>
      <c r="E164" s="118" t="s">
        <v>221</v>
      </c>
      <c r="F164" s="118" t="s">
        <v>164</v>
      </c>
      <c r="G164" s="111" t="s">
        <v>682</v>
      </c>
      <c r="H164" s="111" t="s">
        <v>683</v>
      </c>
      <c r="I164" s="119" t="s">
        <v>5</v>
      </c>
      <c r="J164" s="113"/>
      <c r="K164" s="118">
        <v>1973</v>
      </c>
      <c r="L164" s="118">
        <v>9323</v>
      </c>
      <c r="M164" s="118" t="s">
        <v>13</v>
      </c>
      <c r="N164" s="120" t="s">
        <v>684</v>
      </c>
      <c r="O164" s="111" t="s">
        <v>29</v>
      </c>
      <c r="P164" s="111" t="s">
        <v>86</v>
      </c>
      <c r="Q164" s="111" t="s">
        <v>674</v>
      </c>
      <c r="R164" s="111" t="s">
        <v>12</v>
      </c>
      <c r="S164" s="111"/>
      <c r="T164" s="118"/>
      <c r="U164" s="64">
        <v>42130</v>
      </c>
      <c r="V164" s="158" t="s">
        <v>10</v>
      </c>
      <c r="W164" s="118"/>
      <c r="X164" s="113"/>
      <c r="Y164" s="117">
        <f t="shared" si="12"/>
        <v>42157</v>
      </c>
      <c r="Z164" s="117">
        <v>42346</v>
      </c>
      <c r="AA164" s="161" t="str">
        <f t="shared" ca="1" si="13"/>
        <v>NO</v>
      </c>
      <c r="AB164" s="113"/>
      <c r="AC164" s="117">
        <v>42123</v>
      </c>
      <c r="AD164" s="111"/>
      <c r="AE164" s="111"/>
      <c r="AF164" s="111" t="str">
        <f t="shared" ca="1" si="14"/>
        <v/>
      </c>
      <c r="AG164" s="162"/>
      <c r="AH164" s="162"/>
      <c r="AI164" s="164">
        <f t="shared" si="15"/>
        <v>0</v>
      </c>
      <c r="AJ164" s="118"/>
      <c r="AK164" s="113" t="s">
        <v>685</v>
      </c>
      <c r="AL164" s="118" t="s">
        <v>686</v>
      </c>
      <c r="AM164" s="165" t="str">
        <f t="shared" si="16"/>
        <v>15010 Bioamber</v>
      </c>
      <c r="AN164" s="165" t="str">
        <f t="shared" si="17"/>
        <v>15010 Bioamber : hard rubber lining leaks</v>
      </c>
    </row>
    <row r="165" spans="1:40" s="76" customFormat="1" ht="13" hidden="1" x14ac:dyDescent="0.3">
      <c r="A165" s="122" t="s">
        <v>687</v>
      </c>
      <c r="B165" s="116">
        <v>15011</v>
      </c>
      <c r="C165" s="113" t="s">
        <v>4</v>
      </c>
      <c r="D165" s="117">
        <v>42065</v>
      </c>
      <c r="E165" s="118" t="s">
        <v>221</v>
      </c>
      <c r="F165" s="118" t="s">
        <v>164</v>
      </c>
      <c r="G165" s="111" t="s">
        <v>682</v>
      </c>
      <c r="H165" s="111"/>
      <c r="I165" s="119" t="s">
        <v>2057</v>
      </c>
      <c r="J165" s="113"/>
      <c r="K165" s="118">
        <v>1973</v>
      </c>
      <c r="L165" s="118">
        <v>9323</v>
      </c>
      <c r="M165" s="118" t="s">
        <v>13</v>
      </c>
      <c r="N165" s="120" t="s">
        <v>688</v>
      </c>
      <c r="O165" s="111" t="s">
        <v>29</v>
      </c>
      <c r="P165" s="111" t="s">
        <v>86</v>
      </c>
      <c r="Q165" s="111" t="s">
        <v>522</v>
      </c>
      <c r="R165" s="111" t="s">
        <v>9</v>
      </c>
      <c r="S165" s="111"/>
      <c r="T165" s="118"/>
      <c r="U165" s="64">
        <v>42153</v>
      </c>
      <c r="V165" s="158" t="s">
        <v>10</v>
      </c>
      <c r="W165" s="118"/>
      <c r="X165" s="113"/>
      <c r="Y165" s="117">
        <f t="shared" si="12"/>
        <v>42157</v>
      </c>
      <c r="Z165" s="117">
        <v>42257</v>
      </c>
      <c r="AA165" s="161" t="str">
        <f t="shared" ca="1" si="13"/>
        <v>NO</v>
      </c>
      <c r="AB165" s="113"/>
      <c r="AC165" s="117"/>
      <c r="AD165" s="111"/>
      <c r="AE165" s="111"/>
      <c r="AF165" s="111" t="str">
        <f t="shared" ca="1" si="14"/>
        <v>N/A</v>
      </c>
      <c r="AG165" s="162"/>
      <c r="AH165" s="162"/>
      <c r="AI165" s="164">
        <f t="shared" si="15"/>
        <v>0</v>
      </c>
      <c r="AJ165" s="118" t="s">
        <v>6</v>
      </c>
      <c r="AK165" s="113">
        <v>42550</v>
      </c>
      <c r="AL165" s="118"/>
      <c r="AM165" s="165" t="str">
        <f t="shared" si="16"/>
        <v>15011 Bioamber</v>
      </c>
      <c r="AN165" s="165" t="str">
        <f t="shared" si="17"/>
        <v>15011 Bioamber : no backwash tank on PID</v>
      </c>
    </row>
    <row r="166" spans="1:40" s="76" customFormat="1" ht="13" hidden="1" x14ac:dyDescent="0.3">
      <c r="A166" s="122" t="s">
        <v>689</v>
      </c>
      <c r="B166" s="116">
        <v>15012</v>
      </c>
      <c r="C166" s="113" t="s">
        <v>4</v>
      </c>
      <c r="D166" s="117">
        <v>42068</v>
      </c>
      <c r="E166" s="118" t="s">
        <v>690</v>
      </c>
      <c r="F166" s="118" t="s">
        <v>691</v>
      </c>
      <c r="G166" s="111" t="s">
        <v>692</v>
      </c>
      <c r="H166" s="111"/>
      <c r="I166" s="119" t="s">
        <v>2057</v>
      </c>
      <c r="J166" s="113"/>
      <c r="K166" s="118">
        <v>1945</v>
      </c>
      <c r="L166" s="118">
        <v>9918</v>
      </c>
      <c r="M166" s="118" t="s">
        <v>13</v>
      </c>
      <c r="N166" s="120" t="s">
        <v>693</v>
      </c>
      <c r="O166" s="111" t="s">
        <v>29</v>
      </c>
      <c r="P166" s="111" t="s">
        <v>157</v>
      </c>
      <c r="Q166" s="111" t="s">
        <v>613</v>
      </c>
      <c r="R166" s="111" t="s">
        <v>15</v>
      </c>
      <c r="S166" s="111"/>
      <c r="T166" s="118"/>
      <c r="U166" s="64">
        <v>42086</v>
      </c>
      <c r="V166" s="158" t="s">
        <v>10</v>
      </c>
      <c r="W166" s="118"/>
      <c r="X166" s="113"/>
      <c r="Y166" s="117">
        <f t="shared" si="12"/>
        <v>42160</v>
      </c>
      <c r="Z166" s="117">
        <v>42143</v>
      </c>
      <c r="AA166" s="161" t="str">
        <f t="shared" ca="1" si="13"/>
        <v>YES</v>
      </c>
      <c r="AB166" s="113"/>
      <c r="AC166" s="117"/>
      <c r="AD166" s="111"/>
      <c r="AE166" s="111"/>
      <c r="AF166" s="111" t="str">
        <f t="shared" ca="1" si="14"/>
        <v>N/A</v>
      </c>
      <c r="AG166" s="162"/>
      <c r="AH166" s="162"/>
      <c r="AI166" s="164">
        <f t="shared" si="15"/>
        <v>0</v>
      </c>
      <c r="AJ166" s="118" t="s">
        <v>6</v>
      </c>
      <c r="AK166" s="113">
        <v>42683</v>
      </c>
      <c r="AL166" s="118"/>
      <c r="AM166" s="165" t="str">
        <f t="shared" si="16"/>
        <v>15012 Central Romana</v>
      </c>
      <c r="AN166" s="165" t="str">
        <f t="shared" si="17"/>
        <v>15012 Central Romana : Ecart nbre de pompe figurant dans l'offre/fourni</v>
      </c>
    </row>
    <row r="167" spans="1:40" s="76" customFormat="1" ht="13" hidden="1" x14ac:dyDescent="0.3">
      <c r="A167" s="122" t="s">
        <v>694</v>
      </c>
      <c r="B167" s="130">
        <v>15013</v>
      </c>
      <c r="C167" s="131" t="s">
        <v>4</v>
      </c>
      <c r="D167" s="132">
        <v>42074</v>
      </c>
      <c r="E167" s="133" t="s">
        <v>273</v>
      </c>
      <c r="F167" s="133" t="s">
        <v>658</v>
      </c>
      <c r="G167" s="134" t="s">
        <v>401</v>
      </c>
      <c r="H167" s="134"/>
      <c r="I167" s="135" t="s">
        <v>5</v>
      </c>
      <c r="J167" s="136"/>
      <c r="K167" s="118" t="s">
        <v>454</v>
      </c>
      <c r="L167" s="137" t="s">
        <v>695</v>
      </c>
      <c r="M167" s="137" t="s">
        <v>16</v>
      </c>
      <c r="N167" s="138" t="s">
        <v>696</v>
      </c>
      <c r="O167" s="139" t="s">
        <v>28</v>
      </c>
      <c r="P167" s="139" t="s">
        <v>103</v>
      </c>
      <c r="Q167" s="139" t="s">
        <v>634</v>
      </c>
      <c r="R167" s="139" t="s">
        <v>145</v>
      </c>
      <c r="S167" s="139"/>
      <c r="T167" s="137"/>
      <c r="U167" s="65"/>
      <c r="V167" s="173"/>
      <c r="W167" s="137"/>
      <c r="X167" s="136"/>
      <c r="Y167" s="174">
        <f t="shared" si="12"/>
        <v>42166</v>
      </c>
      <c r="Z167" s="174" t="s">
        <v>697</v>
      </c>
      <c r="AA167" s="175" t="str">
        <f t="shared" ca="1" si="13"/>
        <v>NO</v>
      </c>
      <c r="AB167" s="131"/>
      <c r="AC167" s="174"/>
      <c r="AD167" s="139"/>
      <c r="AE167" s="139"/>
      <c r="AF167" s="139" t="str">
        <f t="shared" ca="1" si="14"/>
        <v/>
      </c>
      <c r="AG167" s="176"/>
      <c r="AH167" s="177"/>
      <c r="AI167" s="178">
        <f t="shared" si="15"/>
        <v>0</v>
      </c>
      <c r="AJ167" s="137"/>
      <c r="AK167" s="136"/>
      <c r="AL167" s="137"/>
      <c r="AM167" s="179" t="str">
        <f t="shared" si="16"/>
        <v>15013 GSK Bio Hamilton (NVS Inc)</v>
      </c>
      <c r="AN167" s="179" t="str">
        <f t="shared" si="17"/>
        <v>15013 GSK Bio Hamilton (NVS Inc) : Tenue étanchement mbre kerasep</v>
      </c>
    </row>
    <row r="168" spans="1:40" s="76" customFormat="1" ht="13" hidden="1" x14ac:dyDescent="0.3">
      <c r="A168" s="122" t="s">
        <v>698</v>
      </c>
      <c r="B168" s="116">
        <v>15014</v>
      </c>
      <c r="C168" s="113" t="s">
        <v>4</v>
      </c>
      <c r="D168" s="117">
        <v>42080</v>
      </c>
      <c r="E168" s="118" t="s">
        <v>153</v>
      </c>
      <c r="F168" s="118" t="s">
        <v>691</v>
      </c>
      <c r="G168" s="111" t="s">
        <v>699</v>
      </c>
      <c r="H168" s="111"/>
      <c r="I168" s="119" t="s">
        <v>2057</v>
      </c>
      <c r="J168" s="113"/>
      <c r="K168" s="118" t="s">
        <v>454</v>
      </c>
      <c r="L168" s="118">
        <v>20.105029999999999</v>
      </c>
      <c r="M168" s="118" t="s">
        <v>700</v>
      </c>
      <c r="N168" s="120" t="s">
        <v>701</v>
      </c>
      <c r="O168" s="111" t="s">
        <v>29</v>
      </c>
      <c r="P168" s="111" t="s">
        <v>157</v>
      </c>
      <c r="Q168" s="111" t="s">
        <v>613</v>
      </c>
      <c r="R168" s="111" t="s">
        <v>15</v>
      </c>
      <c r="S168" s="111"/>
      <c r="T168" s="118"/>
      <c r="U168" s="64">
        <v>42081</v>
      </c>
      <c r="V168" s="158" t="s">
        <v>10</v>
      </c>
      <c r="W168" s="118"/>
      <c r="X168" s="113"/>
      <c r="Y168" s="117">
        <f t="shared" si="12"/>
        <v>42172</v>
      </c>
      <c r="Z168" s="117">
        <v>42163</v>
      </c>
      <c r="AA168" s="161" t="str">
        <f t="shared" ca="1" si="13"/>
        <v>YES</v>
      </c>
      <c r="AB168" s="113"/>
      <c r="AC168" s="117"/>
      <c r="AD168" s="111"/>
      <c r="AE168" s="111"/>
      <c r="AF168" s="111" t="str">
        <f t="shared" ca="1" si="14"/>
        <v>N/A</v>
      </c>
      <c r="AG168" s="162"/>
      <c r="AH168" s="162"/>
      <c r="AI168" s="164">
        <f t="shared" si="15"/>
        <v>0</v>
      </c>
      <c r="AJ168" s="118" t="s">
        <v>6</v>
      </c>
      <c r="AK168" s="113">
        <v>42683</v>
      </c>
      <c r="AL168" s="118"/>
      <c r="AM168" s="165" t="str">
        <f t="shared" si="16"/>
        <v>15014 Arab Sweeteners</v>
      </c>
      <c r="AN168" s="165" t="str">
        <f t="shared" si="17"/>
        <v>15014 Arab Sweeteners : erreur estimatif OPEX</v>
      </c>
    </row>
    <row r="169" spans="1:40" s="76" customFormat="1" ht="13" hidden="1" x14ac:dyDescent="0.3">
      <c r="A169" s="122" t="s">
        <v>702</v>
      </c>
      <c r="B169" s="116">
        <v>15015</v>
      </c>
      <c r="C169" s="113" t="s">
        <v>4</v>
      </c>
      <c r="D169" s="117">
        <v>42086</v>
      </c>
      <c r="E169" s="118" t="s">
        <v>221</v>
      </c>
      <c r="F169" s="118" t="s">
        <v>164</v>
      </c>
      <c r="G169" s="111" t="s">
        <v>656</v>
      </c>
      <c r="H169" s="111" t="s">
        <v>563</v>
      </c>
      <c r="I169" s="119" t="s">
        <v>2057</v>
      </c>
      <c r="J169" s="113" t="s">
        <v>6</v>
      </c>
      <c r="K169" s="118">
        <v>8101</v>
      </c>
      <c r="L169" s="118" t="s">
        <v>703</v>
      </c>
      <c r="M169" s="118" t="s">
        <v>18</v>
      </c>
      <c r="N169" s="120" t="s">
        <v>704</v>
      </c>
      <c r="O169" s="111" t="s">
        <v>29</v>
      </c>
      <c r="P169" s="111" t="s">
        <v>86</v>
      </c>
      <c r="Q169" s="111" t="s">
        <v>522</v>
      </c>
      <c r="R169" s="111" t="s">
        <v>145</v>
      </c>
      <c r="S169" s="111"/>
      <c r="T169" s="118"/>
      <c r="U169" s="64">
        <v>42135</v>
      </c>
      <c r="V169" s="158" t="s">
        <v>10</v>
      </c>
      <c r="W169" s="118"/>
      <c r="X169" s="113"/>
      <c r="Y169" s="117">
        <f t="shared" si="12"/>
        <v>42178</v>
      </c>
      <c r="Z169" s="117">
        <v>42299</v>
      </c>
      <c r="AA169" s="161" t="str">
        <f t="shared" ca="1" si="13"/>
        <v>NO</v>
      </c>
      <c r="AB169" s="113"/>
      <c r="AC169" s="117"/>
      <c r="AD169" s="111"/>
      <c r="AE169" s="111"/>
      <c r="AF169" s="111" t="str">
        <f t="shared" ca="1" si="14"/>
        <v>N/A</v>
      </c>
      <c r="AG169" s="162"/>
      <c r="AH169" s="162"/>
      <c r="AI169" s="164">
        <f t="shared" si="15"/>
        <v>0</v>
      </c>
      <c r="AJ169" s="118" t="s">
        <v>6</v>
      </c>
      <c r="AK169" s="113">
        <v>42550</v>
      </c>
      <c r="AL169" s="118" t="s">
        <v>705</v>
      </c>
      <c r="AM169" s="165" t="str">
        <f t="shared" si="16"/>
        <v>15015 Tunisie sucre</v>
      </c>
      <c r="AN169" s="165" t="str">
        <f t="shared" si="17"/>
        <v>15015 Tunisie sucre : Déformation bouchon Tube de pression</v>
      </c>
    </row>
    <row r="170" spans="1:40" s="76" customFormat="1" ht="13" hidden="1" x14ac:dyDescent="0.3">
      <c r="A170" s="122" t="s">
        <v>706</v>
      </c>
      <c r="B170" s="116">
        <v>15016</v>
      </c>
      <c r="C170" s="113" t="s">
        <v>4</v>
      </c>
      <c r="D170" s="117">
        <v>42104</v>
      </c>
      <c r="E170" s="118" t="s">
        <v>82</v>
      </c>
      <c r="F170" s="118" t="s">
        <v>658</v>
      </c>
      <c r="G170" s="111" t="s">
        <v>707</v>
      </c>
      <c r="H170" s="111" t="s">
        <v>708</v>
      </c>
      <c r="I170" s="119" t="s">
        <v>5</v>
      </c>
      <c r="J170" s="113"/>
      <c r="K170" s="118" t="s">
        <v>454</v>
      </c>
      <c r="L170" s="118" t="s">
        <v>709</v>
      </c>
      <c r="M170" s="118" t="s">
        <v>7</v>
      </c>
      <c r="N170" s="120" t="s">
        <v>710</v>
      </c>
      <c r="O170" s="111" t="s">
        <v>28</v>
      </c>
      <c r="P170" s="111" t="s">
        <v>103</v>
      </c>
      <c r="Q170" s="111"/>
      <c r="R170" s="111" t="s">
        <v>9</v>
      </c>
      <c r="S170" s="111"/>
      <c r="T170" s="118"/>
      <c r="U170" s="64">
        <v>42087</v>
      </c>
      <c r="V170" s="158" t="s">
        <v>10</v>
      </c>
      <c r="W170" s="118"/>
      <c r="X170" s="113"/>
      <c r="Y170" s="117">
        <f t="shared" si="12"/>
        <v>42195</v>
      </c>
      <c r="Z170" s="117">
        <v>42159</v>
      </c>
      <c r="AA170" s="161" t="str">
        <f t="shared" ca="1" si="13"/>
        <v>YES</v>
      </c>
      <c r="AB170" s="113"/>
      <c r="AC170" s="117">
        <v>42087</v>
      </c>
      <c r="AD170" s="111"/>
      <c r="AE170" s="111"/>
      <c r="AF170" s="111" t="str">
        <f t="shared" ca="1" si="14"/>
        <v/>
      </c>
      <c r="AG170" s="162"/>
      <c r="AH170" s="162"/>
      <c r="AI170" s="164">
        <f t="shared" si="15"/>
        <v>0</v>
      </c>
      <c r="AJ170" s="118" t="s">
        <v>6</v>
      </c>
      <c r="AK170" s="113">
        <v>42681</v>
      </c>
      <c r="AL170" s="118" t="s">
        <v>711</v>
      </c>
      <c r="AM170" s="165" t="str">
        <f t="shared" si="16"/>
        <v>15016 Sofivo</v>
      </c>
      <c r="AN170" s="165" t="str">
        <f t="shared" si="17"/>
        <v>15016 Sofivo : Aspect visuel et fonctionnement stacks neufs</v>
      </c>
    </row>
    <row r="171" spans="1:40" s="76" customFormat="1" ht="13" hidden="1" x14ac:dyDescent="0.3">
      <c r="A171" s="122" t="s">
        <v>712</v>
      </c>
      <c r="B171" s="116">
        <v>15017</v>
      </c>
      <c r="C171" s="113" t="s">
        <v>4</v>
      </c>
      <c r="D171" s="117">
        <v>42122</v>
      </c>
      <c r="E171" s="118" t="s">
        <v>82</v>
      </c>
      <c r="F171" s="118" t="s">
        <v>658</v>
      </c>
      <c r="G171" s="111" t="s">
        <v>713</v>
      </c>
      <c r="H171" s="111" t="s">
        <v>460</v>
      </c>
      <c r="I171" s="119" t="s">
        <v>5</v>
      </c>
      <c r="J171" s="113"/>
      <c r="K171" s="118" t="s">
        <v>454</v>
      </c>
      <c r="L171" s="118" t="s">
        <v>714</v>
      </c>
      <c r="M171" s="118" t="s">
        <v>18</v>
      </c>
      <c r="N171" s="120" t="s">
        <v>715</v>
      </c>
      <c r="O171" s="111" t="s">
        <v>28</v>
      </c>
      <c r="P171" s="111" t="s">
        <v>103</v>
      </c>
      <c r="Q171" s="111"/>
      <c r="R171" s="111" t="s">
        <v>145</v>
      </c>
      <c r="S171" s="111"/>
      <c r="T171" s="129" t="s">
        <v>460</v>
      </c>
      <c r="U171" s="64">
        <v>42151</v>
      </c>
      <c r="V171" s="158" t="s">
        <v>6</v>
      </c>
      <c r="W171" s="118" t="s">
        <v>82</v>
      </c>
      <c r="X171" s="113"/>
      <c r="Y171" s="117">
        <f t="shared" si="12"/>
        <v>42213</v>
      </c>
      <c r="Z171" s="117">
        <v>42212</v>
      </c>
      <c r="AA171" s="161" t="str">
        <f t="shared" ca="1" si="13"/>
        <v>YES</v>
      </c>
      <c r="AB171" s="113"/>
      <c r="AC171" s="117">
        <v>42151</v>
      </c>
      <c r="AD171" s="111"/>
      <c r="AE171" s="111"/>
      <c r="AF171" s="111" t="str">
        <f t="shared" ca="1" si="14"/>
        <v/>
      </c>
      <c r="AG171" s="162"/>
      <c r="AH171" s="162"/>
      <c r="AI171" s="164">
        <f t="shared" si="15"/>
        <v>0</v>
      </c>
      <c r="AJ171" s="118" t="s">
        <v>6</v>
      </c>
      <c r="AK171" s="113">
        <v>42549</v>
      </c>
      <c r="AL171" s="118"/>
      <c r="AM171" s="165" t="str">
        <f t="shared" si="16"/>
        <v>15017 SEDAMYL</v>
      </c>
      <c r="AN171" s="165" t="str">
        <f t="shared" si="17"/>
        <v>15017 SEDAMYL : Emballage abimé</v>
      </c>
    </row>
    <row r="172" spans="1:40" s="76" customFormat="1" ht="13" hidden="1" x14ac:dyDescent="0.3">
      <c r="A172" s="122" t="s">
        <v>716</v>
      </c>
      <c r="B172" s="116">
        <v>15018</v>
      </c>
      <c r="C172" s="113" t="s">
        <v>4</v>
      </c>
      <c r="D172" s="117">
        <v>42122</v>
      </c>
      <c r="E172" s="118" t="s">
        <v>82</v>
      </c>
      <c r="F172" s="118" t="s">
        <v>658</v>
      </c>
      <c r="G172" s="111" t="s">
        <v>717</v>
      </c>
      <c r="H172" s="111" t="s">
        <v>309</v>
      </c>
      <c r="I172" s="119" t="s">
        <v>2056</v>
      </c>
      <c r="J172" s="113" t="s">
        <v>6</v>
      </c>
      <c r="K172" s="118">
        <v>1997</v>
      </c>
      <c r="L172" s="118">
        <v>10390</v>
      </c>
      <c r="M172" s="118" t="s">
        <v>718</v>
      </c>
      <c r="N172" s="120" t="s">
        <v>719</v>
      </c>
      <c r="O172" s="111" t="s">
        <v>28</v>
      </c>
      <c r="P172" s="111" t="s">
        <v>103</v>
      </c>
      <c r="Q172" s="111"/>
      <c r="R172" s="111" t="s">
        <v>145</v>
      </c>
      <c r="S172" s="111"/>
      <c r="T172" s="129" t="s">
        <v>309</v>
      </c>
      <c r="U172" s="64">
        <v>42122</v>
      </c>
      <c r="V172" s="158" t="s">
        <v>6</v>
      </c>
      <c r="W172" s="118" t="s">
        <v>82</v>
      </c>
      <c r="X172" s="113"/>
      <c r="Y172" s="117">
        <f t="shared" si="12"/>
        <v>42213</v>
      </c>
      <c r="Z172" s="117">
        <v>42191</v>
      </c>
      <c r="AA172" s="161" t="str">
        <f t="shared" ca="1" si="13"/>
        <v>YES</v>
      </c>
      <c r="AB172" s="113"/>
      <c r="AC172" s="117"/>
      <c r="AD172" s="111"/>
      <c r="AE172" s="111"/>
      <c r="AF172" s="111" t="str">
        <f t="shared" ca="1" si="14"/>
        <v>N/A</v>
      </c>
      <c r="AG172" s="162"/>
      <c r="AH172" s="162"/>
      <c r="AI172" s="164">
        <f t="shared" si="15"/>
        <v>0</v>
      </c>
      <c r="AJ172" s="118" t="s">
        <v>6</v>
      </c>
      <c r="AK172" s="113">
        <v>42549</v>
      </c>
      <c r="AL172" s="118"/>
      <c r="AM172" s="165" t="str">
        <f t="shared" si="16"/>
        <v xml:space="preserve">15018 Sunpaper </v>
      </c>
      <c r="AN172" s="165" t="str">
        <f t="shared" si="17"/>
        <v>15018 Sunpaper  : Retard livraison résine</v>
      </c>
    </row>
    <row r="173" spans="1:40" s="76" customFormat="1" ht="13" hidden="1" x14ac:dyDescent="0.3">
      <c r="A173" s="122" t="s">
        <v>720</v>
      </c>
      <c r="B173" s="116">
        <v>15019</v>
      </c>
      <c r="C173" s="113" t="s">
        <v>4</v>
      </c>
      <c r="D173" s="117">
        <v>42129</v>
      </c>
      <c r="E173" s="118" t="s">
        <v>239</v>
      </c>
      <c r="F173" s="118" t="s">
        <v>164</v>
      </c>
      <c r="G173" s="111" t="s">
        <v>649</v>
      </c>
      <c r="H173" s="111" t="s">
        <v>653</v>
      </c>
      <c r="I173" s="119" t="s">
        <v>2056</v>
      </c>
      <c r="J173" s="113"/>
      <c r="K173" s="118">
        <v>1987</v>
      </c>
      <c r="L173" s="118">
        <v>8023</v>
      </c>
      <c r="M173" s="118" t="s">
        <v>13</v>
      </c>
      <c r="N173" s="120" t="s">
        <v>721</v>
      </c>
      <c r="O173" s="111" t="s">
        <v>29</v>
      </c>
      <c r="P173" s="111" t="s">
        <v>86</v>
      </c>
      <c r="Q173" s="111" t="s">
        <v>522</v>
      </c>
      <c r="R173" s="111" t="s">
        <v>145</v>
      </c>
      <c r="S173" s="111"/>
      <c r="T173" s="118"/>
      <c r="U173" s="64">
        <v>42130</v>
      </c>
      <c r="V173" s="158" t="s">
        <v>6</v>
      </c>
      <c r="W173" s="118" t="s">
        <v>120</v>
      </c>
      <c r="X173" s="113"/>
      <c r="Y173" s="117">
        <f t="shared" si="12"/>
        <v>42221</v>
      </c>
      <c r="Z173" s="117">
        <v>42201</v>
      </c>
      <c r="AA173" s="161" t="str">
        <f t="shared" ca="1" si="13"/>
        <v>YES</v>
      </c>
      <c r="AB173" s="113"/>
      <c r="AC173" s="117"/>
      <c r="AD173" s="111"/>
      <c r="AE173" s="111"/>
      <c r="AF173" s="111" t="str">
        <f t="shared" ca="1" si="14"/>
        <v>N/A</v>
      </c>
      <c r="AG173" s="162"/>
      <c r="AH173" s="162"/>
      <c r="AI173" s="164">
        <f t="shared" si="15"/>
        <v>0</v>
      </c>
      <c r="AJ173" s="118" t="s">
        <v>6</v>
      </c>
      <c r="AK173" s="113">
        <v>42682</v>
      </c>
      <c r="AL173" s="118"/>
      <c r="AM173" s="165" t="str">
        <f t="shared" si="16"/>
        <v>15019 Solanic</v>
      </c>
      <c r="AN173" s="165" t="str">
        <f t="shared" si="17"/>
        <v>15019 Solanic : Alignement tuyauterie</v>
      </c>
    </row>
    <row r="174" spans="1:40" s="76" customFormat="1" ht="13" hidden="1" x14ac:dyDescent="0.3">
      <c r="A174" s="122" t="s">
        <v>722</v>
      </c>
      <c r="B174" s="116">
        <v>15020</v>
      </c>
      <c r="C174" s="113" t="s">
        <v>4</v>
      </c>
      <c r="D174" s="117">
        <v>42129</v>
      </c>
      <c r="E174" s="118" t="s">
        <v>239</v>
      </c>
      <c r="F174" s="118" t="s">
        <v>164</v>
      </c>
      <c r="G174" s="111" t="s">
        <v>649</v>
      </c>
      <c r="H174" s="111"/>
      <c r="I174" s="119" t="s">
        <v>2057</v>
      </c>
      <c r="J174" s="113"/>
      <c r="K174" s="118">
        <v>1987</v>
      </c>
      <c r="L174" s="118">
        <v>8023</v>
      </c>
      <c r="M174" s="118" t="s">
        <v>13</v>
      </c>
      <c r="N174" s="120" t="s">
        <v>723</v>
      </c>
      <c r="O174" s="111" t="s">
        <v>29</v>
      </c>
      <c r="P174" s="111" t="s">
        <v>86</v>
      </c>
      <c r="Q174" s="111" t="s">
        <v>522</v>
      </c>
      <c r="R174" s="111" t="s">
        <v>9</v>
      </c>
      <c r="S174" s="111"/>
      <c r="T174" s="118"/>
      <c r="U174" s="64">
        <v>42191</v>
      </c>
      <c r="V174" s="158" t="s">
        <v>6</v>
      </c>
      <c r="W174" s="118" t="s">
        <v>120</v>
      </c>
      <c r="X174" s="113"/>
      <c r="Y174" s="117">
        <f t="shared" si="12"/>
        <v>42221</v>
      </c>
      <c r="Z174" s="117">
        <v>42192</v>
      </c>
      <c r="AA174" s="161" t="str">
        <f t="shared" ca="1" si="13"/>
        <v>YES</v>
      </c>
      <c r="AB174" s="113"/>
      <c r="AC174" s="117"/>
      <c r="AD174" s="111"/>
      <c r="AE174" s="111"/>
      <c r="AF174" s="111" t="str">
        <f t="shared" ca="1" si="14"/>
        <v>N/A</v>
      </c>
      <c r="AG174" s="162"/>
      <c r="AH174" s="162"/>
      <c r="AI174" s="164">
        <f t="shared" si="15"/>
        <v>0</v>
      </c>
      <c r="AJ174" s="118" t="s">
        <v>6</v>
      </c>
      <c r="AK174" s="113">
        <v>42682</v>
      </c>
      <c r="AL174" s="118"/>
      <c r="AM174" s="165" t="str">
        <f t="shared" si="16"/>
        <v>15020 Solanic</v>
      </c>
      <c r="AN174" s="165" t="str">
        <f t="shared" si="17"/>
        <v>15020 Solanic : Joint sur-contraints</v>
      </c>
    </row>
    <row r="175" spans="1:40" s="76" customFormat="1" ht="13" hidden="1" x14ac:dyDescent="0.3">
      <c r="A175" s="122" t="s">
        <v>724</v>
      </c>
      <c r="B175" s="116">
        <v>15021</v>
      </c>
      <c r="C175" s="113" t="s">
        <v>4</v>
      </c>
      <c r="D175" s="117">
        <v>42129</v>
      </c>
      <c r="E175" s="118" t="s">
        <v>239</v>
      </c>
      <c r="F175" s="118" t="s">
        <v>164</v>
      </c>
      <c r="G175" s="111" t="s">
        <v>649</v>
      </c>
      <c r="H175" s="111"/>
      <c r="I175" s="119" t="s">
        <v>2057</v>
      </c>
      <c r="J175" s="113"/>
      <c r="K175" s="118">
        <v>1987</v>
      </c>
      <c r="L175" s="118">
        <v>8023</v>
      </c>
      <c r="M175" s="118" t="s">
        <v>13</v>
      </c>
      <c r="N175" s="120" t="s">
        <v>725</v>
      </c>
      <c r="O175" s="111" t="s">
        <v>29</v>
      </c>
      <c r="P175" s="111" t="s">
        <v>86</v>
      </c>
      <c r="Q175" s="111" t="s">
        <v>522</v>
      </c>
      <c r="R175" s="111" t="s">
        <v>15</v>
      </c>
      <c r="S175" s="111"/>
      <c r="T175" s="118"/>
      <c r="U175" s="64">
        <v>42130</v>
      </c>
      <c r="V175" s="158" t="s">
        <v>10</v>
      </c>
      <c r="W175" s="118"/>
      <c r="X175" s="113"/>
      <c r="Y175" s="117">
        <f t="shared" si="12"/>
        <v>42221</v>
      </c>
      <c r="Z175" s="117">
        <v>42192</v>
      </c>
      <c r="AA175" s="161" t="str">
        <f t="shared" ca="1" si="13"/>
        <v>YES</v>
      </c>
      <c r="AB175" s="113"/>
      <c r="AC175" s="117"/>
      <c r="AD175" s="111"/>
      <c r="AE175" s="111"/>
      <c r="AF175" s="111" t="str">
        <f t="shared" ca="1" si="14"/>
        <v>N/A</v>
      </c>
      <c r="AG175" s="162"/>
      <c r="AH175" s="162"/>
      <c r="AI175" s="164">
        <f t="shared" si="15"/>
        <v>0</v>
      </c>
      <c r="AJ175" s="118" t="s">
        <v>6</v>
      </c>
      <c r="AK175" s="113">
        <v>42682</v>
      </c>
      <c r="AL175" s="118"/>
      <c r="AM175" s="165" t="str">
        <f t="shared" si="16"/>
        <v>15021 Solanic</v>
      </c>
      <c r="AN175" s="165" t="str">
        <f t="shared" si="17"/>
        <v>15021 Solanic : Vidangeabilité tuyauterie</v>
      </c>
    </row>
    <row r="176" spans="1:40" s="76" customFormat="1" ht="13" hidden="1" x14ac:dyDescent="0.3">
      <c r="A176" s="122" t="s">
        <v>726</v>
      </c>
      <c r="B176" s="116">
        <v>15022</v>
      </c>
      <c r="C176" s="113" t="s">
        <v>4</v>
      </c>
      <c r="D176" s="117">
        <v>42163</v>
      </c>
      <c r="E176" s="118" t="s">
        <v>441</v>
      </c>
      <c r="F176" s="118" t="s">
        <v>8</v>
      </c>
      <c r="G176" s="111" t="s">
        <v>610</v>
      </c>
      <c r="H176" s="111"/>
      <c r="I176" s="119" t="s">
        <v>2057</v>
      </c>
      <c r="J176" s="113"/>
      <c r="K176" s="118">
        <v>1992</v>
      </c>
      <c r="L176" s="118">
        <v>10129</v>
      </c>
      <c r="M176" s="118" t="s">
        <v>13</v>
      </c>
      <c r="N176" s="120" t="s">
        <v>727</v>
      </c>
      <c r="O176" s="111" t="s">
        <v>29</v>
      </c>
      <c r="P176" s="111" t="s">
        <v>86</v>
      </c>
      <c r="Q176" s="111" t="s">
        <v>522</v>
      </c>
      <c r="R176" s="111" t="s">
        <v>9</v>
      </c>
      <c r="S176" s="111"/>
      <c r="T176" s="118"/>
      <c r="U176" s="64">
        <v>42163</v>
      </c>
      <c r="V176" s="158" t="s">
        <v>6</v>
      </c>
      <c r="W176" s="118" t="s">
        <v>120</v>
      </c>
      <c r="X176" s="113"/>
      <c r="Y176" s="117">
        <f t="shared" si="12"/>
        <v>42255</v>
      </c>
      <c r="Z176" s="117">
        <v>42241</v>
      </c>
      <c r="AA176" s="161" t="str">
        <f t="shared" ca="1" si="13"/>
        <v>YES</v>
      </c>
      <c r="AB176" s="113"/>
      <c r="AC176" s="117"/>
      <c r="AD176" s="111"/>
      <c r="AE176" s="111"/>
      <c r="AF176" s="111" t="str">
        <f t="shared" ca="1" si="14"/>
        <v>N/A</v>
      </c>
      <c r="AG176" s="162"/>
      <c r="AH176" s="162"/>
      <c r="AI176" s="164">
        <f t="shared" si="15"/>
        <v>0</v>
      </c>
      <c r="AJ176" s="118" t="s">
        <v>6</v>
      </c>
      <c r="AK176" s="113">
        <v>42605</v>
      </c>
      <c r="AL176" s="118"/>
      <c r="AM176" s="165" t="str">
        <f t="shared" si="16"/>
        <v>15022 ALMASIRAH</v>
      </c>
      <c r="AN176" s="165" t="str">
        <f t="shared" si="17"/>
        <v>15022 ALMASIRAH : conflicts between strainer support and sight glass</v>
      </c>
    </row>
    <row r="177" spans="1:40" s="76" customFormat="1" ht="13" hidden="1" x14ac:dyDescent="0.3">
      <c r="A177" s="122" t="s">
        <v>728</v>
      </c>
      <c r="B177" s="116">
        <v>15023</v>
      </c>
      <c r="C177" s="113" t="s">
        <v>4</v>
      </c>
      <c r="D177" s="117">
        <v>42163</v>
      </c>
      <c r="E177" s="118" t="s">
        <v>441</v>
      </c>
      <c r="F177" s="118" t="s">
        <v>8</v>
      </c>
      <c r="G177" s="111" t="s">
        <v>610</v>
      </c>
      <c r="H177" s="111"/>
      <c r="I177" s="119" t="s">
        <v>2057</v>
      </c>
      <c r="J177" s="113"/>
      <c r="K177" s="118">
        <v>1992</v>
      </c>
      <c r="L177" s="118">
        <v>10129</v>
      </c>
      <c r="M177" s="118" t="s">
        <v>13</v>
      </c>
      <c r="N177" s="120" t="s">
        <v>729</v>
      </c>
      <c r="O177" s="111" t="s">
        <v>29</v>
      </c>
      <c r="P177" s="111" t="s">
        <v>86</v>
      </c>
      <c r="Q177" s="111" t="s">
        <v>522</v>
      </c>
      <c r="R177" s="111" t="s">
        <v>9</v>
      </c>
      <c r="S177" s="111"/>
      <c r="T177" s="118"/>
      <c r="U177" s="64">
        <v>42163</v>
      </c>
      <c r="V177" s="158" t="s">
        <v>6</v>
      </c>
      <c r="W177" s="118" t="s">
        <v>120</v>
      </c>
      <c r="X177" s="113"/>
      <c r="Y177" s="117">
        <f t="shared" si="12"/>
        <v>42255</v>
      </c>
      <c r="Z177" s="117">
        <v>42241</v>
      </c>
      <c r="AA177" s="161" t="str">
        <f t="shared" ca="1" si="13"/>
        <v>YES</v>
      </c>
      <c r="AB177" s="113"/>
      <c r="AC177" s="117"/>
      <c r="AD177" s="111"/>
      <c r="AE177" s="111"/>
      <c r="AF177" s="111" t="str">
        <f t="shared" ca="1" si="14"/>
        <v>N/A</v>
      </c>
      <c r="AG177" s="162"/>
      <c r="AH177" s="162"/>
      <c r="AI177" s="164">
        <f t="shared" si="15"/>
        <v>0</v>
      </c>
      <c r="AJ177" s="118" t="s">
        <v>6</v>
      </c>
      <c r="AK177" s="113">
        <v>42605</v>
      </c>
      <c r="AL177" s="118"/>
      <c r="AM177" s="165" t="str">
        <f t="shared" si="16"/>
        <v>15023 ALMASIRAH</v>
      </c>
      <c r="AN177" s="165" t="str">
        <f t="shared" si="17"/>
        <v>15023 ALMASIRAH : noozles arrangement (conflict with head)</v>
      </c>
    </row>
    <row r="178" spans="1:40" s="76" customFormat="1" ht="13" hidden="1" x14ac:dyDescent="0.3">
      <c r="A178" s="122" t="s">
        <v>730</v>
      </c>
      <c r="B178" s="116">
        <v>15024</v>
      </c>
      <c r="C178" s="113" t="s">
        <v>4</v>
      </c>
      <c r="D178" s="117">
        <v>42184</v>
      </c>
      <c r="E178" s="118" t="s">
        <v>319</v>
      </c>
      <c r="F178" s="118" t="s">
        <v>164</v>
      </c>
      <c r="G178" s="111" t="s">
        <v>731</v>
      </c>
      <c r="H178" s="111" t="s">
        <v>732</v>
      </c>
      <c r="I178" s="119" t="s">
        <v>2056</v>
      </c>
      <c r="J178" s="113"/>
      <c r="K178" s="118">
        <v>1944</v>
      </c>
      <c r="L178" s="118">
        <v>8410</v>
      </c>
      <c r="M178" s="118" t="s">
        <v>11</v>
      </c>
      <c r="N178" s="120" t="s">
        <v>733</v>
      </c>
      <c r="O178" s="111" t="s">
        <v>29</v>
      </c>
      <c r="P178" s="111" t="s">
        <v>86</v>
      </c>
      <c r="Q178" s="111" t="s">
        <v>522</v>
      </c>
      <c r="R178" s="111" t="s">
        <v>145</v>
      </c>
      <c r="S178" s="111"/>
      <c r="T178" s="118" t="s">
        <v>734</v>
      </c>
      <c r="U178" s="64">
        <v>42152</v>
      </c>
      <c r="V178" s="158" t="s">
        <v>10</v>
      </c>
      <c r="W178" s="118"/>
      <c r="X178" s="113"/>
      <c r="Y178" s="117">
        <f t="shared" si="12"/>
        <v>42276</v>
      </c>
      <c r="Z178" s="117">
        <v>42257</v>
      </c>
      <c r="AA178" s="161" t="str">
        <f t="shared" ca="1" si="13"/>
        <v>YES</v>
      </c>
      <c r="AB178" s="113"/>
      <c r="AC178" s="117"/>
      <c r="AD178" s="111"/>
      <c r="AE178" s="111"/>
      <c r="AF178" s="111" t="str">
        <f t="shared" ca="1" si="14"/>
        <v>N/A</v>
      </c>
      <c r="AG178" s="162"/>
      <c r="AH178" s="162"/>
      <c r="AI178" s="164">
        <f t="shared" si="15"/>
        <v>0</v>
      </c>
      <c r="AJ178" s="118" t="s">
        <v>6</v>
      </c>
      <c r="AK178" s="113">
        <v>42550</v>
      </c>
      <c r="AL178" s="118" t="s">
        <v>735</v>
      </c>
      <c r="AM178" s="165" t="str">
        <f t="shared" si="16"/>
        <v>15024 Shunangqiao5</v>
      </c>
      <c r="AN178" s="165" t="str">
        <f t="shared" si="17"/>
        <v>15024 Shunangqiao5 : défaut joints EPDM</v>
      </c>
    </row>
    <row r="179" spans="1:40" s="76" customFormat="1" ht="13" hidden="1" x14ac:dyDescent="0.3">
      <c r="A179" s="122" t="s">
        <v>736</v>
      </c>
      <c r="B179" s="116">
        <v>15025</v>
      </c>
      <c r="C179" s="113" t="s">
        <v>4</v>
      </c>
      <c r="D179" s="117">
        <v>42184</v>
      </c>
      <c r="E179" s="118" t="s">
        <v>91</v>
      </c>
      <c r="F179" s="118" t="s">
        <v>164</v>
      </c>
      <c r="G179" s="111" t="s">
        <v>692</v>
      </c>
      <c r="H179" s="111" t="s">
        <v>737</v>
      </c>
      <c r="I179" s="119" t="s">
        <v>2056</v>
      </c>
      <c r="J179" s="113"/>
      <c r="K179" s="118">
        <v>1945</v>
      </c>
      <c r="L179" s="118">
        <v>9918</v>
      </c>
      <c r="M179" s="118" t="s">
        <v>13</v>
      </c>
      <c r="N179" s="120" t="s">
        <v>738</v>
      </c>
      <c r="O179" s="111" t="s">
        <v>29</v>
      </c>
      <c r="P179" s="111" t="s">
        <v>86</v>
      </c>
      <c r="Q179" s="111" t="s">
        <v>522</v>
      </c>
      <c r="R179" s="111" t="s">
        <v>145</v>
      </c>
      <c r="S179" s="111"/>
      <c r="T179" s="118" t="s">
        <v>739</v>
      </c>
      <c r="U179" s="64">
        <v>42159</v>
      </c>
      <c r="V179" s="158" t="s">
        <v>10</v>
      </c>
      <c r="W179" s="118"/>
      <c r="X179" s="113"/>
      <c r="Y179" s="117">
        <f t="shared" si="12"/>
        <v>42276</v>
      </c>
      <c r="Z179" s="117">
        <v>42276</v>
      </c>
      <c r="AA179" s="161" t="str">
        <f t="shared" ca="1" si="13"/>
        <v>YES</v>
      </c>
      <c r="AB179" s="113"/>
      <c r="AC179" s="117"/>
      <c r="AD179" s="111"/>
      <c r="AE179" s="111"/>
      <c r="AF179" s="111" t="str">
        <f t="shared" ca="1" si="14"/>
        <v>N/A</v>
      </c>
      <c r="AG179" s="162"/>
      <c r="AH179" s="162"/>
      <c r="AI179" s="164">
        <f t="shared" si="15"/>
        <v>0</v>
      </c>
      <c r="AJ179" s="118" t="s">
        <v>6</v>
      </c>
      <c r="AK179" s="113">
        <v>42572</v>
      </c>
      <c r="AL179" s="118" t="s">
        <v>740</v>
      </c>
      <c r="AM179" s="165" t="str">
        <f t="shared" si="16"/>
        <v>15025 Central Romana</v>
      </c>
      <c r="AN179" s="165" t="str">
        <f t="shared" si="17"/>
        <v>15025 Central Romana : Pb front piping assembly</v>
      </c>
    </row>
    <row r="180" spans="1:40" s="76" customFormat="1" ht="13" hidden="1" x14ac:dyDescent="0.3">
      <c r="A180" s="122" t="s">
        <v>741</v>
      </c>
      <c r="B180" s="116">
        <v>15026</v>
      </c>
      <c r="C180" s="113" t="s">
        <v>4</v>
      </c>
      <c r="D180" s="117">
        <v>42187</v>
      </c>
      <c r="E180" s="118" t="s">
        <v>335</v>
      </c>
      <c r="F180" s="118" t="s">
        <v>164</v>
      </c>
      <c r="G180" s="111" t="s">
        <v>742</v>
      </c>
      <c r="H180" s="111"/>
      <c r="I180" s="119" t="s">
        <v>2057</v>
      </c>
      <c r="J180" s="113"/>
      <c r="K180" s="118">
        <v>1983</v>
      </c>
      <c r="L180" s="118">
        <v>9574</v>
      </c>
      <c r="M180" s="118" t="s">
        <v>13</v>
      </c>
      <c r="N180" s="120" t="s">
        <v>743</v>
      </c>
      <c r="O180" s="111" t="s">
        <v>29</v>
      </c>
      <c r="P180" s="111" t="s">
        <v>86</v>
      </c>
      <c r="Q180" s="111" t="s">
        <v>605</v>
      </c>
      <c r="R180" s="111" t="s">
        <v>9</v>
      </c>
      <c r="S180" s="111"/>
      <c r="T180" s="118"/>
      <c r="U180" s="64">
        <v>42185</v>
      </c>
      <c r="V180" s="158" t="s">
        <v>10</v>
      </c>
      <c r="W180" s="118"/>
      <c r="X180" s="113"/>
      <c r="Y180" s="117">
        <f t="shared" si="12"/>
        <v>42279</v>
      </c>
      <c r="Z180" s="117">
        <v>42269</v>
      </c>
      <c r="AA180" s="161" t="str">
        <f t="shared" ca="1" si="13"/>
        <v>YES</v>
      </c>
      <c r="AB180" s="113"/>
      <c r="AC180" s="117"/>
      <c r="AD180" s="111"/>
      <c r="AE180" s="111"/>
      <c r="AF180" s="111" t="str">
        <f t="shared" ca="1" si="14"/>
        <v>N/A</v>
      </c>
      <c r="AG180" s="162"/>
      <c r="AH180" s="162"/>
      <c r="AI180" s="164">
        <f t="shared" si="15"/>
        <v>0</v>
      </c>
      <c r="AJ180" s="118" t="s">
        <v>6</v>
      </c>
      <c r="AK180" s="113">
        <v>42628</v>
      </c>
      <c r="AL180" s="118"/>
      <c r="AM180" s="165" t="str">
        <f t="shared" si="16"/>
        <v>15026 Scents</v>
      </c>
      <c r="AN180" s="165" t="str">
        <f t="shared" si="17"/>
        <v>15026 Scents : Wiring and EL drawings updated</v>
      </c>
    </row>
    <row r="181" spans="1:40" s="76" customFormat="1" ht="13" hidden="1" x14ac:dyDescent="0.3">
      <c r="A181" s="122" t="s">
        <v>744</v>
      </c>
      <c r="B181" s="116">
        <v>15027</v>
      </c>
      <c r="C181" s="113" t="s">
        <v>4</v>
      </c>
      <c r="D181" s="117">
        <v>42207</v>
      </c>
      <c r="E181" s="118" t="s">
        <v>221</v>
      </c>
      <c r="F181" s="118" t="s">
        <v>164</v>
      </c>
      <c r="G181" s="111" t="s">
        <v>745</v>
      </c>
      <c r="H181" s="111" t="s">
        <v>746</v>
      </c>
      <c r="I181" s="119" t="s">
        <v>2056</v>
      </c>
      <c r="J181" s="113"/>
      <c r="K181" s="118">
        <v>1953</v>
      </c>
      <c r="L181" s="118">
        <v>9263</v>
      </c>
      <c r="M181" s="118" t="s">
        <v>11</v>
      </c>
      <c r="N181" s="120" t="s">
        <v>747</v>
      </c>
      <c r="O181" s="111" t="s">
        <v>29</v>
      </c>
      <c r="P181" s="111" t="s">
        <v>86</v>
      </c>
      <c r="Q181" s="111" t="s">
        <v>748</v>
      </c>
      <c r="R181" s="111" t="s">
        <v>145</v>
      </c>
      <c r="S181" s="111"/>
      <c r="T181" s="118" t="s">
        <v>749</v>
      </c>
      <c r="U181" s="64">
        <v>42257</v>
      </c>
      <c r="V181" s="158" t="s">
        <v>10</v>
      </c>
      <c r="W181" s="118"/>
      <c r="X181" s="113"/>
      <c r="Y181" s="117">
        <f t="shared" si="12"/>
        <v>42299</v>
      </c>
      <c r="Z181" s="117">
        <v>42291</v>
      </c>
      <c r="AA181" s="161" t="str">
        <f t="shared" ca="1" si="13"/>
        <v>YES</v>
      </c>
      <c r="AB181" s="113"/>
      <c r="AC181" s="117"/>
      <c r="AD181" s="111"/>
      <c r="AE181" s="111"/>
      <c r="AF181" s="111" t="str">
        <f t="shared" ca="1" si="14"/>
        <v>N/A</v>
      </c>
      <c r="AG181" s="162"/>
      <c r="AH181" s="162"/>
      <c r="AI181" s="164">
        <f t="shared" si="15"/>
        <v>0</v>
      </c>
      <c r="AJ181" s="118"/>
      <c r="AK181" s="113" t="s">
        <v>685</v>
      </c>
      <c r="AL181" s="118" t="s">
        <v>750</v>
      </c>
      <c r="AM181" s="165" t="str">
        <f t="shared" si="16"/>
        <v xml:space="preserve">15027 Sunoko </v>
      </c>
      <c r="AN181" s="165" t="str">
        <f t="shared" si="17"/>
        <v>15027 Sunoko  : Default slot distribution grids floor</v>
      </c>
    </row>
    <row r="182" spans="1:40" s="76" customFormat="1" ht="13" hidden="1" x14ac:dyDescent="0.3">
      <c r="A182" s="122" t="s">
        <v>751</v>
      </c>
      <c r="B182" s="116">
        <v>15028</v>
      </c>
      <c r="C182" s="113" t="s">
        <v>4</v>
      </c>
      <c r="D182" s="117">
        <v>42207</v>
      </c>
      <c r="E182" s="118" t="s">
        <v>91</v>
      </c>
      <c r="F182" s="118" t="s">
        <v>164</v>
      </c>
      <c r="G182" s="111" t="s">
        <v>752</v>
      </c>
      <c r="H182" s="111" t="s">
        <v>597</v>
      </c>
      <c r="I182" s="119" t="s">
        <v>2057</v>
      </c>
      <c r="J182" s="113"/>
      <c r="K182" s="118">
        <v>1990</v>
      </c>
      <c r="L182" s="118">
        <v>9838</v>
      </c>
      <c r="M182" s="118" t="s">
        <v>13</v>
      </c>
      <c r="N182" s="120" t="s">
        <v>753</v>
      </c>
      <c r="O182" s="111" t="s">
        <v>29</v>
      </c>
      <c r="P182" s="111" t="s">
        <v>86</v>
      </c>
      <c r="Q182" s="111" t="s">
        <v>522</v>
      </c>
      <c r="R182" s="111" t="s">
        <v>9</v>
      </c>
      <c r="S182" s="111"/>
      <c r="T182" s="118"/>
      <c r="U182" s="64">
        <v>42297</v>
      </c>
      <c r="V182" s="158" t="s">
        <v>10</v>
      </c>
      <c r="W182" s="118"/>
      <c r="X182" s="113"/>
      <c r="Y182" s="117">
        <f t="shared" si="12"/>
        <v>42299</v>
      </c>
      <c r="Z182" s="117">
        <v>42298</v>
      </c>
      <c r="AA182" s="161" t="str">
        <f t="shared" ca="1" si="13"/>
        <v>YES</v>
      </c>
      <c r="AB182" s="113"/>
      <c r="AC182" s="117"/>
      <c r="AD182" s="111"/>
      <c r="AE182" s="111"/>
      <c r="AF182" s="111" t="str">
        <f t="shared" ca="1" si="14"/>
        <v>N/A</v>
      </c>
      <c r="AG182" s="162"/>
      <c r="AH182" s="162"/>
      <c r="AI182" s="164">
        <f t="shared" si="15"/>
        <v>0</v>
      </c>
      <c r="AJ182" s="118" t="s">
        <v>6</v>
      </c>
      <c r="AK182" s="113">
        <v>42572</v>
      </c>
      <c r="AL182" s="118"/>
      <c r="AM182" s="165" t="str">
        <f t="shared" si="16"/>
        <v xml:space="preserve">15028 TetraPak </v>
      </c>
      <c r="AN182" s="165" t="str">
        <f t="shared" si="17"/>
        <v>15028 TetraPak  : SMS diameter fitting</v>
      </c>
    </row>
    <row r="183" spans="1:40" s="76" customFormat="1" ht="13" hidden="1" x14ac:dyDescent="0.3">
      <c r="A183" s="122" t="s">
        <v>754</v>
      </c>
      <c r="B183" s="116">
        <v>15029</v>
      </c>
      <c r="C183" s="113" t="s">
        <v>4</v>
      </c>
      <c r="D183" s="117">
        <v>42213</v>
      </c>
      <c r="E183" s="118" t="s">
        <v>91</v>
      </c>
      <c r="F183" s="118" t="s">
        <v>164</v>
      </c>
      <c r="G183" s="111" t="s">
        <v>543</v>
      </c>
      <c r="H183" s="111" t="s">
        <v>755</v>
      </c>
      <c r="I183" s="119" t="s">
        <v>5</v>
      </c>
      <c r="J183" s="113"/>
      <c r="K183" s="118">
        <v>1969</v>
      </c>
      <c r="L183" s="118" t="s">
        <v>544</v>
      </c>
      <c r="M183" s="118" t="s">
        <v>13</v>
      </c>
      <c r="N183" s="120" t="s">
        <v>756</v>
      </c>
      <c r="O183" s="111" t="s">
        <v>29</v>
      </c>
      <c r="P183" s="111" t="s">
        <v>176</v>
      </c>
      <c r="Q183" s="111"/>
      <c r="R183" s="111" t="s">
        <v>145</v>
      </c>
      <c r="S183" s="111"/>
      <c r="T183" s="118"/>
      <c r="U183" s="64">
        <v>42221</v>
      </c>
      <c r="V183" s="158" t="s">
        <v>6</v>
      </c>
      <c r="W183" s="118" t="s">
        <v>757</v>
      </c>
      <c r="X183" s="113"/>
      <c r="Y183" s="117">
        <f t="shared" si="12"/>
        <v>42305</v>
      </c>
      <c r="Z183" s="117">
        <v>42758</v>
      </c>
      <c r="AA183" s="161" t="str">
        <f t="shared" ca="1" si="13"/>
        <v>NO</v>
      </c>
      <c r="AB183" s="113"/>
      <c r="AC183" s="117">
        <v>42296</v>
      </c>
      <c r="AD183" s="169">
        <v>42370</v>
      </c>
      <c r="AE183" s="172">
        <v>42758</v>
      </c>
      <c r="AF183" s="111" t="str">
        <f t="shared" ca="1" si="14"/>
        <v>NO</v>
      </c>
      <c r="AG183" s="162"/>
      <c r="AH183" s="162"/>
      <c r="AI183" s="164">
        <f t="shared" si="15"/>
        <v>0</v>
      </c>
      <c r="AJ183" s="118"/>
      <c r="AK183" s="113"/>
      <c r="AL183" s="118"/>
      <c r="AM183" s="165" t="str">
        <f t="shared" si="16"/>
        <v>15029 ASR</v>
      </c>
      <c r="AN183" s="165" t="str">
        <f t="shared" si="17"/>
        <v>15029 ASR : Characteristics gasket column</v>
      </c>
    </row>
    <row r="184" spans="1:40" s="76" customFormat="1" ht="13" hidden="1" x14ac:dyDescent="0.3">
      <c r="A184" s="122" t="s">
        <v>758</v>
      </c>
      <c r="B184" s="116">
        <v>15030</v>
      </c>
      <c r="C184" s="113" t="s">
        <v>4</v>
      </c>
      <c r="D184" s="117">
        <v>42216</v>
      </c>
      <c r="E184" s="118" t="s">
        <v>273</v>
      </c>
      <c r="F184" s="118" t="s">
        <v>658</v>
      </c>
      <c r="G184" s="111" t="s">
        <v>759</v>
      </c>
      <c r="H184" s="111" t="s">
        <v>357</v>
      </c>
      <c r="I184" s="119" t="s">
        <v>5</v>
      </c>
      <c r="J184" s="113"/>
      <c r="K184" s="118" t="s">
        <v>454</v>
      </c>
      <c r="L184" s="118" t="s">
        <v>760</v>
      </c>
      <c r="M184" s="118" t="s">
        <v>16</v>
      </c>
      <c r="N184" s="120" t="s">
        <v>761</v>
      </c>
      <c r="O184" s="111" t="s">
        <v>28</v>
      </c>
      <c r="P184" s="111" t="s">
        <v>103</v>
      </c>
      <c r="Q184" s="111" t="s">
        <v>176</v>
      </c>
      <c r="R184" s="111" t="s">
        <v>145</v>
      </c>
      <c r="S184" s="111"/>
      <c r="T184" s="129" t="s">
        <v>357</v>
      </c>
      <c r="U184" s="64">
        <v>42205</v>
      </c>
      <c r="V184" s="158" t="s">
        <v>6</v>
      </c>
      <c r="W184" s="118" t="s">
        <v>273</v>
      </c>
      <c r="X184" s="113"/>
      <c r="Y184" s="117">
        <f t="shared" si="12"/>
        <v>42308</v>
      </c>
      <c r="Z184" s="117">
        <v>42643</v>
      </c>
      <c r="AA184" s="161" t="str">
        <f t="shared" ca="1" si="13"/>
        <v>NO</v>
      </c>
      <c r="AB184" s="113"/>
      <c r="AC184" s="117">
        <v>42202</v>
      </c>
      <c r="AD184" s="111"/>
      <c r="AE184" s="172"/>
      <c r="AF184" s="111" t="str">
        <f t="shared" ca="1" si="14"/>
        <v/>
      </c>
      <c r="AG184" s="162"/>
      <c r="AH184" s="162"/>
      <c r="AI184" s="164">
        <f t="shared" si="15"/>
        <v>0</v>
      </c>
      <c r="AJ184" s="118"/>
      <c r="AK184" s="113" t="s">
        <v>676</v>
      </c>
      <c r="AL184" s="118"/>
      <c r="AM184" s="165" t="str">
        <f t="shared" si="16"/>
        <v>15030 MEIHUA 6</v>
      </c>
      <c r="AN184" s="165" t="str">
        <f t="shared" si="17"/>
        <v>15030 MEIHUA 6 : Abrasion 0,1 µ membrane</v>
      </c>
    </row>
    <row r="185" spans="1:40" s="76" customFormat="1" ht="25.5" hidden="1" x14ac:dyDescent="0.3">
      <c r="A185" s="122" t="s">
        <v>762</v>
      </c>
      <c r="B185" s="116">
        <v>15031</v>
      </c>
      <c r="C185" s="113" t="s">
        <v>4</v>
      </c>
      <c r="D185" s="117">
        <v>42241</v>
      </c>
      <c r="E185" s="118" t="s">
        <v>763</v>
      </c>
      <c r="F185" s="118" t="s">
        <v>164</v>
      </c>
      <c r="G185" s="111" t="s">
        <v>596</v>
      </c>
      <c r="H185" s="111"/>
      <c r="I185" s="119" t="s">
        <v>2057</v>
      </c>
      <c r="J185" s="113"/>
      <c r="K185" s="118">
        <v>1980</v>
      </c>
      <c r="L185" s="118">
        <v>9726</v>
      </c>
      <c r="M185" s="118" t="s">
        <v>13</v>
      </c>
      <c r="N185" s="120" t="s">
        <v>764</v>
      </c>
      <c r="O185" s="111" t="s">
        <v>29</v>
      </c>
      <c r="P185" s="111" t="s">
        <v>86</v>
      </c>
      <c r="Q185" s="111" t="s">
        <v>522</v>
      </c>
      <c r="R185" s="111" t="s">
        <v>15</v>
      </c>
      <c r="S185" s="111"/>
      <c r="T185" s="118"/>
      <c r="U185" s="64">
        <v>42256</v>
      </c>
      <c r="V185" s="158" t="s">
        <v>10</v>
      </c>
      <c r="W185" s="118"/>
      <c r="X185" s="113"/>
      <c r="Y185" s="117">
        <f t="shared" si="12"/>
        <v>42333</v>
      </c>
      <c r="Z185" s="117">
        <v>42286</v>
      </c>
      <c r="AA185" s="161" t="str">
        <f t="shared" ca="1" si="13"/>
        <v>YES</v>
      </c>
      <c r="AB185" s="113"/>
      <c r="AC185" s="117"/>
      <c r="AD185" s="111"/>
      <c r="AE185" s="111"/>
      <c r="AF185" s="111" t="str">
        <f t="shared" ca="1" si="14"/>
        <v>N/A</v>
      </c>
      <c r="AG185" s="162"/>
      <c r="AH185" s="162"/>
      <c r="AI185" s="164">
        <f t="shared" si="15"/>
        <v>0</v>
      </c>
      <c r="AJ185" s="118" t="s">
        <v>6</v>
      </c>
      <c r="AK185" s="113">
        <v>42628</v>
      </c>
      <c r="AL185" s="118"/>
      <c r="AM185" s="165" t="str">
        <f t="shared" si="16"/>
        <v>15031 Conaprole</v>
      </c>
      <c r="AN185" s="165" t="str">
        <f t="shared" si="17"/>
        <v>15031 Conaprole : Communication dysfonctionning - Lack of documents transmission</v>
      </c>
    </row>
    <row r="186" spans="1:40" s="76" customFormat="1" ht="13" hidden="1" x14ac:dyDescent="0.3">
      <c r="A186" s="122" t="s">
        <v>765</v>
      </c>
      <c r="B186" s="116">
        <v>15032</v>
      </c>
      <c r="C186" s="113" t="s">
        <v>4</v>
      </c>
      <c r="D186" s="117">
        <v>42264</v>
      </c>
      <c r="E186" s="118" t="s">
        <v>766</v>
      </c>
      <c r="F186" s="118" t="s">
        <v>164</v>
      </c>
      <c r="G186" s="111" t="s">
        <v>767</v>
      </c>
      <c r="H186" s="111" t="s">
        <v>768</v>
      </c>
      <c r="I186" s="119" t="s">
        <v>2056</v>
      </c>
      <c r="J186" s="113"/>
      <c r="K186" s="118">
        <v>1995</v>
      </c>
      <c r="L186" s="118">
        <v>10268</v>
      </c>
      <c r="M186" s="118" t="s">
        <v>18</v>
      </c>
      <c r="N186" s="120" t="s">
        <v>769</v>
      </c>
      <c r="O186" s="111" t="s">
        <v>29</v>
      </c>
      <c r="P186" s="111" t="s">
        <v>176</v>
      </c>
      <c r="Q186" s="111" t="s">
        <v>8</v>
      </c>
      <c r="R186" s="111" t="s">
        <v>145</v>
      </c>
      <c r="S186" s="111"/>
      <c r="T186" s="118"/>
      <c r="U186" s="66">
        <v>42321</v>
      </c>
      <c r="V186" s="158" t="s">
        <v>10</v>
      </c>
      <c r="W186" s="118"/>
      <c r="X186" s="113"/>
      <c r="Y186" s="117">
        <f t="shared" si="12"/>
        <v>42355</v>
      </c>
      <c r="Z186" s="117">
        <v>42342</v>
      </c>
      <c r="AA186" s="161" t="str">
        <f t="shared" ca="1" si="13"/>
        <v>YES</v>
      </c>
      <c r="AB186" s="113"/>
      <c r="AC186" s="117"/>
      <c r="AD186" s="111"/>
      <c r="AE186" s="111"/>
      <c r="AF186" s="111" t="str">
        <f t="shared" ca="1" si="14"/>
        <v>N/A</v>
      </c>
      <c r="AG186" s="162"/>
      <c r="AH186" s="162"/>
      <c r="AI186" s="164">
        <f t="shared" si="15"/>
        <v>0</v>
      </c>
      <c r="AJ186" s="118" t="s">
        <v>6</v>
      </c>
      <c r="AK186" s="113">
        <v>42682</v>
      </c>
      <c r="AL186" s="118"/>
      <c r="AM186" s="165" t="str">
        <f t="shared" si="16"/>
        <v xml:space="preserve">15032 PT SUJ2 </v>
      </c>
      <c r="AN186" s="165" t="str">
        <f t="shared" si="17"/>
        <v>15032 PT SUJ2  : Nozzles length/sand filter floor thickness</v>
      </c>
    </row>
    <row r="187" spans="1:40" s="76" customFormat="1" ht="13" hidden="1" x14ac:dyDescent="0.3">
      <c r="A187" s="122" t="s">
        <v>770</v>
      </c>
      <c r="B187" s="116">
        <v>15033</v>
      </c>
      <c r="C187" s="113" t="s">
        <v>4</v>
      </c>
      <c r="D187" s="117">
        <v>42269</v>
      </c>
      <c r="E187" s="118" t="s">
        <v>621</v>
      </c>
      <c r="F187" s="118" t="s">
        <v>164</v>
      </c>
      <c r="G187" s="111" t="s">
        <v>771</v>
      </c>
      <c r="H187" s="111"/>
      <c r="I187" s="119" t="s">
        <v>2057</v>
      </c>
      <c r="J187" s="113"/>
      <c r="K187" s="118">
        <v>1990</v>
      </c>
      <c r="L187" s="118">
        <v>9838</v>
      </c>
      <c r="M187" s="118" t="s">
        <v>13</v>
      </c>
      <c r="N187" s="120" t="s">
        <v>772</v>
      </c>
      <c r="O187" s="111" t="s">
        <v>29</v>
      </c>
      <c r="P187" s="111" t="s">
        <v>86</v>
      </c>
      <c r="Q187" s="111" t="s">
        <v>605</v>
      </c>
      <c r="R187" s="111" t="s">
        <v>15</v>
      </c>
      <c r="S187" s="111"/>
      <c r="T187" s="118"/>
      <c r="U187" s="64">
        <v>42320</v>
      </c>
      <c r="V187" s="158" t="s">
        <v>10</v>
      </c>
      <c r="W187" s="118"/>
      <c r="X187" s="113"/>
      <c r="Y187" s="117">
        <f t="shared" si="12"/>
        <v>42360</v>
      </c>
      <c r="Z187" s="117">
        <v>42347</v>
      </c>
      <c r="AA187" s="161" t="str">
        <f t="shared" ca="1" si="13"/>
        <v>YES</v>
      </c>
      <c r="AB187" s="113"/>
      <c r="AC187" s="117"/>
      <c r="AD187" s="111"/>
      <c r="AE187" s="111"/>
      <c r="AF187" s="111" t="str">
        <f t="shared" ca="1" si="14"/>
        <v>N/A</v>
      </c>
      <c r="AG187" s="162"/>
      <c r="AH187" s="162"/>
      <c r="AI187" s="164">
        <f t="shared" si="15"/>
        <v>0</v>
      </c>
      <c r="AJ187" s="118" t="s">
        <v>6</v>
      </c>
      <c r="AK187" s="113">
        <v>42681</v>
      </c>
      <c r="AL187" s="118"/>
      <c r="AM187" s="165" t="str">
        <f t="shared" si="16"/>
        <v>15033 TETRAPACK</v>
      </c>
      <c r="AN187" s="165" t="str">
        <f t="shared" si="17"/>
        <v>15033 TETRAPACK : Erreur dans AU02</v>
      </c>
    </row>
    <row r="188" spans="1:40" s="76" customFormat="1" ht="13" hidden="1" x14ac:dyDescent="0.3">
      <c r="A188" s="122" t="s">
        <v>773</v>
      </c>
      <c r="B188" s="116">
        <v>15034</v>
      </c>
      <c r="C188" s="113" t="s">
        <v>4</v>
      </c>
      <c r="D188" s="117">
        <v>42269</v>
      </c>
      <c r="E188" s="118" t="s">
        <v>621</v>
      </c>
      <c r="F188" s="118" t="s">
        <v>164</v>
      </c>
      <c r="G188" s="111" t="s">
        <v>774</v>
      </c>
      <c r="H188" s="111" t="s">
        <v>775</v>
      </c>
      <c r="I188" s="119" t="s">
        <v>2056</v>
      </c>
      <c r="J188" s="113"/>
      <c r="K188" s="118">
        <v>1980</v>
      </c>
      <c r="L188" s="118">
        <v>9726</v>
      </c>
      <c r="M188" s="118" t="s">
        <v>13</v>
      </c>
      <c r="N188" s="120" t="s">
        <v>776</v>
      </c>
      <c r="O188" s="111" t="s">
        <v>29</v>
      </c>
      <c r="P188" s="111" t="s">
        <v>86</v>
      </c>
      <c r="Q188" s="111" t="s">
        <v>605</v>
      </c>
      <c r="R188" s="111" t="s">
        <v>145</v>
      </c>
      <c r="S188" s="111"/>
      <c r="T188" s="129" t="s">
        <v>775</v>
      </c>
      <c r="U188" s="64">
        <v>42347</v>
      </c>
      <c r="V188" s="158" t="s">
        <v>10</v>
      </c>
      <c r="W188" s="118"/>
      <c r="X188" s="113"/>
      <c r="Y188" s="117">
        <f t="shared" si="12"/>
        <v>42360</v>
      </c>
      <c r="Z188" s="117">
        <v>42347</v>
      </c>
      <c r="AA188" s="161" t="str">
        <f t="shared" ca="1" si="13"/>
        <v>YES</v>
      </c>
      <c r="AB188" s="113"/>
      <c r="AC188" s="117"/>
      <c r="AD188" s="111"/>
      <c r="AE188" s="111"/>
      <c r="AF188" s="111" t="str">
        <f t="shared" ca="1" si="14"/>
        <v>N/A</v>
      </c>
      <c r="AG188" s="162"/>
      <c r="AH188" s="162"/>
      <c r="AI188" s="164">
        <f t="shared" si="15"/>
        <v>0</v>
      </c>
      <c r="AJ188" s="118" t="s">
        <v>6</v>
      </c>
      <c r="AK188" s="113">
        <v>42681</v>
      </c>
      <c r="AL188" s="118"/>
      <c r="AM188" s="165" t="str">
        <f t="shared" si="16"/>
        <v xml:space="preserve">15034 Conaprole </v>
      </c>
      <c r="AN188" s="165" t="str">
        <f t="shared" si="17"/>
        <v>15034 Conaprole  : Non diffusion dernière révision schéma électrique</v>
      </c>
    </row>
    <row r="189" spans="1:40" s="76" customFormat="1" ht="13" hidden="1" x14ac:dyDescent="0.3">
      <c r="A189" s="122" t="s">
        <v>777</v>
      </c>
      <c r="B189" s="116">
        <v>15035</v>
      </c>
      <c r="C189" s="113" t="s">
        <v>4</v>
      </c>
      <c r="D189" s="117">
        <v>42269</v>
      </c>
      <c r="E189" s="118" t="s">
        <v>621</v>
      </c>
      <c r="F189" s="118" t="s">
        <v>164</v>
      </c>
      <c r="G189" s="111" t="s">
        <v>778</v>
      </c>
      <c r="H189" s="111"/>
      <c r="I189" s="119" t="s">
        <v>17</v>
      </c>
      <c r="J189" s="113"/>
      <c r="K189" s="118" t="s">
        <v>454</v>
      </c>
      <c r="L189" s="118" t="s">
        <v>454</v>
      </c>
      <c r="M189" s="118" t="s">
        <v>454</v>
      </c>
      <c r="N189" s="120" t="s">
        <v>779</v>
      </c>
      <c r="O189" s="111" t="s">
        <v>29</v>
      </c>
      <c r="P189" s="111" t="s">
        <v>86</v>
      </c>
      <c r="Q189" s="111" t="s">
        <v>605</v>
      </c>
      <c r="R189" s="111" t="s">
        <v>9</v>
      </c>
      <c r="S189" s="111"/>
      <c r="T189" s="118"/>
      <c r="U189" s="64">
        <v>42349</v>
      </c>
      <c r="V189" s="158" t="s">
        <v>10</v>
      </c>
      <c r="W189" s="118"/>
      <c r="X189" s="113"/>
      <c r="Y189" s="117">
        <f t="shared" si="12"/>
        <v>42360</v>
      </c>
      <c r="Z189" s="117">
        <v>42356</v>
      </c>
      <c r="AA189" s="161" t="str">
        <f t="shared" ca="1" si="13"/>
        <v>YES</v>
      </c>
      <c r="AB189" s="113"/>
      <c r="AC189" s="117"/>
      <c r="AD189" s="111"/>
      <c r="AE189" s="111"/>
      <c r="AF189" s="111" t="str">
        <f t="shared" ca="1" si="14"/>
        <v>N/A</v>
      </c>
      <c r="AG189" s="162"/>
      <c r="AH189" s="162"/>
      <c r="AI189" s="164">
        <f t="shared" si="15"/>
        <v>0</v>
      </c>
      <c r="AJ189" s="118" t="s">
        <v>6</v>
      </c>
      <c r="AK189" s="113">
        <v>42681</v>
      </c>
      <c r="AL189" s="118"/>
      <c r="AM189" s="165" t="str">
        <f t="shared" si="16"/>
        <v>15035 Service AEI</v>
      </c>
      <c r="AN189" s="165" t="str">
        <f t="shared" si="17"/>
        <v>15035 Service AEI : Diffusion client révisions schémas électriques</v>
      </c>
    </row>
    <row r="190" spans="1:40" s="76" customFormat="1" ht="13" hidden="1" x14ac:dyDescent="0.3">
      <c r="A190" s="122" t="s">
        <v>780</v>
      </c>
      <c r="B190" s="116">
        <v>15036</v>
      </c>
      <c r="C190" s="113" t="s">
        <v>4</v>
      </c>
      <c r="D190" s="117">
        <v>42270</v>
      </c>
      <c r="E190" s="118" t="s">
        <v>781</v>
      </c>
      <c r="F190" s="118" t="s">
        <v>164</v>
      </c>
      <c r="G190" s="111" t="s">
        <v>782</v>
      </c>
      <c r="H190" s="111"/>
      <c r="I190" s="119" t="s">
        <v>5</v>
      </c>
      <c r="J190" s="113"/>
      <c r="K190" s="118">
        <v>1970</v>
      </c>
      <c r="L190" s="118">
        <v>9364</v>
      </c>
      <c r="M190" s="118" t="s">
        <v>11</v>
      </c>
      <c r="N190" s="120" t="s">
        <v>783</v>
      </c>
      <c r="O190" s="111" t="s">
        <v>29</v>
      </c>
      <c r="P190" s="111" t="s">
        <v>86</v>
      </c>
      <c r="Q190" s="111" t="s">
        <v>504</v>
      </c>
      <c r="R190" s="111" t="s">
        <v>9</v>
      </c>
      <c r="S190" s="111"/>
      <c r="T190" s="118"/>
      <c r="U190" s="64">
        <v>42270</v>
      </c>
      <c r="V190" s="158" t="s">
        <v>6</v>
      </c>
      <c r="W190" s="118" t="s">
        <v>784</v>
      </c>
      <c r="X190" s="113"/>
      <c r="Y190" s="117">
        <f t="shared" si="12"/>
        <v>42361</v>
      </c>
      <c r="Z190" s="117">
        <v>43110</v>
      </c>
      <c r="AA190" s="161" t="str">
        <f t="shared" ca="1" si="13"/>
        <v>NO</v>
      </c>
      <c r="AB190" s="113"/>
      <c r="AC190" s="117">
        <v>42263</v>
      </c>
      <c r="AD190" s="169">
        <v>42430</v>
      </c>
      <c r="AE190" s="172">
        <v>43110</v>
      </c>
      <c r="AF190" s="111" t="str">
        <f t="shared" ca="1" si="14"/>
        <v>NO</v>
      </c>
      <c r="AG190" s="162"/>
      <c r="AH190" s="162"/>
      <c r="AI190" s="164">
        <f t="shared" si="15"/>
        <v>0</v>
      </c>
      <c r="AJ190" s="118" t="s">
        <v>454</v>
      </c>
      <c r="AK190" s="113"/>
      <c r="AL190" s="118" t="s">
        <v>785</v>
      </c>
      <c r="AM190" s="165" t="str">
        <f t="shared" si="16"/>
        <v>15036 BBCA</v>
      </c>
      <c r="AN190" s="165" t="str">
        <f t="shared" si="17"/>
        <v>15036 BBCA : contractual performance not achieved (CA recovery)</v>
      </c>
    </row>
    <row r="191" spans="1:40" s="76" customFormat="1" ht="25.5" hidden="1" x14ac:dyDescent="0.3">
      <c r="A191" s="122" t="s">
        <v>786</v>
      </c>
      <c r="B191" s="116">
        <v>15037</v>
      </c>
      <c r="C191" s="113" t="s">
        <v>4</v>
      </c>
      <c r="D191" s="117">
        <v>42275</v>
      </c>
      <c r="E191" s="118" t="s">
        <v>787</v>
      </c>
      <c r="F191" s="118" t="s">
        <v>691</v>
      </c>
      <c r="G191" s="111" t="s">
        <v>788</v>
      </c>
      <c r="H191" s="111"/>
      <c r="I191" s="119" t="s">
        <v>2057</v>
      </c>
      <c r="J191" s="113"/>
      <c r="K191" s="118" t="s">
        <v>454</v>
      </c>
      <c r="L191" s="118">
        <v>20.113499999999998</v>
      </c>
      <c r="M191" s="118" t="s">
        <v>11</v>
      </c>
      <c r="N191" s="120" t="s">
        <v>789</v>
      </c>
      <c r="O191" s="111" t="s">
        <v>29</v>
      </c>
      <c r="P191" s="111" t="s">
        <v>157</v>
      </c>
      <c r="Q191" s="111" t="s">
        <v>613</v>
      </c>
      <c r="R191" s="111" t="s">
        <v>15</v>
      </c>
      <c r="S191" s="111"/>
      <c r="T191" s="118"/>
      <c r="U191" s="64">
        <v>42325</v>
      </c>
      <c r="V191" s="158" t="s">
        <v>10</v>
      </c>
      <c r="W191" s="118"/>
      <c r="X191" s="113"/>
      <c r="Y191" s="117">
        <f t="shared" si="12"/>
        <v>42366</v>
      </c>
      <c r="Z191" s="117">
        <v>42342</v>
      </c>
      <c r="AA191" s="161" t="str">
        <f t="shared" ca="1" si="13"/>
        <v>YES</v>
      </c>
      <c r="AB191" s="113"/>
      <c r="AC191" s="117"/>
      <c r="AD191" s="111"/>
      <c r="AE191" s="111"/>
      <c r="AF191" s="111" t="str">
        <f t="shared" ca="1" si="14"/>
        <v>N/A</v>
      </c>
      <c r="AG191" s="162"/>
      <c r="AH191" s="162"/>
      <c r="AI191" s="164">
        <f t="shared" si="15"/>
        <v>0</v>
      </c>
      <c r="AJ191" s="118" t="s">
        <v>6</v>
      </c>
      <c r="AK191" s="113">
        <v>42683</v>
      </c>
      <c r="AL191" s="118"/>
      <c r="AM191" s="165" t="str">
        <f t="shared" si="16"/>
        <v>15037 Noram (DFI)</v>
      </c>
      <c r="AN191" s="165" t="str">
        <f t="shared" si="17"/>
        <v>15037 Noram (DFI) : Erreur dans formule de calcul du Prix de revient des internes</v>
      </c>
    </row>
    <row r="192" spans="1:40" s="76" customFormat="1" ht="13" hidden="1" x14ac:dyDescent="0.3">
      <c r="A192" s="122" t="s">
        <v>790</v>
      </c>
      <c r="B192" s="116">
        <v>15038</v>
      </c>
      <c r="C192" s="113" t="s">
        <v>4</v>
      </c>
      <c r="D192" s="117">
        <v>42279</v>
      </c>
      <c r="E192" s="118" t="s">
        <v>82</v>
      </c>
      <c r="F192" s="118" t="s">
        <v>658</v>
      </c>
      <c r="G192" s="111" t="s">
        <v>791</v>
      </c>
      <c r="H192" s="111" t="s">
        <v>309</v>
      </c>
      <c r="I192" s="119" t="s">
        <v>2056</v>
      </c>
      <c r="J192" s="113"/>
      <c r="K192" s="118" t="s">
        <v>454</v>
      </c>
      <c r="L192" s="118" t="s">
        <v>792</v>
      </c>
      <c r="M192" s="118" t="s">
        <v>13</v>
      </c>
      <c r="N192" s="120" t="s">
        <v>793</v>
      </c>
      <c r="O192" s="111" t="s">
        <v>28</v>
      </c>
      <c r="P192" s="111" t="s">
        <v>103</v>
      </c>
      <c r="Q192" s="111" t="s">
        <v>794</v>
      </c>
      <c r="R192" s="111" t="s">
        <v>145</v>
      </c>
      <c r="S192" s="111"/>
      <c r="T192" s="129" t="s">
        <v>309</v>
      </c>
      <c r="U192" s="64">
        <v>42279</v>
      </c>
      <c r="V192" s="158" t="s">
        <v>10</v>
      </c>
      <c r="W192" s="118"/>
      <c r="X192" s="113"/>
      <c r="Y192" s="117">
        <f t="shared" si="12"/>
        <v>42371</v>
      </c>
      <c r="Z192" s="117">
        <v>42360</v>
      </c>
      <c r="AA192" s="161" t="str">
        <f t="shared" ca="1" si="13"/>
        <v>YES</v>
      </c>
      <c r="AB192" s="113"/>
      <c r="AC192" s="117"/>
      <c r="AD192" s="111"/>
      <c r="AE192" s="111"/>
      <c r="AF192" s="111" t="str">
        <f t="shared" ca="1" si="14"/>
        <v>N/A</v>
      </c>
      <c r="AG192" s="162"/>
      <c r="AH192" s="162"/>
      <c r="AI192" s="164">
        <f t="shared" si="15"/>
        <v>0</v>
      </c>
      <c r="AJ192" s="118" t="s">
        <v>6</v>
      </c>
      <c r="AK192" s="113">
        <v>42549</v>
      </c>
      <c r="AL192" s="118"/>
      <c r="AM192" s="165" t="str">
        <f t="shared" si="16"/>
        <v>15038 Friesland Foods</v>
      </c>
      <c r="AN192" s="165" t="str">
        <f t="shared" si="17"/>
        <v>15038 Friesland Foods : Mauvaise résine livrée dans 2 sacs</v>
      </c>
    </row>
    <row r="193" spans="1:40" s="76" customFormat="1" ht="13" hidden="1" x14ac:dyDescent="0.3">
      <c r="A193" s="122" t="s">
        <v>795</v>
      </c>
      <c r="B193" s="116">
        <v>15039</v>
      </c>
      <c r="C193" s="113" t="s">
        <v>4</v>
      </c>
      <c r="D193" s="117">
        <v>42279</v>
      </c>
      <c r="E193" s="118" t="s">
        <v>796</v>
      </c>
      <c r="F193" s="118" t="s">
        <v>420</v>
      </c>
      <c r="G193" s="111" t="s">
        <v>797</v>
      </c>
      <c r="H193" s="111" t="s">
        <v>798</v>
      </c>
      <c r="I193" s="119" t="s">
        <v>2057</v>
      </c>
      <c r="J193" s="113"/>
      <c r="K193" s="118" t="s">
        <v>454</v>
      </c>
      <c r="L193" s="118" t="s">
        <v>799</v>
      </c>
      <c r="M193" s="118" t="s">
        <v>16</v>
      </c>
      <c r="N193" s="120" t="s">
        <v>800</v>
      </c>
      <c r="O193" s="111" t="s">
        <v>420</v>
      </c>
      <c r="P193" s="111" t="s">
        <v>80</v>
      </c>
      <c r="Q193" s="111" t="s">
        <v>801</v>
      </c>
      <c r="R193" s="111" t="s">
        <v>9</v>
      </c>
      <c r="S193" s="111"/>
      <c r="T193" s="118"/>
      <c r="U193" s="64">
        <v>42317</v>
      </c>
      <c r="V193" s="158" t="s">
        <v>6</v>
      </c>
      <c r="W193" s="118" t="s">
        <v>258</v>
      </c>
      <c r="X193" s="113"/>
      <c r="Y193" s="117">
        <f t="shared" si="12"/>
        <v>42371</v>
      </c>
      <c r="Z193" s="117">
        <v>42347</v>
      </c>
      <c r="AA193" s="161" t="str">
        <f t="shared" ca="1" si="13"/>
        <v>YES</v>
      </c>
      <c r="AB193" s="113"/>
      <c r="AC193" s="117"/>
      <c r="AD193" s="111"/>
      <c r="AE193" s="111"/>
      <c r="AF193" s="111" t="str">
        <f t="shared" ca="1" si="14"/>
        <v>N/A</v>
      </c>
      <c r="AG193" s="162"/>
      <c r="AH193" s="162"/>
      <c r="AI193" s="164">
        <f t="shared" si="15"/>
        <v>0</v>
      </c>
      <c r="AJ193" s="118" t="s">
        <v>6</v>
      </c>
      <c r="AK193" s="113">
        <v>42499</v>
      </c>
      <c r="AL193" s="118"/>
      <c r="AM193" s="165" t="str">
        <f t="shared" si="16"/>
        <v>15039 CAPUA</v>
      </c>
      <c r="AN193" s="165" t="str">
        <f t="shared" si="17"/>
        <v>15039 CAPUA : Location pilote même période à 2 clients</v>
      </c>
    </row>
    <row r="194" spans="1:40" s="76" customFormat="1" ht="25.5" hidden="1" x14ac:dyDescent="0.3">
      <c r="A194" s="122" t="s">
        <v>802</v>
      </c>
      <c r="B194" s="116">
        <v>15040</v>
      </c>
      <c r="C194" s="113" t="s">
        <v>4</v>
      </c>
      <c r="D194" s="117">
        <v>42282</v>
      </c>
      <c r="E194" s="118" t="s">
        <v>290</v>
      </c>
      <c r="F194" s="118" t="s">
        <v>420</v>
      </c>
      <c r="G194" s="111" t="s">
        <v>803</v>
      </c>
      <c r="H194" s="111" t="s">
        <v>804</v>
      </c>
      <c r="I194" s="119" t="s">
        <v>2056</v>
      </c>
      <c r="J194" s="113"/>
      <c r="K194" s="118" t="s">
        <v>454</v>
      </c>
      <c r="L194" s="118"/>
      <c r="M194" s="118" t="s">
        <v>454</v>
      </c>
      <c r="N194" s="120" t="s">
        <v>805</v>
      </c>
      <c r="O194" s="111" t="s">
        <v>420</v>
      </c>
      <c r="P194" s="111" t="s">
        <v>80</v>
      </c>
      <c r="Q194" s="111" t="s">
        <v>806</v>
      </c>
      <c r="R194" s="111" t="s">
        <v>145</v>
      </c>
      <c r="S194" s="111"/>
      <c r="T194" s="129" t="s">
        <v>807</v>
      </c>
      <c r="U194" s="64">
        <v>42278</v>
      </c>
      <c r="V194" s="158" t="s">
        <v>10</v>
      </c>
      <c r="W194" s="118"/>
      <c r="X194" s="113"/>
      <c r="Y194" s="117">
        <f t="shared" si="12"/>
        <v>42374</v>
      </c>
      <c r="Z194" s="117">
        <v>42356</v>
      </c>
      <c r="AA194" s="161" t="str">
        <f t="shared" ca="1" si="13"/>
        <v>YES</v>
      </c>
      <c r="AB194" s="113"/>
      <c r="AC194" s="117"/>
      <c r="AD194" s="111"/>
      <c r="AE194" s="111"/>
      <c r="AF194" s="111" t="str">
        <f t="shared" ca="1" si="14"/>
        <v>N/A</v>
      </c>
      <c r="AG194" s="162"/>
      <c r="AH194" s="162"/>
      <c r="AI194" s="164">
        <f t="shared" si="15"/>
        <v>0</v>
      </c>
      <c r="AJ194" s="118" t="s">
        <v>6</v>
      </c>
      <c r="AK194" s="113">
        <v>42499</v>
      </c>
      <c r="AL194" s="118"/>
      <c r="AM194" s="165" t="str">
        <f t="shared" si="16"/>
        <v>15040 Service R&amp;D</v>
      </c>
      <c r="AN194" s="165" t="str">
        <f t="shared" si="17"/>
        <v>15040 Service R&amp;D : Coupure électrique lors de l'intervention sur sorbonnes labo</v>
      </c>
    </row>
    <row r="195" spans="1:40" s="76" customFormat="1" ht="13" hidden="1" x14ac:dyDescent="0.3">
      <c r="A195" s="122" t="s">
        <v>808</v>
      </c>
      <c r="B195" s="116">
        <v>15041</v>
      </c>
      <c r="C195" s="113" t="s">
        <v>4</v>
      </c>
      <c r="D195" s="117">
        <v>42283</v>
      </c>
      <c r="E195" s="118" t="s">
        <v>82</v>
      </c>
      <c r="F195" s="118" t="s">
        <v>658</v>
      </c>
      <c r="G195" s="111" t="s">
        <v>713</v>
      </c>
      <c r="H195" s="111" t="s">
        <v>460</v>
      </c>
      <c r="I195" s="119" t="s">
        <v>5</v>
      </c>
      <c r="J195" s="113"/>
      <c r="K195" s="118" t="s">
        <v>454</v>
      </c>
      <c r="L195" s="118" t="s">
        <v>809</v>
      </c>
      <c r="M195" s="118" t="s">
        <v>18</v>
      </c>
      <c r="N195" s="120" t="s">
        <v>810</v>
      </c>
      <c r="O195" s="111" t="s">
        <v>28</v>
      </c>
      <c r="P195" s="111" t="s">
        <v>103</v>
      </c>
      <c r="Q195" s="111"/>
      <c r="R195" s="111" t="s">
        <v>145</v>
      </c>
      <c r="S195" s="111"/>
      <c r="T195" s="118" t="s">
        <v>460</v>
      </c>
      <c r="U195" s="64">
        <v>42346</v>
      </c>
      <c r="V195" s="158" t="s">
        <v>6</v>
      </c>
      <c r="W195" s="118" t="s">
        <v>99</v>
      </c>
      <c r="X195" s="113"/>
      <c r="Y195" s="117">
        <f t="shared" si="12"/>
        <v>42375</v>
      </c>
      <c r="Z195" s="117">
        <v>42423</v>
      </c>
      <c r="AA195" s="161" t="str">
        <f t="shared" ca="1" si="13"/>
        <v>NO</v>
      </c>
      <c r="AB195" s="113"/>
      <c r="AC195" s="117"/>
      <c r="AD195" s="111"/>
      <c r="AE195" s="111"/>
      <c r="AF195" s="111" t="str">
        <f t="shared" ca="1" si="14"/>
        <v/>
      </c>
      <c r="AG195" s="162"/>
      <c r="AH195" s="162"/>
      <c r="AI195" s="164">
        <f t="shared" si="15"/>
        <v>0</v>
      </c>
      <c r="AJ195" s="118" t="s">
        <v>6</v>
      </c>
      <c r="AK195" s="113">
        <v>42681</v>
      </c>
      <c r="AL195" s="118" t="s">
        <v>811</v>
      </c>
      <c r="AM195" s="165" t="str">
        <f t="shared" si="16"/>
        <v>15041 SEDAMYL</v>
      </c>
      <c r="AN195" s="165" t="str">
        <f t="shared" si="17"/>
        <v>15041 SEDAMYL : Baisse performances membranes NF (skid N°2)</v>
      </c>
    </row>
    <row r="196" spans="1:40" s="76" customFormat="1" ht="13" hidden="1" x14ac:dyDescent="0.3">
      <c r="A196" s="122" t="s">
        <v>812</v>
      </c>
      <c r="B196" s="116">
        <v>15042</v>
      </c>
      <c r="C196" s="113" t="s">
        <v>4</v>
      </c>
      <c r="D196" s="117">
        <v>42306</v>
      </c>
      <c r="E196" s="118" t="s">
        <v>813</v>
      </c>
      <c r="F196" s="118" t="s">
        <v>691</v>
      </c>
      <c r="G196" s="111" t="s">
        <v>814</v>
      </c>
      <c r="H196" s="111"/>
      <c r="I196" s="119" t="s">
        <v>2057</v>
      </c>
      <c r="J196" s="113"/>
      <c r="K196" s="118">
        <v>2002</v>
      </c>
      <c r="L196" s="118">
        <v>10510</v>
      </c>
      <c r="M196" s="118" t="s">
        <v>672</v>
      </c>
      <c r="N196" s="120" t="s">
        <v>815</v>
      </c>
      <c r="O196" s="111" t="s">
        <v>29</v>
      </c>
      <c r="P196" s="111" t="s">
        <v>86</v>
      </c>
      <c r="Q196" s="111" t="s">
        <v>816</v>
      </c>
      <c r="R196" s="111" t="s">
        <v>15</v>
      </c>
      <c r="S196" s="111"/>
      <c r="T196" s="118"/>
      <c r="U196" s="64"/>
      <c r="V196" s="158" t="s">
        <v>10</v>
      </c>
      <c r="W196" s="118"/>
      <c r="X196" s="113"/>
      <c r="Y196" s="117">
        <f t="shared" si="12"/>
        <v>42398</v>
      </c>
      <c r="Z196" s="117">
        <v>42380</v>
      </c>
      <c r="AA196" s="161" t="str">
        <f t="shared" ca="1" si="13"/>
        <v>YES</v>
      </c>
      <c r="AB196" s="113"/>
      <c r="AC196" s="117"/>
      <c r="AD196" s="111"/>
      <c r="AE196" s="111"/>
      <c r="AF196" s="111" t="str">
        <f t="shared" ca="1" si="14"/>
        <v>N/A</v>
      </c>
      <c r="AG196" s="162"/>
      <c r="AH196" s="162"/>
      <c r="AI196" s="164">
        <f t="shared" si="15"/>
        <v>0</v>
      </c>
      <c r="AJ196" s="118"/>
      <c r="AK196" s="113" t="s">
        <v>685</v>
      </c>
      <c r="AL196" s="118"/>
      <c r="AM196" s="165" t="str">
        <f t="shared" si="16"/>
        <v>15042 Al Nouran</v>
      </c>
      <c r="AN196" s="165" t="str">
        <f t="shared" si="17"/>
        <v>15042 Al Nouran : Surdimensionnement échangeur</v>
      </c>
    </row>
    <row r="197" spans="1:40" s="76" customFormat="1" ht="13" hidden="1" x14ac:dyDescent="0.3">
      <c r="A197" s="122" t="s">
        <v>817</v>
      </c>
      <c r="B197" s="116">
        <v>15043</v>
      </c>
      <c r="C197" s="113" t="s">
        <v>4</v>
      </c>
      <c r="D197" s="117">
        <v>42331</v>
      </c>
      <c r="E197" s="118" t="s">
        <v>577</v>
      </c>
      <c r="F197" s="118" t="s">
        <v>420</v>
      </c>
      <c r="G197" s="111" t="s">
        <v>818</v>
      </c>
      <c r="H197" s="111"/>
      <c r="I197" s="119" t="s">
        <v>2058</v>
      </c>
      <c r="J197" s="113"/>
      <c r="K197" s="118" t="s">
        <v>454</v>
      </c>
      <c r="L197" s="118" t="s">
        <v>819</v>
      </c>
      <c r="M197" s="118" t="s">
        <v>454</v>
      </c>
      <c r="N197" s="120" t="s">
        <v>820</v>
      </c>
      <c r="O197" s="111" t="s">
        <v>420</v>
      </c>
      <c r="P197" s="111" t="s">
        <v>80</v>
      </c>
      <c r="Q197" s="111" t="s">
        <v>81</v>
      </c>
      <c r="R197" s="111" t="s">
        <v>15</v>
      </c>
      <c r="S197" s="111"/>
      <c r="T197" s="118"/>
      <c r="U197" s="64">
        <v>42314</v>
      </c>
      <c r="V197" s="158" t="s">
        <v>6</v>
      </c>
      <c r="W197" s="118" t="s">
        <v>577</v>
      </c>
      <c r="X197" s="113"/>
      <c r="Y197" s="117">
        <f t="shared" si="12"/>
        <v>42423</v>
      </c>
      <c r="Z197" s="117">
        <v>42375</v>
      </c>
      <c r="AA197" s="161" t="str">
        <f t="shared" ca="1" si="13"/>
        <v>YES</v>
      </c>
      <c r="AB197" s="113"/>
      <c r="AC197" s="117"/>
      <c r="AD197" s="111"/>
      <c r="AE197" s="111"/>
      <c r="AF197" s="111" t="str">
        <f t="shared" ca="1" si="14"/>
        <v>N/A</v>
      </c>
      <c r="AG197" s="162"/>
      <c r="AH197" s="162"/>
      <c r="AI197" s="164">
        <f t="shared" si="15"/>
        <v>0</v>
      </c>
      <c r="AJ197" s="118" t="s">
        <v>6</v>
      </c>
      <c r="AK197" s="113">
        <v>42499</v>
      </c>
      <c r="AL197" s="118"/>
      <c r="AM197" s="165" t="str">
        <f t="shared" si="16"/>
        <v>15043 Unilever</v>
      </c>
      <c r="AN197" s="165" t="str">
        <f t="shared" si="17"/>
        <v>15043 Unilever : Renversement IBC de KOH</v>
      </c>
    </row>
    <row r="198" spans="1:40" s="76" customFormat="1" ht="13" hidden="1" x14ac:dyDescent="0.3">
      <c r="A198" s="122" t="s">
        <v>821</v>
      </c>
      <c r="B198" s="116">
        <v>15044</v>
      </c>
      <c r="C198" s="113" t="s">
        <v>4</v>
      </c>
      <c r="D198" s="117">
        <v>42332</v>
      </c>
      <c r="E198" s="118" t="s">
        <v>636</v>
      </c>
      <c r="F198" s="118" t="s">
        <v>822</v>
      </c>
      <c r="G198" s="111" t="s">
        <v>823</v>
      </c>
      <c r="H198" s="111"/>
      <c r="I198" s="119" t="s">
        <v>5</v>
      </c>
      <c r="J198" s="113"/>
      <c r="K198" s="118">
        <v>1965</v>
      </c>
      <c r="L198" s="118">
        <v>9245</v>
      </c>
      <c r="M198" s="118" t="s">
        <v>672</v>
      </c>
      <c r="N198" s="120" t="s">
        <v>824</v>
      </c>
      <c r="O198" s="111" t="s">
        <v>28</v>
      </c>
      <c r="P198" s="111"/>
      <c r="Q198" s="111"/>
      <c r="R198" s="111" t="s">
        <v>9</v>
      </c>
      <c r="S198" s="111"/>
      <c r="T198" s="118"/>
      <c r="U198" s="64"/>
      <c r="V198" s="158" t="s">
        <v>6</v>
      </c>
      <c r="W198" s="118" t="s">
        <v>160</v>
      </c>
      <c r="X198" s="113"/>
      <c r="Y198" s="117">
        <f t="shared" si="12"/>
        <v>42424</v>
      </c>
      <c r="Z198" s="117">
        <v>42683</v>
      </c>
      <c r="AA198" s="161" t="str">
        <f t="shared" ca="1" si="13"/>
        <v>NO</v>
      </c>
      <c r="AB198" s="113"/>
      <c r="AC198" s="117"/>
      <c r="AD198" s="111"/>
      <c r="AE198" s="111"/>
      <c r="AF198" s="111" t="str">
        <f t="shared" ca="1" si="14"/>
        <v/>
      </c>
      <c r="AG198" s="162"/>
      <c r="AH198" s="162"/>
      <c r="AI198" s="164">
        <f t="shared" si="15"/>
        <v>0</v>
      </c>
      <c r="AJ198" s="118"/>
      <c r="AK198" s="113" t="s">
        <v>676</v>
      </c>
      <c r="AL198" s="118"/>
      <c r="AM198" s="165" t="str">
        <f t="shared" si="16"/>
        <v>15044 Friesland Foods GOS4</v>
      </c>
      <c r="AN198" s="165" t="str">
        <f t="shared" si="17"/>
        <v>15044 Friesland Foods GOS4 : Développement biofilm et bactérie</v>
      </c>
    </row>
    <row r="199" spans="1:40" s="76" customFormat="1" ht="13" hidden="1" x14ac:dyDescent="0.3">
      <c r="A199" s="122" t="s">
        <v>825</v>
      </c>
      <c r="B199" s="116">
        <v>15045</v>
      </c>
      <c r="C199" s="113" t="s">
        <v>4</v>
      </c>
      <c r="D199" s="117">
        <v>42338</v>
      </c>
      <c r="E199" s="118" t="s">
        <v>826</v>
      </c>
      <c r="F199" s="118" t="s">
        <v>164</v>
      </c>
      <c r="G199" s="111" t="s">
        <v>827</v>
      </c>
      <c r="H199" s="111" t="s">
        <v>828</v>
      </c>
      <c r="I199" s="119" t="s">
        <v>2056</v>
      </c>
      <c r="J199" s="113"/>
      <c r="K199" s="118">
        <v>1992</v>
      </c>
      <c r="L199" s="118">
        <v>10129</v>
      </c>
      <c r="M199" s="118" t="s">
        <v>13</v>
      </c>
      <c r="N199" s="120" t="s">
        <v>829</v>
      </c>
      <c r="O199" s="111" t="s">
        <v>29</v>
      </c>
      <c r="P199" s="111" t="s">
        <v>86</v>
      </c>
      <c r="Q199" s="111" t="s">
        <v>830</v>
      </c>
      <c r="R199" s="111" t="s">
        <v>145</v>
      </c>
      <c r="S199" s="111"/>
      <c r="T199" s="129" t="s">
        <v>831</v>
      </c>
      <c r="U199" s="64">
        <v>42411</v>
      </c>
      <c r="V199" s="158" t="s">
        <v>10</v>
      </c>
      <c r="W199" s="118"/>
      <c r="X199" s="113"/>
      <c r="Y199" s="117">
        <f t="shared" ref="Y199:Y262" si="18">EDATE(D199,3)</f>
        <v>42429</v>
      </c>
      <c r="Z199" s="117">
        <v>42423</v>
      </c>
      <c r="AA199" s="161" t="str">
        <f t="shared" ca="1" si="13"/>
        <v>YES</v>
      </c>
      <c r="AB199" s="113"/>
      <c r="AC199" s="117"/>
      <c r="AD199" s="111"/>
      <c r="AE199" s="111"/>
      <c r="AF199" s="111" t="str">
        <f t="shared" ca="1" si="14"/>
        <v>N/A</v>
      </c>
      <c r="AG199" s="162"/>
      <c r="AH199" s="162"/>
      <c r="AI199" s="164">
        <f t="shared" si="15"/>
        <v>0</v>
      </c>
      <c r="AJ199" s="118" t="s">
        <v>6</v>
      </c>
      <c r="AK199" s="113">
        <v>42689</v>
      </c>
      <c r="AL199" s="118"/>
      <c r="AM199" s="165" t="str">
        <f t="shared" si="16"/>
        <v>15045 Almasirah</v>
      </c>
      <c r="AN199" s="165" t="str">
        <f t="shared" si="17"/>
        <v xml:space="preserve">15045 Almasirah : Ecart puissance moteur transmis </v>
      </c>
    </row>
    <row r="200" spans="1:40" s="76" customFormat="1" ht="13" hidden="1" x14ac:dyDescent="0.3">
      <c r="A200" s="122" t="s">
        <v>832</v>
      </c>
      <c r="B200" s="116">
        <v>15046</v>
      </c>
      <c r="C200" s="113" t="s">
        <v>4</v>
      </c>
      <c r="D200" s="117">
        <v>42338</v>
      </c>
      <c r="E200" s="118" t="s">
        <v>577</v>
      </c>
      <c r="F200" s="118" t="s">
        <v>420</v>
      </c>
      <c r="G200" s="111" t="s">
        <v>591</v>
      </c>
      <c r="H200" s="111"/>
      <c r="I200" s="119" t="s">
        <v>2058</v>
      </c>
      <c r="J200" s="113"/>
      <c r="K200" s="118" t="s">
        <v>454</v>
      </c>
      <c r="L200" s="118" t="s">
        <v>833</v>
      </c>
      <c r="M200" s="118" t="s">
        <v>454</v>
      </c>
      <c r="N200" s="120" t="s">
        <v>834</v>
      </c>
      <c r="O200" s="111" t="s">
        <v>420</v>
      </c>
      <c r="P200" s="111" t="s">
        <v>80</v>
      </c>
      <c r="Q200" s="111"/>
      <c r="R200" s="111" t="s">
        <v>87</v>
      </c>
      <c r="S200" s="111"/>
      <c r="T200" s="118"/>
      <c r="U200" s="64">
        <v>42277</v>
      </c>
      <c r="V200" s="158" t="s">
        <v>6</v>
      </c>
      <c r="W200" s="118" t="s">
        <v>577</v>
      </c>
      <c r="X200" s="113"/>
      <c r="Y200" s="117">
        <f t="shared" si="18"/>
        <v>42429</v>
      </c>
      <c r="Z200" s="117">
        <v>42395</v>
      </c>
      <c r="AA200" s="161" t="str">
        <f t="shared" ref="AA200:AA263" ca="1" si="19">IF(Z200="",IF(TODAY()&gt;Y200,"NO","YES"),IF(Z200&gt;Y200,"NO",IF(Z200&lt;Y200,"YES",IF(Y200=Z200,"YES","N/A"))))</f>
        <v>YES</v>
      </c>
      <c r="AB200" s="113"/>
      <c r="AC200" s="117"/>
      <c r="AD200" s="111"/>
      <c r="AE200" s="111"/>
      <c r="AF200" s="111" t="str">
        <f t="shared" ref="AF200:AF263" ca="1" si="20">IF(I200="Claim",IF(AD200="","",IF(AE200="",IF(TODAY()&gt;AD200,"NO","YES"),IF(AE200&gt;AD200,"NO",IF(AE200&lt;AD200,"YES",IF(AD200=AE200,"YES","N/A"))))),"N/A")</f>
        <v>N/A</v>
      </c>
      <c r="AG200" s="162"/>
      <c r="AH200" s="162"/>
      <c r="AI200" s="164">
        <f t="shared" ref="AI200:AI263" si="21">AH200+AG200</f>
        <v>0</v>
      </c>
      <c r="AJ200" s="118" t="s">
        <v>6</v>
      </c>
      <c r="AK200" s="113">
        <v>42499</v>
      </c>
      <c r="AL200" s="118"/>
      <c r="AM200" s="165" t="str">
        <f t="shared" ref="AM200:AM263" si="22">CONCATENATE(B200," ",G200)</f>
        <v xml:space="preserve">15046 Tanichem </v>
      </c>
      <c r="AN200" s="165" t="str">
        <f t="shared" ref="AN200:AN263" si="23">CONCATENATE(B200," ",G200," : ",N200)</f>
        <v>15046 Tanichem  : Explosion Erlenmeyer</v>
      </c>
    </row>
    <row r="201" spans="1:40" s="76" customFormat="1" ht="13" hidden="1" x14ac:dyDescent="0.3">
      <c r="A201" s="122" t="s">
        <v>835</v>
      </c>
      <c r="B201" s="116">
        <v>15047</v>
      </c>
      <c r="C201" s="113" t="s">
        <v>4</v>
      </c>
      <c r="D201" s="117">
        <v>42359</v>
      </c>
      <c r="E201" s="118" t="s">
        <v>82</v>
      </c>
      <c r="F201" s="118" t="s">
        <v>658</v>
      </c>
      <c r="G201" s="111" t="s">
        <v>836</v>
      </c>
      <c r="H201" s="111" t="s">
        <v>837</v>
      </c>
      <c r="I201" s="119" t="s">
        <v>2057</v>
      </c>
      <c r="J201" s="113" t="s">
        <v>6</v>
      </c>
      <c r="K201" s="118">
        <v>1876</v>
      </c>
      <c r="L201" s="118">
        <v>7690</v>
      </c>
      <c r="M201" s="118" t="s">
        <v>672</v>
      </c>
      <c r="N201" s="120" t="s">
        <v>838</v>
      </c>
      <c r="O201" s="111" t="s">
        <v>28</v>
      </c>
      <c r="P201" s="111" t="s">
        <v>103</v>
      </c>
      <c r="Q201" s="111"/>
      <c r="R201" s="111" t="s">
        <v>15</v>
      </c>
      <c r="S201" s="111"/>
      <c r="T201" s="118"/>
      <c r="U201" s="64">
        <v>42404</v>
      </c>
      <c r="V201" s="158" t="s">
        <v>6</v>
      </c>
      <c r="W201" s="118" t="s">
        <v>839</v>
      </c>
      <c r="X201" s="113"/>
      <c r="Y201" s="117">
        <f t="shared" si="18"/>
        <v>42450</v>
      </c>
      <c r="Z201" s="117">
        <v>42636</v>
      </c>
      <c r="AA201" s="161" t="str">
        <f t="shared" ca="1" si="19"/>
        <v>NO</v>
      </c>
      <c r="AB201" s="113"/>
      <c r="AC201" s="117"/>
      <c r="AD201" s="111"/>
      <c r="AE201" s="111"/>
      <c r="AF201" s="111" t="str">
        <f t="shared" ca="1" si="20"/>
        <v>N/A</v>
      </c>
      <c r="AG201" s="162"/>
      <c r="AH201" s="162"/>
      <c r="AI201" s="164">
        <f t="shared" si="21"/>
        <v>0</v>
      </c>
      <c r="AJ201" s="118"/>
      <c r="AK201" s="113" t="s">
        <v>840</v>
      </c>
      <c r="AL201" s="118"/>
      <c r="AM201" s="165" t="str">
        <f t="shared" si="22"/>
        <v>15047 Téréos Olmédo</v>
      </c>
      <c r="AN201" s="165" t="str">
        <f t="shared" si="23"/>
        <v>15047 Téréos Olmédo : fissure ébonite déformation plancher</v>
      </c>
    </row>
    <row r="202" spans="1:40" s="76" customFormat="1" ht="13" hidden="1" x14ac:dyDescent="0.3">
      <c r="A202" s="122" t="s">
        <v>841</v>
      </c>
      <c r="B202" s="116">
        <v>16001</v>
      </c>
      <c r="C202" s="113" t="s">
        <v>4</v>
      </c>
      <c r="D202" s="117">
        <v>42373</v>
      </c>
      <c r="E202" s="118" t="s">
        <v>91</v>
      </c>
      <c r="F202" s="118" t="s">
        <v>164</v>
      </c>
      <c r="G202" s="111" t="s">
        <v>538</v>
      </c>
      <c r="H202" s="111"/>
      <c r="I202" s="119" t="s">
        <v>2057</v>
      </c>
      <c r="J202" s="113"/>
      <c r="K202" s="118">
        <v>1984</v>
      </c>
      <c r="L202" s="118">
        <v>9728</v>
      </c>
      <c r="M202" s="118" t="s">
        <v>11</v>
      </c>
      <c r="N202" s="120" t="s">
        <v>842</v>
      </c>
      <c r="O202" s="111" t="s">
        <v>29</v>
      </c>
      <c r="P202" s="111" t="s">
        <v>86</v>
      </c>
      <c r="Q202" s="111" t="s">
        <v>522</v>
      </c>
      <c r="R202" s="111" t="s">
        <v>15</v>
      </c>
      <c r="S202" s="111"/>
      <c r="T202" s="118"/>
      <c r="U202" s="64">
        <v>42285</v>
      </c>
      <c r="V202" s="158" t="s">
        <v>10</v>
      </c>
      <c r="W202" s="118"/>
      <c r="X202" s="113"/>
      <c r="Y202" s="117">
        <f t="shared" si="18"/>
        <v>42464</v>
      </c>
      <c r="Z202" s="117">
        <v>42447</v>
      </c>
      <c r="AA202" s="161" t="str">
        <f t="shared" ca="1" si="19"/>
        <v>YES</v>
      </c>
      <c r="AB202" s="113"/>
      <c r="AC202" s="117"/>
      <c r="AD202" s="111"/>
      <c r="AE202" s="111"/>
      <c r="AF202" s="111" t="str">
        <f t="shared" ca="1" si="20"/>
        <v>N/A</v>
      </c>
      <c r="AG202" s="162"/>
      <c r="AH202" s="162"/>
      <c r="AI202" s="164">
        <f t="shared" si="21"/>
        <v>0</v>
      </c>
      <c r="AJ202" s="118" t="s">
        <v>6</v>
      </c>
      <c r="AK202" s="113">
        <v>42683</v>
      </c>
      <c r="AL202" s="118"/>
      <c r="AM202" s="165" t="str">
        <f t="shared" si="22"/>
        <v>16001 ADM</v>
      </c>
      <c r="AN202" s="165" t="str">
        <f t="shared" si="23"/>
        <v>16001 ADM : lack of spray nozzles</v>
      </c>
    </row>
    <row r="203" spans="1:40" s="76" customFormat="1" ht="13" hidden="1" x14ac:dyDescent="0.3">
      <c r="A203" s="122" t="s">
        <v>843</v>
      </c>
      <c r="B203" s="116">
        <v>16002</v>
      </c>
      <c r="C203" s="113" t="s">
        <v>4</v>
      </c>
      <c r="D203" s="117">
        <v>42373</v>
      </c>
      <c r="E203" s="118" t="s">
        <v>91</v>
      </c>
      <c r="F203" s="118" t="s">
        <v>164</v>
      </c>
      <c r="G203" s="111" t="s">
        <v>538</v>
      </c>
      <c r="H203" s="111"/>
      <c r="I203" s="119" t="s">
        <v>2057</v>
      </c>
      <c r="J203" s="113"/>
      <c r="K203" s="118">
        <v>1984</v>
      </c>
      <c r="L203" s="118">
        <v>9728</v>
      </c>
      <c r="M203" s="118" t="s">
        <v>13</v>
      </c>
      <c r="N203" s="120" t="s">
        <v>844</v>
      </c>
      <c r="O203" s="111" t="s">
        <v>29</v>
      </c>
      <c r="P203" s="111" t="s">
        <v>86</v>
      </c>
      <c r="Q203" s="111" t="s">
        <v>522</v>
      </c>
      <c r="R203" s="111" t="s">
        <v>9</v>
      </c>
      <c r="S203" s="111"/>
      <c r="T203" s="118"/>
      <c r="U203" s="64">
        <v>42304</v>
      </c>
      <c r="V203" s="158" t="s">
        <v>6</v>
      </c>
      <c r="W203" s="118" t="s">
        <v>120</v>
      </c>
      <c r="X203" s="113"/>
      <c r="Y203" s="117">
        <f t="shared" si="18"/>
        <v>42464</v>
      </c>
      <c r="Z203" s="117">
        <v>42450</v>
      </c>
      <c r="AA203" s="161" t="str">
        <f t="shared" ca="1" si="19"/>
        <v>YES</v>
      </c>
      <c r="AB203" s="113"/>
      <c r="AC203" s="117"/>
      <c r="AD203" s="111"/>
      <c r="AE203" s="111"/>
      <c r="AF203" s="111" t="str">
        <f t="shared" ca="1" si="20"/>
        <v>N/A</v>
      </c>
      <c r="AG203" s="162"/>
      <c r="AH203" s="162"/>
      <c r="AI203" s="164">
        <f t="shared" si="21"/>
        <v>0</v>
      </c>
      <c r="AJ203" s="118" t="s">
        <v>6</v>
      </c>
      <c r="AK203" s="113">
        <v>42683</v>
      </c>
      <c r="AL203" s="118"/>
      <c r="AM203" s="165" t="str">
        <f t="shared" si="22"/>
        <v>16002 ADM</v>
      </c>
      <c r="AN203" s="165" t="str">
        <f t="shared" si="23"/>
        <v>16002 ADM : vaccum breaker missing</v>
      </c>
    </row>
    <row r="204" spans="1:40" s="76" customFormat="1" ht="13" hidden="1" x14ac:dyDescent="0.3">
      <c r="A204" s="122" t="s">
        <v>845</v>
      </c>
      <c r="B204" s="116">
        <v>16003</v>
      </c>
      <c r="C204" s="113" t="s">
        <v>4</v>
      </c>
      <c r="D204" s="117">
        <v>42375</v>
      </c>
      <c r="E204" s="118" t="s">
        <v>160</v>
      </c>
      <c r="F204" s="118" t="s">
        <v>658</v>
      </c>
      <c r="G204" s="111" t="s">
        <v>823</v>
      </c>
      <c r="H204" s="111"/>
      <c r="I204" s="119" t="s">
        <v>2057</v>
      </c>
      <c r="J204" s="113"/>
      <c r="K204" s="118">
        <v>1965</v>
      </c>
      <c r="L204" s="118">
        <v>9245</v>
      </c>
      <c r="M204" s="118" t="s">
        <v>672</v>
      </c>
      <c r="N204" s="120" t="s">
        <v>846</v>
      </c>
      <c r="O204" s="111" t="s">
        <v>28</v>
      </c>
      <c r="P204" s="111" t="s">
        <v>103</v>
      </c>
      <c r="Q204" s="111" t="s">
        <v>847</v>
      </c>
      <c r="R204" s="111" t="s">
        <v>9</v>
      </c>
      <c r="S204" s="111"/>
      <c r="T204" s="118"/>
      <c r="U204" s="64">
        <v>42401</v>
      </c>
      <c r="V204" s="158" t="s">
        <v>10</v>
      </c>
      <c r="W204" s="118"/>
      <c r="X204" s="113"/>
      <c r="Y204" s="117">
        <f t="shared" si="18"/>
        <v>42466</v>
      </c>
      <c r="Z204" s="117">
        <v>42433</v>
      </c>
      <c r="AA204" s="161" t="str">
        <f t="shared" ca="1" si="19"/>
        <v>YES</v>
      </c>
      <c r="AB204" s="113"/>
      <c r="AC204" s="117"/>
      <c r="AD204" s="111"/>
      <c r="AE204" s="111"/>
      <c r="AF204" s="111" t="str">
        <f t="shared" ca="1" si="20"/>
        <v>N/A</v>
      </c>
      <c r="AG204" s="162"/>
      <c r="AH204" s="162"/>
      <c r="AI204" s="164">
        <f t="shared" si="21"/>
        <v>0</v>
      </c>
      <c r="AJ204" s="118" t="s">
        <v>6</v>
      </c>
      <c r="AK204" s="113">
        <v>43018</v>
      </c>
      <c r="AL204" s="118"/>
      <c r="AM204" s="165" t="str">
        <f t="shared" si="22"/>
        <v>16003 Friesland Foods GOS4</v>
      </c>
      <c r="AN204" s="165" t="str">
        <f t="shared" si="23"/>
        <v>16003 Friesland Foods GOS4 : breaking gasket</v>
      </c>
    </row>
    <row r="205" spans="1:40" s="76" customFormat="1" ht="13" hidden="1" x14ac:dyDescent="0.3">
      <c r="A205" s="122" t="s">
        <v>848</v>
      </c>
      <c r="B205" s="116">
        <v>16004</v>
      </c>
      <c r="C205" s="113" t="s">
        <v>4</v>
      </c>
      <c r="D205" s="117">
        <v>42380</v>
      </c>
      <c r="E205" s="118" t="s">
        <v>787</v>
      </c>
      <c r="F205" s="118" t="s">
        <v>691</v>
      </c>
      <c r="G205" s="111" t="s">
        <v>849</v>
      </c>
      <c r="H205" s="111"/>
      <c r="I205" s="119" t="s">
        <v>2057</v>
      </c>
      <c r="J205" s="113"/>
      <c r="K205" s="118" t="s">
        <v>454</v>
      </c>
      <c r="L205" s="118" t="s">
        <v>850</v>
      </c>
      <c r="M205" s="118" t="s">
        <v>13</v>
      </c>
      <c r="N205" s="120" t="s">
        <v>851</v>
      </c>
      <c r="O205" s="111" t="s">
        <v>29</v>
      </c>
      <c r="P205" s="111" t="s">
        <v>157</v>
      </c>
      <c r="Q205" s="111" t="s">
        <v>852</v>
      </c>
      <c r="R205" s="111" t="s">
        <v>15</v>
      </c>
      <c r="S205" s="111"/>
      <c r="T205" s="118"/>
      <c r="U205" s="64">
        <v>42367</v>
      </c>
      <c r="V205" s="158" t="s">
        <v>6</v>
      </c>
      <c r="W205" s="118" t="s">
        <v>153</v>
      </c>
      <c r="X205" s="113"/>
      <c r="Y205" s="117">
        <f t="shared" si="18"/>
        <v>42471</v>
      </c>
      <c r="Z205" s="117">
        <v>42460</v>
      </c>
      <c r="AA205" s="161" t="str">
        <f t="shared" ca="1" si="19"/>
        <v>YES</v>
      </c>
      <c r="AB205" s="113"/>
      <c r="AC205" s="117"/>
      <c r="AD205" s="111"/>
      <c r="AE205" s="111"/>
      <c r="AF205" s="111" t="str">
        <f t="shared" ca="1" si="20"/>
        <v>N/A</v>
      </c>
      <c r="AG205" s="162"/>
      <c r="AH205" s="162"/>
      <c r="AI205" s="164">
        <f t="shared" si="21"/>
        <v>0</v>
      </c>
      <c r="AJ205" s="118" t="s">
        <v>6</v>
      </c>
      <c r="AK205" s="113">
        <v>42683</v>
      </c>
      <c r="AL205" s="118"/>
      <c r="AM205" s="165" t="str">
        <f t="shared" si="22"/>
        <v>16004 CSC Sugar</v>
      </c>
      <c r="AN205" s="165" t="str">
        <f t="shared" si="23"/>
        <v>16004 CSC Sugar : process design error liquid sugar</v>
      </c>
    </row>
    <row r="206" spans="1:40" s="76" customFormat="1" ht="13" hidden="1" x14ac:dyDescent="0.3">
      <c r="A206" s="122" t="s">
        <v>853</v>
      </c>
      <c r="B206" s="116">
        <v>16005</v>
      </c>
      <c r="C206" s="113" t="s">
        <v>8</v>
      </c>
      <c r="D206" s="117">
        <v>42380</v>
      </c>
      <c r="E206" s="118" t="s">
        <v>441</v>
      </c>
      <c r="F206" s="118" t="s">
        <v>164</v>
      </c>
      <c r="G206" s="111" t="s">
        <v>854</v>
      </c>
      <c r="H206" s="111" t="s">
        <v>352</v>
      </c>
      <c r="I206" s="119" t="s">
        <v>2056</v>
      </c>
      <c r="J206" s="113"/>
      <c r="K206" s="118">
        <v>1974</v>
      </c>
      <c r="L206" s="118">
        <v>9876</v>
      </c>
      <c r="M206" s="118" t="s">
        <v>13</v>
      </c>
      <c r="N206" s="111" t="s">
        <v>855</v>
      </c>
      <c r="O206" s="111" t="s">
        <v>29</v>
      </c>
      <c r="P206" s="111" t="s">
        <v>86</v>
      </c>
      <c r="Q206" s="111"/>
      <c r="R206" s="111" t="s">
        <v>145</v>
      </c>
      <c r="S206" s="111"/>
      <c r="T206" s="118"/>
      <c r="U206" s="66">
        <v>42381</v>
      </c>
      <c r="V206" s="158" t="s">
        <v>6</v>
      </c>
      <c r="W206" s="118" t="s">
        <v>441</v>
      </c>
      <c r="X206" s="113"/>
      <c r="Y206" s="117">
        <f t="shared" si="18"/>
        <v>42471</v>
      </c>
      <c r="Z206" s="117">
        <v>42506</v>
      </c>
      <c r="AA206" s="161" t="str">
        <f t="shared" ca="1" si="19"/>
        <v>NO</v>
      </c>
      <c r="AB206" s="113"/>
      <c r="AC206" s="117"/>
      <c r="AD206" s="111"/>
      <c r="AE206" s="111"/>
      <c r="AF206" s="111" t="str">
        <f t="shared" ca="1" si="20"/>
        <v>N/A</v>
      </c>
      <c r="AG206" s="162"/>
      <c r="AH206" s="162"/>
      <c r="AI206" s="164">
        <f t="shared" si="21"/>
        <v>0</v>
      </c>
      <c r="AJ206" s="118"/>
      <c r="AK206" s="113"/>
      <c r="AL206" s="118"/>
      <c r="AM206" s="165" t="str">
        <f t="shared" si="22"/>
        <v>16005 MEFSCO</v>
      </c>
      <c r="AN206" s="165" t="str">
        <f t="shared" si="23"/>
        <v>16005 MEFSCO : floor deformations issue</v>
      </c>
    </row>
    <row r="207" spans="1:40" s="76" customFormat="1" ht="13" hidden="1" x14ac:dyDescent="0.3">
      <c r="A207" s="122" t="s">
        <v>856</v>
      </c>
      <c r="B207" s="116">
        <v>16006</v>
      </c>
      <c r="C207" s="113" t="s">
        <v>8</v>
      </c>
      <c r="D207" s="117">
        <v>42380</v>
      </c>
      <c r="E207" s="118" t="s">
        <v>857</v>
      </c>
      <c r="F207" s="118" t="s">
        <v>164</v>
      </c>
      <c r="G207" s="111" t="s">
        <v>538</v>
      </c>
      <c r="H207" s="111" t="s">
        <v>858</v>
      </c>
      <c r="I207" s="119" t="s">
        <v>5</v>
      </c>
      <c r="J207" s="113"/>
      <c r="K207" s="118">
        <v>1984</v>
      </c>
      <c r="L207" s="118">
        <v>9728</v>
      </c>
      <c r="M207" s="118" t="s">
        <v>859</v>
      </c>
      <c r="N207" s="111" t="s">
        <v>860</v>
      </c>
      <c r="O207" s="111" t="s">
        <v>29</v>
      </c>
      <c r="P207" s="111" t="s">
        <v>176</v>
      </c>
      <c r="Q207" s="111"/>
      <c r="R207" s="111" t="s">
        <v>145</v>
      </c>
      <c r="S207" s="111"/>
      <c r="T207" s="118"/>
      <c r="U207" s="66">
        <v>42341</v>
      </c>
      <c r="V207" s="158" t="s">
        <v>6</v>
      </c>
      <c r="W207" s="118" t="s">
        <v>857</v>
      </c>
      <c r="X207" s="113"/>
      <c r="Y207" s="117">
        <f t="shared" si="18"/>
        <v>42471</v>
      </c>
      <c r="Z207" s="117">
        <v>42450</v>
      </c>
      <c r="AA207" s="161" t="str">
        <f t="shared" ca="1" si="19"/>
        <v>YES</v>
      </c>
      <c r="AB207" s="113"/>
      <c r="AC207" s="117">
        <v>42075</v>
      </c>
      <c r="AD207" s="64">
        <v>42471</v>
      </c>
      <c r="AE207" s="180">
        <v>42450</v>
      </c>
      <c r="AF207" s="111" t="str">
        <f t="shared" ca="1" si="20"/>
        <v>YES</v>
      </c>
      <c r="AG207" s="162"/>
      <c r="AH207" s="162"/>
      <c r="AI207" s="164">
        <f t="shared" si="21"/>
        <v>0</v>
      </c>
      <c r="AJ207" s="118" t="s">
        <v>6</v>
      </c>
      <c r="AK207" s="113">
        <v>42690</v>
      </c>
      <c r="AL207" s="118"/>
      <c r="AM207" s="165" t="str">
        <f t="shared" si="22"/>
        <v>16006 ADM</v>
      </c>
      <c r="AN207" s="165" t="str">
        <f t="shared" si="23"/>
        <v>16006 ADM : quality issue of limit switch</v>
      </c>
    </row>
    <row r="208" spans="1:40" s="76" customFormat="1" ht="13" hidden="1" x14ac:dyDescent="0.3">
      <c r="A208" s="122" t="s">
        <v>861</v>
      </c>
      <c r="B208" s="116">
        <v>16007</v>
      </c>
      <c r="C208" s="113" t="s">
        <v>4</v>
      </c>
      <c r="D208" s="117">
        <v>42397</v>
      </c>
      <c r="E208" s="118" t="s">
        <v>160</v>
      </c>
      <c r="F208" s="118" t="s">
        <v>658</v>
      </c>
      <c r="G208" s="111" t="s">
        <v>388</v>
      </c>
      <c r="H208" s="111"/>
      <c r="I208" s="119" t="s">
        <v>2057</v>
      </c>
      <c r="J208" s="113"/>
      <c r="K208" s="118">
        <v>1640</v>
      </c>
      <c r="L208" s="118" t="s">
        <v>162</v>
      </c>
      <c r="M208" s="118" t="s">
        <v>13</v>
      </c>
      <c r="N208" s="120" t="s">
        <v>862</v>
      </c>
      <c r="O208" s="111" t="s">
        <v>28</v>
      </c>
      <c r="P208" s="111" t="s">
        <v>103</v>
      </c>
      <c r="Q208" s="111" t="s">
        <v>847</v>
      </c>
      <c r="R208" s="111" t="s">
        <v>145</v>
      </c>
      <c r="S208" s="111"/>
      <c r="T208" s="118"/>
      <c r="U208" s="64"/>
      <c r="V208" s="158" t="s">
        <v>6</v>
      </c>
      <c r="W208" s="118" t="s">
        <v>82</v>
      </c>
      <c r="X208" s="113"/>
      <c r="Y208" s="117">
        <f t="shared" si="18"/>
        <v>42488</v>
      </c>
      <c r="Z208" s="117">
        <v>42486</v>
      </c>
      <c r="AA208" s="161" t="str">
        <f t="shared" ca="1" si="19"/>
        <v>YES</v>
      </c>
      <c r="AB208" s="113"/>
      <c r="AC208" s="117"/>
      <c r="AD208" s="111"/>
      <c r="AE208" s="111"/>
      <c r="AF208" s="111" t="str">
        <f t="shared" ca="1" si="20"/>
        <v>N/A</v>
      </c>
      <c r="AG208" s="162"/>
      <c r="AH208" s="162"/>
      <c r="AI208" s="164">
        <f t="shared" si="21"/>
        <v>0</v>
      </c>
      <c r="AJ208" s="118" t="s">
        <v>6</v>
      </c>
      <c r="AK208" s="113">
        <v>43011</v>
      </c>
      <c r="AL208" s="118"/>
      <c r="AM208" s="165" t="str">
        <f t="shared" si="22"/>
        <v>16007 GOI</v>
      </c>
      <c r="AN208" s="165" t="str">
        <f t="shared" si="23"/>
        <v>16007 GOI : leak and cation rubber lining cracks</v>
      </c>
    </row>
    <row r="209" spans="1:40" s="76" customFormat="1" ht="13" hidden="1" x14ac:dyDescent="0.3">
      <c r="A209" s="122" t="s">
        <v>863</v>
      </c>
      <c r="B209" s="116">
        <v>16008</v>
      </c>
      <c r="C209" s="113" t="s">
        <v>4</v>
      </c>
      <c r="D209" s="117">
        <v>42409</v>
      </c>
      <c r="E209" s="118" t="s">
        <v>864</v>
      </c>
      <c r="F209" s="118" t="s">
        <v>164</v>
      </c>
      <c r="G209" s="111" t="s">
        <v>854</v>
      </c>
      <c r="H209" s="111"/>
      <c r="I209" s="119" t="s">
        <v>2057</v>
      </c>
      <c r="J209" s="113"/>
      <c r="K209" s="118">
        <v>1974</v>
      </c>
      <c r="L209" s="118">
        <v>9876</v>
      </c>
      <c r="M209" s="118" t="s">
        <v>13</v>
      </c>
      <c r="N209" s="120" t="s">
        <v>865</v>
      </c>
      <c r="O209" s="111" t="s">
        <v>29</v>
      </c>
      <c r="P209" s="111" t="s">
        <v>86</v>
      </c>
      <c r="Q209" s="111" t="s">
        <v>866</v>
      </c>
      <c r="R209" s="111" t="s">
        <v>9</v>
      </c>
      <c r="S209" s="111"/>
      <c r="T209" s="118"/>
      <c r="U209" s="64"/>
      <c r="V209" s="158" t="s">
        <v>6</v>
      </c>
      <c r="W209" s="118" t="s">
        <v>153</v>
      </c>
      <c r="X209" s="113"/>
      <c r="Y209" s="117">
        <f t="shared" si="18"/>
        <v>42499</v>
      </c>
      <c r="Z209" s="117">
        <v>42499</v>
      </c>
      <c r="AA209" s="161" t="str">
        <f t="shared" ca="1" si="19"/>
        <v>YES</v>
      </c>
      <c r="AB209" s="113"/>
      <c r="AC209" s="117"/>
      <c r="AD209" s="111"/>
      <c r="AE209" s="111"/>
      <c r="AF209" s="111" t="str">
        <f t="shared" ca="1" si="20"/>
        <v>N/A</v>
      </c>
      <c r="AG209" s="162"/>
      <c r="AH209" s="162"/>
      <c r="AI209" s="164">
        <f t="shared" si="21"/>
        <v>0</v>
      </c>
      <c r="AJ209" s="118" t="s">
        <v>6</v>
      </c>
      <c r="AK209" s="113">
        <v>43059</v>
      </c>
      <c r="AL209" s="118"/>
      <c r="AM209" s="165" t="str">
        <f t="shared" si="22"/>
        <v>16008 MEFSCO</v>
      </c>
      <c r="AN209" s="165" t="str">
        <f t="shared" si="23"/>
        <v>16008 MEFSCO : mistake in functional analysis</v>
      </c>
    </row>
    <row r="210" spans="1:40" s="76" customFormat="1" ht="13" hidden="1" x14ac:dyDescent="0.3">
      <c r="A210" s="122" t="s">
        <v>867</v>
      </c>
      <c r="B210" s="116">
        <v>16009</v>
      </c>
      <c r="C210" s="113" t="s">
        <v>8</v>
      </c>
      <c r="D210" s="117">
        <v>42422</v>
      </c>
      <c r="E210" s="118" t="s">
        <v>868</v>
      </c>
      <c r="F210" s="118" t="s">
        <v>164</v>
      </c>
      <c r="G210" s="111" t="s">
        <v>869</v>
      </c>
      <c r="H210" s="111" t="s">
        <v>870</v>
      </c>
      <c r="I210" s="119" t="s">
        <v>5</v>
      </c>
      <c r="J210" s="113"/>
      <c r="K210" s="118">
        <v>1995</v>
      </c>
      <c r="L210" s="118">
        <v>10268</v>
      </c>
      <c r="M210" s="118" t="s">
        <v>672</v>
      </c>
      <c r="N210" s="111" t="s">
        <v>871</v>
      </c>
      <c r="O210" s="111" t="s">
        <v>29</v>
      </c>
      <c r="P210" s="111" t="s">
        <v>176</v>
      </c>
      <c r="Q210" s="111"/>
      <c r="R210" s="111" t="s">
        <v>145</v>
      </c>
      <c r="S210" s="111"/>
      <c r="T210" s="118"/>
      <c r="U210" s="64">
        <v>42374</v>
      </c>
      <c r="V210" s="158" t="s">
        <v>10</v>
      </c>
      <c r="W210" s="118"/>
      <c r="X210" s="113"/>
      <c r="Y210" s="117">
        <f t="shared" si="18"/>
        <v>42512</v>
      </c>
      <c r="Z210" s="117">
        <v>42555</v>
      </c>
      <c r="AA210" s="161" t="str">
        <f t="shared" ca="1" si="19"/>
        <v>NO</v>
      </c>
      <c r="AB210" s="113"/>
      <c r="AC210" s="117"/>
      <c r="AD210" s="169">
        <v>42522</v>
      </c>
      <c r="AE210" s="180">
        <v>42549</v>
      </c>
      <c r="AF210" s="111" t="str">
        <f t="shared" ca="1" si="20"/>
        <v>NO</v>
      </c>
      <c r="AG210" s="162"/>
      <c r="AH210" s="162"/>
      <c r="AI210" s="164">
        <f t="shared" si="21"/>
        <v>0</v>
      </c>
      <c r="AJ210" s="118"/>
      <c r="AK210" s="113"/>
      <c r="AL210" s="118"/>
      <c r="AM210" s="165" t="str">
        <f t="shared" si="22"/>
        <v xml:space="preserve">16009 PT SUJ </v>
      </c>
      <c r="AN210" s="165" t="str">
        <f t="shared" si="23"/>
        <v>16009 PT SUJ  : Acid pump issue</v>
      </c>
    </row>
    <row r="211" spans="1:40" s="76" customFormat="1" ht="13" hidden="1" x14ac:dyDescent="0.3">
      <c r="A211" s="122" t="s">
        <v>872</v>
      </c>
      <c r="B211" s="116">
        <v>16010</v>
      </c>
      <c r="C211" s="113" t="s">
        <v>8</v>
      </c>
      <c r="D211" s="117">
        <v>42422</v>
      </c>
      <c r="E211" s="118" t="s">
        <v>868</v>
      </c>
      <c r="F211" s="118" t="s">
        <v>164</v>
      </c>
      <c r="G211" s="111" t="s">
        <v>869</v>
      </c>
      <c r="H211" s="111" t="s">
        <v>873</v>
      </c>
      <c r="I211" s="119" t="s">
        <v>5</v>
      </c>
      <c r="J211" s="113"/>
      <c r="K211" s="118">
        <v>1972</v>
      </c>
      <c r="L211" s="118">
        <v>9407</v>
      </c>
      <c r="M211" s="118" t="s">
        <v>18</v>
      </c>
      <c r="N211" s="111" t="s">
        <v>874</v>
      </c>
      <c r="O211" s="111" t="s">
        <v>29</v>
      </c>
      <c r="P211" s="111" t="s">
        <v>176</v>
      </c>
      <c r="Q211" s="111"/>
      <c r="R211" s="111" t="s">
        <v>145</v>
      </c>
      <c r="S211" s="111"/>
      <c r="T211" s="118"/>
      <c r="U211" s="64">
        <v>42418</v>
      </c>
      <c r="V211" s="158" t="s">
        <v>10</v>
      </c>
      <c r="W211" s="118"/>
      <c r="X211" s="113"/>
      <c r="Y211" s="117">
        <f t="shared" si="18"/>
        <v>42512</v>
      </c>
      <c r="Z211" s="117">
        <v>42612</v>
      </c>
      <c r="AA211" s="161" t="str">
        <f t="shared" ca="1" si="19"/>
        <v>NO</v>
      </c>
      <c r="AB211" s="113"/>
      <c r="AC211" s="117"/>
      <c r="AD211" s="169" t="s">
        <v>875</v>
      </c>
      <c r="AE211" s="180">
        <v>42612</v>
      </c>
      <c r="AF211" s="111" t="str">
        <f t="shared" ca="1" si="20"/>
        <v>YES</v>
      </c>
      <c r="AG211" s="162"/>
      <c r="AH211" s="162"/>
      <c r="AI211" s="164">
        <f t="shared" si="21"/>
        <v>0</v>
      </c>
      <c r="AJ211" s="118"/>
      <c r="AK211" s="113"/>
      <c r="AL211" s="118"/>
      <c r="AM211" s="165" t="str">
        <f t="shared" si="22"/>
        <v xml:space="preserve">16010 PT SUJ </v>
      </c>
      <c r="AN211" s="165" t="str">
        <f t="shared" si="23"/>
        <v>16010 PT SUJ  : plate deformation of sterile filter</v>
      </c>
    </row>
    <row r="212" spans="1:40" s="76" customFormat="1" ht="13" hidden="1" x14ac:dyDescent="0.3">
      <c r="A212" s="122" t="s">
        <v>876</v>
      </c>
      <c r="B212" s="116">
        <v>16011</v>
      </c>
      <c r="C212" s="113" t="s">
        <v>4</v>
      </c>
      <c r="D212" s="117">
        <v>42423</v>
      </c>
      <c r="E212" s="118" t="s">
        <v>877</v>
      </c>
      <c r="F212" s="118" t="s">
        <v>691</v>
      </c>
      <c r="G212" s="111" t="s">
        <v>878</v>
      </c>
      <c r="H212" s="111"/>
      <c r="I212" s="119" t="s">
        <v>2057</v>
      </c>
      <c r="J212" s="113"/>
      <c r="K212" s="118">
        <v>1944</v>
      </c>
      <c r="L212" s="118">
        <v>8410</v>
      </c>
      <c r="M212" s="118"/>
      <c r="N212" s="120" t="s">
        <v>879</v>
      </c>
      <c r="O212" s="111" t="s">
        <v>29</v>
      </c>
      <c r="P212" s="111" t="s">
        <v>86</v>
      </c>
      <c r="Q212" s="111" t="s">
        <v>605</v>
      </c>
      <c r="R212" s="111" t="s">
        <v>9</v>
      </c>
      <c r="S212" s="111"/>
      <c r="T212" s="118"/>
      <c r="U212" s="64">
        <v>42369</v>
      </c>
      <c r="V212" s="158" t="s">
        <v>6</v>
      </c>
      <c r="W212" s="118" t="s">
        <v>120</v>
      </c>
      <c r="X212" s="113"/>
      <c r="Y212" s="117">
        <f t="shared" si="18"/>
        <v>42513</v>
      </c>
      <c r="Z212" s="117">
        <v>42830</v>
      </c>
      <c r="AA212" s="161" t="str">
        <f t="shared" ca="1" si="19"/>
        <v>NO</v>
      </c>
      <c r="AB212" s="113"/>
      <c r="AC212" s="117"/>
      <c r="AD212" s="111"/>
      <c r="AE212" s="111"/>
      <c r="AF212" s="111" t="str">
        <f t="shared" ca="1" si="20"/>
        <v>N/A</v>
      </c>
      <c r="AG212" s="162"/>
      <c r="AH212" s="162"/>
      <c r="AI212" s="164">
        <f t="shared" si="21"/>
        <v>0</v>
      </c>
      <c r="AJ212" s="118"/>
      <c r="AK212" s="113" t="s">
        <v>880</v>
      </c>
      <c r="AL212" s="118"/>
      <c r="AM212" s="165" t="str">
        <f t="shared" si="22"/>
        <v>16011 Shuangqiao5 Fufeng</v>
      </c>
      <c r="AN212" s="165" t="str">
        <f t="shared" si="23"/>
        <v>16011 Shuangqiao5 Fufeng : inconsistency between AU02-PR02-PR06</v>
      </c>
    </row>
    <row r="213" spans="1:40" s="76" customFormat="1" ht="13" hidden="1" x14ac:dyDescent="0.3">
      <c r="A213" s="122" t="s">
        <v>881</v>
      </c>
      <c r="B213" s="116">
        <v>16012</v>
      </c>
      <c r="C213" s="113" t="s">
        <v>4</v>
      </c>
      <c r="D213" s="117">
        <v>42426</v>
      </c>
      <c r="E213" s="118" t="s">
        <v>224</v>
      </c>
      <c r="F213" s="118" t="s">
        <v>164</v>
      </c>
      <c r="G213" s="111" t="s">
        <v>649</v>
      </c>
      <c r="H213" s="111" t="s">
        <v>882</v>
      </c>
      <c r="I213" s="119" t="s">
        <v>5</v>
      </c>
      <c r="J213" s="113"/>
      <c r="K213" s="118">
        <v>8106</v>
      </c>
      <c r="L213" s="118" t="s">
        <v>883</v>
      </c>
      <c r="M213" s="118" t="s">
        <v>13</v>
      </c>
      <c r="N213" s="120" t="s">
        <v>884</v>
      </c>
      <c r="O213" s="111" t="s">
        <v>29</v>
      </c>
      <c r="P213" s="111" t="s">
        <v>86</v>
      </c>
      <c r="Q213" s="111" t="s">
        <v>885</v>
      </c>
      <c r="R213" s="111" t="s">
        <v>145</v>
      </c>
      <c r="S213" s="111"/>
      <c r="T213" s="118"/>
      <c r="U213" s="64">
        <v>42424</v>
      </c>
      <c r="V213" s="158" t="s">
        <v>6</v>
      </c>
      <c r="W213" s="118" t="s">
        <v>116</v>
      </c>
      <c r="X213" s="113"/>
      <c r="Y213" s="117">
        <f t="shared" si="18"/>
        <v>42516</v>
      </c>
      <c r="Z213" s="117">
        <v>42983</v>
      </c>
      <c r="AA213" s="161" t="str">
        <f t="shared" ca="1" si="19"/>
        <v>NO</v>
      </c>
      <c r="AB213" s="113"/>
      <c r="AC213" s="117">
        <v>42466</v>
      </c>
      <c r="AD213" s="169">
        <v>42643</v>
      </c>
      <c r="AE213" s="172">
        <v>42983</v>
      </c>
      <c r="AF213" s="111" t="str">
        <f t="shared" ca="1" si="20"/>
        <v>NO</v>
      </c>
      <c r="AG213" s="162"/>
      <c r="AH213" s="162"/>
      <c r="AI213" s="164">
        <f t="shared" si="21"/>
        <v>0</v>
      </c>
      <c r="AJ213" s="118"/>
      <c r="AK213" s="113" t="s">
        <v>886</v>
      </c>
      <c r="AL213" s="118"/>
      <c r="AM213" s="165" t="str">
        <f t="shared" si="22"/>
        <v>16012 Solanic</v>
      </c>
      <c r="AN213" s="165" t="str">
        <f t="shared" si="23"/>
        <v>16012 Solanic : cell leak of IEX column</v>
      </c>
    </row>
    <row r="214" spans="1:40" s="76" customFormat="1" ht="13" hidden="1" x14ac:dyDescent="0.3">
      <c r="A214" s="122" t="s">
        <v>887</v>
      </c>
      <c r="B214" s="116">
        <v>16013</v>
      </c>
      <c r="C214" s="113" t="s">
        <v>8</v>
      </c>
      <c r="D214" s="117">
        <v>42430</v>
      </c>
      <c r="E214" s="118" t="s">
        <v>888</v>
      </c>
      <c r="F214" s="118" t="s">
        <v>164</v>
      </c>
      <c r="G214" s="140" t="s">
        <v>889</v>
      </c>
      <c r="H214" s="111" t="s">
        <v>890</v>
      </c>
      <c r="I214" s="119" t="s">
        <v>2056</v>
      </c>
      <c r="J214" s="113"/>
      <c r="K214" s="141" t="s">
        <v>891</v>
      </c>
      <c r="L214" s="142" t="s">
        <v>892</v>
      </c>
      <c r="M214" s="118" t="s">
        <v>18</v>
      </c>
      <c r="N214" s="111" t="s">
        <v>893</v>
      </c>
      <c r="O214" s="111" t="s">
        <v>29</v>
      </c>
      <c r="P214" s="111" t="s">
        <v>176</v>
      </c>
      <c r="Q214" s="111"/>
      <c r="R214" s="111" t="s">
        <v>145</v>
      </c>
      <c r="S214" s="111"/>
      <c r="T214" s="118"/>
      <c r="U214" s="64">
        <v>42423</v>
      </c>
      <c r="V214" s="158" t="s">
        <v>10</v>
      </c>
      <c r="W214" s="118"/>
      <c r="X214" s="113"/>
      <c r="Y214" s="117">
        <f t="shared" si="18"/>
        <v>42522</v>
      </c>
      <c r="Z214" s="117">
        <v>42446</v>
      </c>
      <c r="AA214" s="161" t="str">
        <f t="shared" ca="1" si="19"/>
        <v>YES</v>
      </c>
      <c r="AB214" s="113"/>
      <c r="AC214" s="117"/>
      <c r="AD214" s="111"/>
      <c r="AE214" s="111"/>
      <c r="AF214" s="111" t="str">
        <f t="shared" ca="1" si="20"/>
        <v>N/A</v>
      </c>
      <c r="AG214" s="162"/>
      <c r="AH214" s="162"/>
      <c r="AI214" s="164">
        <f t="shared" si="21"/>
        <v>0</v>
      </c>
      <c r="AJ214" s="118" t="s">
        <v>6</v>
      </c>
      <c r="AK214" s="113">
        <v>42623</v>
      </c>
      <c r="AL214" s="118"/>
      <c r="AM214" s="165" t="str">
        <f t="shared" si="22"/>
        <v>16013 PT Jawamanis &amp; DUTA</v>
      </c>
      <c r="AN214" s="165" t="str">
        <f t="shared" si="23"/>
        <v xml:space="preserve">16013 PT Jawamanis &amp; DUTA : Leaking between two parts in CIP tank(PP) </v>
      </c>
    </row>
    <row r="215" spans="1:40" s="76" customFormat="1" ht="13" hidden="1" x14ac:dyDescent="0.3">
      <c r="A215" s="122" t="s">
        <v>894</v>
      </c>
      <c r="B215" s="116">
        <v>16014</v>
      </c>
      <c r="C215" s="113" t="s">
        <v>4</v>
      </c>
      <c r="D215" s="117">
        <v>42447</v>
      </c>
      <c r="E215" s="118" t="s">
        <v>864</v>
      </c>
      <c r="F215" s="118" t="s">
        <v>164</v>
      </c>
      <c r="G215" s="111" t="s">
        <v>895</v>
      </c>
      <c r="H215" s="111" t="s">
        <v>896</v>
      </c>
      <c r="I215" s="119" t="s">
        <v>5</v>
      </c>
      <c r="J215" s="113"/>
      <c r="K215" s="118">
        <v>1981</v>
      </c>
      <c r="L215" s="118">
        <v>9922</v>
      </c>
      <c r="M215" s="118" t="s">
        <v>13</v>
      </c>
      <c r="N215" s="111" t="s">
        <v>897</v>
      </c>
      <c r="O215" s="111" t="s">
        <v>29</v>
      </c>
      <c r="P215" s="111" t="s">
        <v>86</v>
      </c>
      <c r="Q215" s="111"/>
      <c r="R215" s="111" t="s">
        <v>145</v>
      </c>
      <c r="S215" s="111"/>
      <c r="T215" s="118"/>
      <c r="U215" s="64">
        <v>42440</v>
      </c>
      <c r="V215" s="158" t="s">
        <v>10</v>
      </c>
      <c r="W215" s="118"/>
      <c r="X215" s="113"/>
      <c r="Y215" s="117">
        <f t="shared" si="18"/>
        <v>42539</v>
      </c>
      <c r="Z215" s="117">
        <v>42530</v>
      </c>
      <c r="AA215" s="161" t="str">
        <f t="shared" ca="1" si="19"/>
        <v>YES</v>
      </c>
      <c r="AB215" s="113"/>
      <c r="AC215" s="117">
        <v>42438</v>
      </c>
      <c r="AD215" s="172">
        <v>42539</v>
      </c>
      <c r="AE215" s="172">
        <v>42530</v>
      </c>
      <c r="AF215" s="111" t="str">
        <f t="shared" ca="1" si="20"/>
        <v>YES</v>
      </c>
      <c r="AG215" s="162"/>
      <c r="AH215" s="162"/>
      <c r="AI215" s="164">
        <f t="shared" si="21"/>
        <v>0</v>
      </c>
      <c r="AJ215" s="118" t="s">
        <v>10</v>
      </c>
      <c r="AK215" s="113">
        <v>42649</v>
      </c>
      <c r="AL215" s="118" t="s">
        <v>898</v>
      </c>
      <c r="AM215" s="165" t="str">
        <f t="shared" si="22"/>
        <v>16014 Glanbia</v>
      </c>
      <c r="AN215" s="165" t="str">
        <f t="shared" si="23"/>
        <v>16014 Glanbia : bent nozzles and leaking fine mesch resin</v>
      </c>
    </row>
    <row r="216" spans="1:40" s="76" customFormat="1" ht="13" hidden="1" x14ac:dyDescent="0.3">
      <c r="A216" s="122" t="s">
        <v>899</v>
      </c>
      <c r="B216" s="116">
        <v>16015</v>
      </c>
      <c r="C216" s="113" t="s">
        <v>4</v>
      </c>
      <c r="D216" s="117">
        <v>42464</v>
      </c>
      <c r="E216" s="118" t="s">
        <v>99</v>
      </c>
      <c r="F216" s="118" t="s">
        <v>658</v>
      </c>
      <c r="G216" s="111" t="s">
        <v>900</v>
      </c>
      <c r="H216" s="111" t="s">
        <v>901</v>
      </c>
      <c r="I216" s="119" t="s">
        <v>2057</v>
      </c>
      <c r="J216" s="113"/>
      <c r="K216" s="118" t="s">
        <v>454</v>
      </c>
      <c r="L216" s="118" t="s">
        <v>454</v>
      </c>
      <c r="M216" s="118" t="s">
        <v>16</v>
      </c>
      <c r="N216" s="111" t="s">
        <v>902</v>
      </c>
      <c r="O216" s="111" t="s">
        <v>28</v>
      </c>
      <c r="P216" s="111" t="s">
        <v>103</v>
      </c>
      <c r="Q216" s="111"/>
      <c r="R216" s="111" t="s">
        <v>145</v>
      </c>
      <c r="S216" s="111"/>
      <c r="T216" s="118"/>
      <c r="U216" s="64">
        <v>42369</v>
      </c>
      <c r="V216" s="158" t="s">
        <v>6</v>
      </c>
      <c r="W216" s="118" t="s">
        <v>99</v>
      </c>
      <c r="X216" s="113"/>
      <c r="Y216" s="117">
        <f t="shared" si="18"/>
        <v>42555</v>
      </c>
      <c r="Z216" s="117">
        <v>42549</v>
      </c>
      <c r="AA216" s="161" t="str">
        <f t="shared" ca="1" si="19"/>
        <v>YES</v>
      </c>
      <c r="AB216" s="113"/>
      <c r="AC216" s="117"/>
      <c r="AD216" s="111"/>
      <c r="AE216" s="111"/>
      <c r="AF216" s="111" t="str">
        <f t="shared" ca="1" si="20"/>
        <v>N/A</v>
      </c>
      <c r="AG216" s="162"/>
      <c r="AH216" s="162"/>
      <c r="AI216" s="164">
        <f t="shared" si="21"/>
        <v>0</v>
      </c>
      <c r="AJ216" s="118" t="s">
        <v>6</v>
      </c>
      <c r="AK216" s="113">
        <v>43011</v>
      </c>
      <c r="AL216" s="118"/>
      <c r="AM216" s="165" t="str">
        <f t="shared" si="22"/>
        <v>16015 TESSIER</v>
      </c>
      <c r="AN216" s="165" t="str">
        <f t="shared" si="23"/>
        <v>16015 TESSIER : keeping of K138 gaskets</v>
      </c>
    </row>
    <row r="217" spans="1:40" s="76" customFormat="1" ht="13" hidden="1" x14ac:dyDescent="0.3">
      <c r="A217" s="122" t="s">
        <v>903</v>
      </c>
      <c r="B217" s="116">
        <v>16016</v>
      </c>
      <c r="C217" s="113" t="s">
        <v>8</v>
      </c>
      <c r="D217" s="117">
        <v>42495</v>
      </c>
      <c r="E217" s="118" t="s">
        <v>904</v>
      </c>
      <c r="F217" s="118" t="s">
        <v>164</v>
      </c>
      <c r="G217" s="111" t="s">
        <v>905</v>
      </c>
      <c r="H217" s="111"/>
      <c r="I217" s="119" t="s">
        <v>2057</v>
      </c>
      <c r="J217" s="113"/>
      <c r="K217" s="118">
        <v>2004</v>
      </c>
      <c r="L217" s="118" t="s">
        <v>906</v>
      </c>
      <c r="M217" s="118" t="s">
        <v>338</v>
      </c>
      <c r="N217" s="111" t="s">
        <v>907</v>
      </c>
      <c r="O217" s="111" t="s">
        <v>29</v>
      </c>
      <c r="P217" s="111" t="s">
        <v>86</v>
      </c>
      <c r="Q217" s="111" t="s">
        <v>908</v>
      </c>
      <c r="R217" s="111" t="s">
        <v>145</v>
      </c>
      <c r="S217" s="111"/>
      <c r="T217" s="118"/>
      <c r="U217" s="64"/>
      <c r="V217" s="158" t="s">
        <v>6</v>
      </c>
      <c r="W217" s="118" t="s">
        <v>904</v>
      </c>
      <c r="X217" s="113"/>
      <c r="Y217" s="117">
        <f t="shared" si="18"/>
        <v>42587</v>
      </c>
      <c r="Z217" s="117">
        <v>42689</v>
      </c>
      <c r="AA217" s="161" t="str">
        <f t="shared" ca="1" si="19"/>
        <v>NO</v>
      </c>
      <c r="AB217" s="113"/>
      <c r="AC217" s="117"/>
      <c r="AD217" s="111"/>
      <c r="AE217" s="111"/>
      <c r="AF217" s="111" t="str">
        <f t="shared" ca="1" si="20"/>
        <v>N/A</v>
      </c>
      <c r="AG217" s="162"/>
      <c r="AH217" s="162"/>
      <c r="AI217" s="164">
        <f t="shared" si="21"/>
        <v>0</v>
      </c>
      <c r="AJ217" s="118"/>
      <c r="AK217" s="113"/>
      <c r="AL217" s="118"/>
      <c r="AM217" s="165" t="str">
        <f t="shared" si="22"/>
        <v>16016 Meihua 9</v>
      </c>
      <c r="AN217" s="165" t="str">
        <f t="shared" si="23"/>
        <v>16016 Meihua 9 :  Floc &amp; white sediment issue</v>
      </c>
    </row>
    <row r="218" spans="1:40" s="76" customFormat="1" ht="13" hidden="1" x14ac:dyDescent="0.3">
      <c r="A218" s="122" t="s">
        <v>909</v>
      </c>
      <c r="B218" s="116">
        <v>16017</v>
      </c>
      <c r="C218" s="113" t="s">
        <v>4</v>
      </c>
      <c r="D218" s="117">
        <v>42508</v>
      </c>
      <c r="E218" s="118" t="s">
        <v>294</v>
      </c>
      <c r="F218" s="118" t="s">
        <v>164</v>
      </c>
      <c r="G218" s="111" t="s">
        <v>910</v>
      </c>
      <c r="H218" s="111"/>
      <c r="I218" s="119" t="s">
        <v>2057</v>
      </c>
      <c r="J218" s="113"/>
      <c r="K218" s="118">
        <v>2013</v>
      </c>
      <c r="L218" s="118">
        <v>11461</v>
      </c>
      <c r="M218" s="118"/>
      <c r="N218" s="111" t="s">
        <v>911</v>
      </c>
      <c r="O218" s="111" t="s">
        <v>29</v>
      </c>
      <c r="P218" s="111" t="s">
        <v>86</v>
      </c>
      <c r="Q218" s="111" t="s">
        <v>912</v>
      </c>
      <c r="R218" s="111" t="s">
        <v>9</v>
      </c>
      <c r="S218" s="111"/>
      <c r="T218" s="118"/>
      <c r="U218" s="64">
        <v>42489</v>
      </c>
      <c r="V218" s="158" t="s">
        <v>6</v>
      </c>
      <c r="W218" s="118" t="s">
        <v>913</v>
      </c>
      <c r="X218" s="113"/>
      <c r="Y218" s="117">
        <f t="shared" si="18"/>
        <v>42600</v>
      </c>
      <c r="Z218" s="117">
        <v>42573</v>
      </c>
      <c r="AA218" s="161" t="str">
        <f t="shared" ca="1" si="19"/>
        <v>YES</v>
      </c>
      <c r="AB218" s="113"/>
      <c r="AC218" s="117"/>
      <c r="AD218" s="111"/>
      <c r="AE218" s="111"/>
      <c r="AF218" s="111" t="str">
        <f t="shared" ca="1" si="20"/>
        <v>N/A</v>
      </c>
      <c r="AG218" s="162"/>
      <c r="AH218" s="162"/>
      <c r="AI218" s="164">
        <f t="shared" si="21"/>
        <v>0</v>
      </c>
      <c r="AJ218" s="118" t="s">
        <v>6</v>
      </c>
      <c r="AK218" s="113">
        <v>43018</v>
      </c>
      <c r="AL218" s="118"/>
      <c r="AM218" s="165" t="str">
        <f t="shared" si="22"/>
        <v>16017 CLS</v>
      </c>
      <c r="AN218" s="165" t="str">
        <f t="shared" si="23"/>
        <v>16017 CLS : late taggings change</v>
      </c>
    </row>
    <row r="219" spans="1:40" s="76" customFormat="1" ht="13" hidden="1" x14ac:dyDescent="0.3">
      <c r="A219" s="122" t="s">
        <v>914</v>
      </c>
      <c r="B219" s="116">
        <v>16018</v>
      </c>
      <c r="C219" s="113" t="s">
        <v>4</v>
      </c>
      <c r="D219" s="117">
        <v>42514</v>
      </c>
      <c r="E219" s="118" t="s">
        <v>95</v>
      </c>
      <c r="F219" s="118" t="s">
        <v>164</v>
      </c>
      <c r="G219" s="111" t="s">
        <v>692</v>
      </c>
      <c r="H219" s="111" t="s">
        <v>433</v>
      </c>
      <c r="I219" s="119" t="s">
        <v>2057</v>
      </c>
      <c r="J219" s="113"/>
      <c r="K219" s="118">
        <v>1985</v>
      </c>
      <c r="L219" s="118">
        <v>9918</v>
      </c>
      <c r="M219" s="118" t="s">
        <v>672</v>
      </c>
      <c r="N219" s="111" t="s">
        <v>915</v>
      </c>
      <c r="O219" s="111" t="s">
        <v>29</v>
      </c>
      <c r="P219" s="111" t="s">
        <v>86</v>
      </c>
      <c r="Q219" s="111" t="s">
        <v>916</v>
      </c>
      <c r="R219" s="111" t="s">
        <v>145</v>
      </c>
      <c r="S219" s="111"/>
      <c r="T219" s="118"/>
      <c r="U219" s="64">
        <v>42419</v>
      </c>
      <c r="V219" s="158" t="s">
        <v>6</v>
      </c>
      <c r="W219" s="118" t="s">
        <v>763</v>
      </c>
      <c r="X219" s="113"/>
      <c r="Y219" s="117">
        <f t="shared" si="18"/>
        <v>42606</v>
      </c>
      <c r="Z219" s="117">
        <v>42711</v>
      </c>
      <c r="AA219" s="161" t="str">
        <f t="shared" ca="1" si="19"/>
        <v>NO</v>
      </c>
      <c r="AB219" s="113"/>
      <c r="AC219" s="117"/>
      <c r="AD219" s="111"/>
      <c r="AE219" s="111"/>
      <c r="AF219" s="111" t="str">
        <f t="shared" ca="1" si="20"/>
        <v>N/A</v>
      </c>
      <c r="AG219" s="162"/>
      <c r="AH219" s="162"/>
      <c r="AI219" s="164">
        <f t="shared" si="21"/>
        <v>0</v>
      </c>
      <c r="AJ219" s="118"/>
      <c r="AK219" s="113" t="s">
        <v>880</v>
      </c>
      <c r="AL219" s="118" t="s">
        <v>917</v>
      </c>
      <c r="AM219" s="165" t="str">
        <f t="shared" si="22"/>
        <v>16018 Central Romana</v>
      </c>
      <c r="AN219" s="165" t="str">
        <f t="shared" si="23"/>
        <v>16018 Central Romana : Rubberlining damage</v>
      </c>
    </row>
    <row r="220" spans="1:40" s="76" customFormat="1" ht="13" hidden="1" x14ac:dyDescent="0.3">
      <c r="A220" s="122" t="s">
        <v>918</v>
      </c>
      <c r="B220" s="116">
        <v>16019</v>
      </c>
      <c r="C220" s="113" t="s">
        <v>4</v>
      </c>
      <c r="D220" s="117">
        <v>42536</v>
      </c>
      <c r="E220" s="118" t="s">
        <v>99</v>
      </c>
      <c r="F220" s="118" t="s">
        <v>658</v>
      </c>
      <c r="G220" s="111" t="s">
        <v>919</v>
      </c>
      <c r="H220" s="111" t="s">
        <v>920</v>
      </c>
      <c r="I220" s="119" t="s">
        <v>5</v>
      </c>
      <c r="J220" s="113"/>
      <c r="K220" s="118" t="s">
        <v>454</v>
      </c>
      <c r="L220" s="118" t="s">
        <v>921</v>
      </c>
      <c r="M220" s="118" t="s">
        <v>16</v>
      </c>
      <c r="N220" s="111" t="s">
        <v>922</v>
      </c>
      <c r="O220" s="111" t="s">
        <v>28</v>
      </c>
      <c r="P220" s="111" t="s">
        <v>103</v>
      </c>
      <c r="Q220" s="111"/>
      <c r="R220" s="111" t="s">
        <v>145</v>
      </c>
      <c r="S220" s="111"/>
      <c r="T220" s="118"/>
      <c r="U220" s="64">
        <v>42534</v>
      </c>
      <c r="V220" s="158" t="s">
        <v>6</v>
      </c>
      <c r="W220" s="118" t="s">
        <v>99</v>
      </c>
      <c r="X220" s="113"/>
      <c r="Y220" s="117">
        <f t="shared" si="18"/>
        <v>42628</v>
      </c>
      <c r="Z220" s="117">
        <v>42621</v>
      </c>
      <c r="AA220" s="161" t="str">
        <f t="shared" ca="1" si="19"/>
        <v>YES</v>
      </c>
      <c r="AB220" s="113"/>
      <c r="AC220" s="117"/>
      <c r="AD220" s="111"/>
      <c r="AE220" s="111"/>
      <c r="AF220" s="111" t="str">
        <f t="shared" ca="1" si="20"/>
        <v/>
      </c>
      <c r="AG220" s="162"/>
      <c r="AH220" s="162"/>
      <c r="AI220" s="164">
        <f t="shared" si="21"/>
        <v>0</v>
      </c>
      <c r="AJ220" s="118" t="s">
        <v>6</v>
      </c>
      <c r="AK220" s="113">
        <v>42681</v>
      </c>
      <c r="AL220" s="118"/>
      <c r="AM220" s="165" t="str">
        <f t="shared" si="22"/>
        <v>16019 VALIO</v>
      </c>
      <c r="AN220" s="165" t="str">
        <f t="shared" si="23"/>
        <v>16019 VALIO : Air-tightness carbosep modules</v>
      </c>
    </row>
    <row r="221" spans="1:40" s="76" customFormat="1" ht="13" hidden="1" x14ac:dyDescent="0.3">
      <c r="A221" s="122" t="s">
        <v>923</v>
      </c>
      <c r="B221" s="116">
        <v>16020</v>
      </c>
      <c r="C221" s="113" t="s">
        <v>4</v>
      </c>
      <c r="D221" s="117">
        <v>42541</v>
      </c>
      <c r="E221" s="118" t="s">
        <v>924</v>
      </c>
      <c r="F221" s="118" t="s">
        <v>164</v>
      </c>
      <c r="G221" s="111" t="s">
        <v>925</v>
      </c>
      <c r="H221" s="111" t="s">
        <v>926</v>
      </c>
      <c r="I221" s="119" t="s">
        <v>2056</v>
      </c>
      <c r="J221" s="113"/>
      <c r="K221" s="118">
        <v>2011</v>
      </c>
      <c r="L221" s="118">
        <v>10282</v>
      </c>
      <c r="M221" s="118" t="s">
        <v>18</v>
      </c>
      <c r="N221" s="111" t="s">
        <v>927</v>
      </c>
      <c r="O221" s="111" t="s">
        <v>29</v>
      </c>
      <c r="P221" s="111" t="s">
        <v>176</v>
      </c>
      <c r="Q221" s="111" t="s">
        <v>504</v>
      </c>
      <c r="R221" s="111" t="s">
        <v>145</v>
      </c>
      <c r="S221" s="111"/>
      <c r="T221" s="129" t="s">
        <v>926</v>
      </c>
      <c r="U221" s="64">
        <v>42551</v>
      </c>
      <c r="V221" s="158" t="s">
        <v>10</v>
      </c>
      <c r="W221" s="118"/>
      <c r="X221" s="113"/>
      <c r="Y221" s="117">
        <f t="shared" si="18"/>
        <v>42633</v>
      </c>
      <c r="Z221" s="117">
        <v>42633</v>
      </c>
      <c r="AA221" s="161" t="str">
        <f t="shared" ca="1" si="19"/>
        <v>YES</v>
      </c>
      <c r="AB221" s="113"/>
      <c r="AC221" s="117"/>
      <c r="AD221" s="111"/>
      <c r="AE221" s="111"/>
      <c r="AF221" s="111" t="str">
        <f t="shared" ca="1" si="20"/>
        <v>N/A</v>
      </c>
      <c r="AG221" s="162"/>
      <c r="AH221" s="162"/>
      <c r="AI221" s="164">
        <f t="shared" si="21"/>
        <v>0</v>
      </c>
      <c r="AJ221" s="118" t="s">
        <v>6</v>
      </c>
      <c r="AK221" s="113">
        <v>43028</v>
      </c>
      <c r="AL221" s="118"/>
      <c r="AM221" s="165" t="str">
        <f t="shared" si="22"/>
        <v>16020 Boccard/Nutribio</v>
      </c>
      <c r="AN221" s="165" t="str">
        <f t="shared" si="23"/>
        <v>16020 Boccard/Nutribio : Input/output exchanger reverse</v>
      </c>
    </row>
    <row r="222" spans="1:40" s="76" customFormat="1" ht="13" hidden="1" x14ac:dyDescent="0.3">
      <c r="A222" s="122" t="s">
        <v>928</v>
      </c>
      <c r="B222" s="116">
        <v>16021</v>
      </c>
      <c r="C222" s="113" t="s">
        <v>8</v>
      </c>
      <c r="D222" s="117">
        <v>42543</v>
      </c>
      <c r="E222" s="118" t="s">
        <v>929</v>
      </c>
      <c r="F222" s="118" t="s">
        <v>164</v>
      </c>
      <c r="G222" s="111" t="s">
        <v>910</v>
      </c>
      <c r="H222" s="111" t="s">
        <v>930</v>
      </c>
      <c r="I222" s="119" t="s">
        <v>2056</v>
      </c>
      <c r="J222" s="113"/>
      <c r="K222" s="118">
        <v>2013</v>
      </c>
      <c r="L222" s="118">
        <v>11416</v>
      </c>
      <c r="M222" s="118" t="s">
        <v>13</v>
      </c>
      <c r="N222" s="111" t="s">
        <v>931</v>
      </c>
      <c r="O222" s="111" t="s">
        <v>29</v>
      </c>
      <c r="P222" s="111" t="s">
        <v>86</v>
      </c>
      <c r="Q222" s="111"/>
      <c r="R222" s="111" t="s">
        <v>145</v>
      </c>
      <c r="S222" s="111"/>
      <c r="T222" s="118"/>
      <c r="U222" s="66">
        <v>42529</v>
      </c>
      <c r="V222" s="158" t="s">
        <v>6</v>
      </c>
      <c r="W222" s="118" t="s">
        <v>932</v>
      </c>
      <c r="X222" s="113"/>
      <c r="Y222" s="117">
        <f t="shared" si="18"/>
        <v>42635</v>
      </c>
      <c r="Z222" s="117">
        <v>42577</v>
      </c>
      <c r="AA222" s="161" t="str">
        <f t="shared" ca="1" si="19"/>
        <v>YES</v>
      </c>
      <c r="AB222" s="113"/>
      <c r="AC222" s="117"/>
      <c r="AD222" s="111"/>
      <c r="AE222" s="111"/>
      <c r="AF222" s="111" t="str">
        <f t="shared" ca="1" si="20"/>
        <v>N/A</v>
      </c>
      <c r="AG222" s="162"/>
      <c r="AH222" s="162"/>
      <c r="AI222" s="164">
        <f t="shared" si="21"/>
        <v>0</v>
      </c>
      <c r="AJ222" s="118"/>
      <c r="AK222" s="113"/>
      <c r="AL222" s="118"/>
      <c r="AM222" s="165" t="str">
        <f t="shared" si="22"/>
        <v>16021 CLS</v>
      </c>
      <c r="AN222" s="165" t="str">
        <f t="shared" si="23"/>
        <v>16021 CLS : Internals design and assembly issue</v>
      </c>
    </row>
    <row r="223" spans="1:40" s="76" customFormat="1" ht="13" hidden="1" x14ac:dyDescent="0.3">
      <c r="A223" s="122" t="s">
        <v>933</v>
      </c>
      <c r="B223" s="116">
        <v>16022</v>
      </c>
      <c r="C223" s="113" t="s">
        <v>8</v>
      </c>
      <c r="D223" s="117">
        <v>42543</v>
      </c>
      <c r="E223" s="118" t="s">
        <v>441</v>
      </c>
      <c r="F223" s="118" t="s">
        <v>164</v>
      </c>
      <c r="G223" s="111" t="s">
        <v>340</v>
      </c>
      <c r="H223" s="111" t="s">
        <v>930</v>
      </c>
      <c r="I223" s="119" t="s">
        <v>2056</v>
      </c>
      <c r="J223" s="113"/>
      <c r="K223" s="118">
        <v>2014</v>
      </c>
      <c r="L223" s="118">
        <v>10416</v>
      </c>
      <c r="M223" s="118" t="s">
        <v>13</v>
      </c>
      <c r="N223" s="70" t="s">
        <v>934</v>
      </c>
      <c r="O223" s="111" t="s">
        <v>29</v>
      </c>
      <c r="P223" s="111" t="s">
        <v>86</v>
      </c>
      <c r="Q223" s="111"/>
      <c r="R223" s="111" t="s">
        <v>145</v>
      </c>
      <c r="S223" s="111"/>
      <c r="T223" s="118"/>
      <c r="U223" s="64">
        <v>42523</v>
      </c>
      <c r="V223" s="158" t="s">
        <v>6</v>
      </c>
      <c r="W223" s="118" t="s">
        <v>935</v>
      </c>
      <c r="X223" s="113"/>
      <c r="Y223" s="117">
        <f t="shared" si="18"/>
        <v>42635</v>
      </c>
      <c r="Z223" s="117">
        <v>42660</v>
      </c>
      <c r="AA223" s="161" t="str">
        <f t="shared" ca="1" si="19"/>
        <v>NO</v>
      </c>
      <c r="AB223" s="113"/>
      <c r="AC223" s="117"/>
      <c r="AD223" s="111"/>
      <c r="AE223" s="111"/>
      <c r="AF223" s="111" t="str">
        <f t="shared" ca="1" si="20"/>
        <v>N/A</v>
      </c>
      <c r="AG223" s="162"/>
      <c r="AH223" s="162"/>
      <c r="AI223" s="164">
        <f t="shared" si="21"/>
        <v>0</v>
      </c>
      <c r="AJ223" s="118"/>
      <c r="AK223" s="113"/>
      <c r="AL223" s="118"/>
      <c r="AM223" s="165" t="str">
        <f t="shared" si="22"/>
        <v>16022 AGRANA</v>
      </c>
      <c r="AN223" s="165" t="str">
        <f t="shared" si="23"/>
        <v>16022 AGRANA : columns head deformation issue</v>
      </c>
    </row>
    <row r="224" spans="1:40" s="76" customFormat="1" ht="13" hidden="1" x14ac:dyDescent="0.3">
      <c r="A224" s="122" t="s">
        <v>936</v>
      </c>
      <c r="B224" s="116">
        <v>16023</v>
      </c>
      <c r="C224" s="113" t="s">
        <v>8</v>
      </c>
      <c r="D224" s="117">
        <v>42543</v>
      </c>
      <c r="E224" s="118" t="s">
        <v>857</v>
      </c>
      <c r="F224" s="118" t="s">
        <v>164</v>
      </c>
      <c r="G224" s="111" t="s">
        <v>538</v>
      </c>
      <c r="H224" s="111" t="s">
        <v>937</v>
      </c>
      <c r="I224" s="119" t="s">
        <v>2056</v>
      </c>
      <c r="J224" s="113"/>
      <c r="K224" s="118">
        <v>2022</v>
      </c>
      <c r="L224" s="118">
        <v>11279</v>
      </c>
      <c r="M224" s="118" t="s">
        <v>11</v>
      </c>
      <c r="N224" s="111" t="s">
        <v>938</v>
      </c>
      <c r="O224" s="111" t="s">
        <v>29</v>
      </c>
      <c r="P224" s="111" t="s">
        <v>86</v>
      </c>
      <c r="Q224" s="111"/>
      <c r="R224" s="111" t="s">
        <v>145</v>
      </c>
      <c r="S224" s="111"/>
      <c r="T224" s="118"/>
      <c r="U224" s="64">
        <v>42496</v>
      </c>
      <c r="V224" s="158" t="s">
        <v>6</v>
      </c>
      <c r="W224" s="118" t="s">
        <v>857</v>
      </c>
      <c r="X224" s="113"/>
      <c r="Y224" s="117">
        <f t="shared" si="18"/>
        <v>42635</v>
      </c>
      <c r="Z224" s="117">
        <v>42591</v>
      </c>
      <c r="AA224" s="161" t="str">
        <f t="shared" ca="1" si="19"/>
        <v>YES</v>
      </c>
      <c r="AB224" s="113"/>
      <c r="AC224" s="117"/>
      <c r="AD224" s="111"/>
      <c r="AE224" s="111"/>
      <c r="AF224" s="111" t="str">
        <f t="shared" ca="1" si="20"/>
        <v>N/A</v>
      </c>
      <c r="AG224" s="162"/>
      <c r="AH224" s="162"/>
      <c r="AI224" s="164">
        <f t="shared" si="21"/>
        <v>0</v>
      </c>
      <c r="AJ224" s="118"/>
      <c r="AK224" s="113"/>
      <c r="AL224" s="118"/>
      <c r="AM224" s="165" t="str">
        <f t="shared" si="22"/>
        <v>16023 ADM</v>
      </c>
      <c r="AN224" s="165" t="str">
        <f t="shared" si="23"/>
        <v>16023 ADM : leakage risk issue of SSMB strainers</v>
      </c>
    </row>
    <row r="225" spans="1:40" s="76" customFormat="1" ht="13" hidden="1" x14ac:dyDescent="0.3">
      <c r="A225" s="122" t="s">
        <v>939</v>
      </c>
      <c r="B225" s="116">
        <v>16024</v>
      </c>
      <c r="C225" s="113" t="s">
        <v>4</v>
      </c>
      <c r="D225" s="117">
        <v>42564</v>
      </c>
      <c r="E225" s="118" t="s">
        <v>940</v>
      </c>
      <c r="F225" s="118" t="s">
        <v>164</v>
      </c>
      <c r="G225" s="111" t="s">
        <v>340</v>
      </c>
      <c r="H225" s="111"/>
      <c r="I225" s="119" t="s">
        <v>2057</v>
      </c>
      <c r="J225" s="113"/>
      <c r="K225" s="118">
        <v>2014</v>
      </c>
      <c r="L225" s="118">
        <v>10416</v>
      </c>
      <c r="M225" s="118" t="s">
        <v>13</v>
      </c>
      <c r="N225" s="111" t="s">
        <v>941</v>
      </c>
      <c r="O225" s="111" t="s">
        <v>29</v>
      </c>
      <c r="P225" s="111" t="s">
        <v>86</v>
      </c>
      <c r="Q225" s="111" t="s">
        <v>852</v>
      </c>
      <c r="R225" s="111" t="s">
        <v>15</v>
      </c>
      <c r="S225" s="111"/>
      <c r="T225" s="118"/>
      <c r="U225" s="64">
        <v>42551</v>
      </c>
      <c r="V225" s="158" t="s">
        <v>6</v>
      </c>
      <c r="W225" s="118" t="s">
        <v>942</v>
      </c>
      <c r="X225" s="113"/>
      <c r="Y225" s="117">
        <f t="shared" si="18"/>
        <v>42656</v>
      </c>
      <c r="Z225" s="117">
        <v>42650</v>
      </c>
      <c r="AA225" s="161" t="str">
        <f t="shared" ca="1" si="19"/>
        <v>YES</v>
      </c>
      <c r="AB225" s="113"/>
      <c r="AC225" s="117"/>
      <c r="AD225" s="111"/>
      <c r="AE225" s="111"/>
      <c r="AF225" s="111" t="str">
        <f t="shared" ca="1" si="20"/>
        <v>N/A</v>
      </c>
      <c r="AG225" s="162"/>
      <c r="AH225" s="162"/>
      <c r="AI225" s="164">
        <f t="shared" si="21"/>
        <v>0</v>
      </c>
      <c r="AJ225" s="118"/>
      <c r="AK225" s="113" t="s">
        <v>880</v>
      </c>
      <c r="AL225" s="118" t="s">
        <v>943</v>
      </c>
      <c r="AM225" s="165" t="str">
        <f t="shared" si="22"/>
        <v>16024 AGRANA</v>
      </c>
      <c r="AN225" s="165" t="str">
        <f t="shared" si="23"/>
        <v>16024 AGRANA : IEX Columns : design pressure &amp; booster pumps</v>
      </c>
    </row>
    <row r="226" spans="1:40" s="76" customFormat="1" ht="13" hidden="1" x14ac:dyDescent="0.3">
      <c r="A226" s="122"/>
      <c r="B226" s="116">
        <v>16025</v>
      </c>
      <c r="C226" s="113" t="s">
        <v>8</v>
      </c>
      <c r="D226" s="117">
        <v>42578</v>
      </c>
      <c r="E226" s="118" t="s">
        <v>932</v>
      </c>
      <c r="F226" s="118" t="s">
        <v>164</v>
      </c>
      <c r="G226" s="111" t="s">
        <v>340</v>
      </c>
      <c r="H226" s="111" t="s">
        <v>739</v>
      </c>
      <c r="I226" s="119" t="s">
        <v>2056</v>
      </c>
      <c r="J226" s="113"/>
      <c r="K226" s="118">
        <v>2014</v>
      </c>
      <c r="L226" s="118">
        <v>10416</v>
      </c>
      <c r="M226" s="118" t="s">
        <v>13</v>
      </c>
      <c r="N226" s="111" t="s">
        <v>944</v>
      </c>
      <c r="O226" s="111" t="s">
        <v>29</v>
      </c>
      <c r="P226" s="111" t="s">
        <v>86</v>
      </c>
      <c r="Q226" s="111" t="s">
        <v>908</v>
      </c>
      <c r="R226" s="111" t="s">
        <v>145</v>
      </c>
      <c r="S226" s="111"/>
      <c r="T226" s="118"/>
      <c r="U226" s="64">
        <v>42559</v>
      </c>
      <c r="V226" s="158" t="s">
        <v>6</v>
      </c>
      <c r="W226" s="118" t="s">
        <v>932</v>
      </c>
      <c r="X226" s="113"/>
      <c r="Y226" s="117">
        <f t="shared" si="18"/>
        <v>42670</v>
      </c>
      <c r="Z226" s="117">
        <v>42591</v>
      </c>
      <c r="AA226" s="161" t="str">
        <f t="shared" ca="1" si="19"/>
        <v>YES</v>
      </c>
      <c r="AB226" s="113"/>
      <c r="AC226" s="117"/>
      <c r="AD226" s="111"/>
      <c r="AE226" s="111"/>
      <c r="AF226" s="111" t="str">
        <f t="shared" ca="1" si="20"/>
        <v>N/A</v>
      </c>
      <c r="AG226" s="162"/>
      <c r="AH226" s="162"/>
      <c r="AI226" s="164">
        <f t="shared" si="21"/>
        <v>0</v>
      </c>
      <c r="AJ226" s="118"/>
      <c r="AK226" s="113"/>
      <c r="AL226" s="118"/>
      <c r="AM226" s="165" t="str">
        <f t="shared" si="22"/>
        <v>16025 AGRANA</v>
      </c>
      <c r="AN226" s="165" t="str">
        <f t="shared" si="23"/>
        <v xml:space="preserve">16025 AGRANA : quality issue of PP-FRP front piping </v>
      </c>
    </row>
    <row r="227" spans="1:40" s="76" customFormat="1" ht="13" hidden="1" x14ac:dyDescent="0.3">
      <c r="A227" s="122" t="s">
        <v>945</v>
      </c>
      <c r="B227" s="116">
        <v>16026</v>
      </c>
      <c r="C227" s="113" t="s">
        <v>4</v>
      </c>
      <c r="D227" s="117">
        <v>42578</v>
      </c>
      <c r="E227" s="118" t="s">
        <v>82</v>
      </c>
      <c r="F227" s="118" t="s">
        <v>658</v>
      </c>
      <c r="G227" s="111" t="s">
        <v>823</v>
      </c>
      <c r="H227" s="111" t="s">
        <v>946</v>
      </c>
      <c r="I227" s="119" t="s">
        <v>5</v>
      </c>
      <c r="J227" s="113" t="s">
        <v>6</v>
      </c>
      <c r="K227" s="118">
        <v>1965</v>
      </c>
      <c r="L227" s="118">
        <v>9245</v>
      </c>
      <c r="M227" s="118" t="s">
        <v>672</v>
      </c>
      <c r="N227" s="111" t="s">
        <v>947</v>
      </c>
      <c r="O227" s="111" t="s">
        <v>28</v>
      </c>
      <c r="P227" s="111" t="s">
        <v>86</v>
      </c>
      <c r="Q227" s="111" t="s">
        <v>522</v>
      </c>
      <c r="R227" s="111" t="s">
        <v>145</v>
      </c>
      <c r="S227" s="111"/>
      <c r="T227" s="118" t="s">
        <v>374</v>
      </c>
      <c r="U227" s="64">
        <v>42559</v>
      </c>
      <c r="V227" s="158" t="s">
        <v>6</v>
      </c>
      <c r="W227" s="118" t="s">
        <v>116</v>
      </c>
      <c r="X227" s="113"/>
      <c r="Y227" s="117">
        <f t="shared" si="18"/>
        <v>42670</v>
      </c>
      <c r="Z227" s="117">
        <v>42832</v>
      </c>
      <c r="AA227" s="161" t="str">
        <f t="shared" ca="1" si="19"/>
        <v>NO</v>
      </c>
      <c r="AB227" s="113"/>
      <c r="AC227" s="117"/>
      <c r="AD227" s="111"/>
      <c r="AE227" s="111"/>
      <c r="AF227" s="111" t="str">
        <f t="shared" ca="1" si="20"/>
        <v/>
      </c>
      <c r="AG227" s="162"/>
      <c r="AH227" s="162"/>
      <c r="AI227" s="164">
        <f t="shared" si="21"/>
        <v>0</v>
      </c>
      <c r="AJ227" s="118" t="s">
        <v>6</v>
      </c>
      <c r="AK227" s="113">
        <v>43018</v>
      </c>
      <c r="AL227" s="118"/>
      <c r="AM227" s="165" t="str">
        <f t="shared" si="22"/>
        <v>16026 Friesland Foods GOS4</v>
      </c>
      <c r="AN227" s="165" t="str">
        <f t="shared" si="23"/>
        <v>16026 Friesland Foods GOS4 : Erreur calcul colonnes</v>
      </c>
    </row>
    <row r="228" spans="1:40" s="76" customFormat="1" ht="13" hidden="1" x14ac:dyDescent="0.3">
      <c r="A228" s="122" t="s">
        <v>948</v>
      </c>
      <c r="B228" s="116">
        <v>16027</v>
      </c>
      <c r="C228" s="113" t="s">
        <v>4</v>
      </c>
      <c r="D228" s="117">
        <v>42580</v>
      </c>
      <c r="E228" s="118" t="s">
        <v>319</v>
      </c>
      <c r="F228" s="118" t="s">
        <v>164</v>
      </c>
      <c r="G228" s="111" t="s">
        <v>925</v>
      </c>
      <c r="H228" s="111"/>
      <c r="I228" s="119" t="s">
        <v>2057</v>
      </c>
      <c r="J228" s="113"/>
      <c r="K228" s="118">
        <v>2011</v>
      </c>
      <c r="L228" s="118">
        <v>10282</v>
      </c>
      <c r="M228" s="118" t="s">
        <v>18</v>
      </c>
      <c r="N228" s="111" t="s">
        <v>949</v>
      </c>
      <c r="O228" s="111" t="s">
        <v>29</v>
      </c>
      <c r="P228" s="111" t="s">
        <v>86</v>
      </c>
      <c r="Q228" s="111" t="s">
        <v>522</v>
      </c>
      <c r="R228" s="111" t="s">
        <v>9</v>
      </c>
      <c r="S228" s="111"/>
      <c r="T228" s="118"/>
      <c r="U228" s="64"/>
      <c r="V228" s="158" t="s">
        <v>6</v>
      </c>
      <c r="W228" s="118" t="s">
        <v>120</v>
      </c>
      <c r="X228" s="113"/>
      <c r="Y228" s="117">
        <f t="shared" si="18"/>
        <v>42672</v>
      </c>
      <c r="Z228" s="117">
        <v>42663</v>
      </c>
      <c r="AA228" s="161" t="str">
        <f t="shared" ca="1" si="19"/>
        <v>YES</v>
      </c>
      <c r="AB228" s="113"/>
      <c r="AC228" s="117"/>
      <c r="AD228" s="111"/>
      <c r="AE228" s="111"/>
      <c r="AF228" s="111" t="str">
        <f t="shared" ca="1" si="20"/>
        <v>N/A</v>
      </c>
      <c r="AG228" s="162"/>
      <c r="AH228" s="162"/>
      <c r="AI228" s="164">
        <f t="shared" si="21"/>
        <v>0</v>
      </c>
      <c r="AJ228" s="118" t="s">
        <v>6</v>
      </c>
      <c r="AK228" s="113">
        <v>43027</v>
      </c>
      <c r="AL228" s="118"/>
      <c r="AM228" s="165" t="str">
        <f t="shared" si="22"/>
        <v>16027 Boccard/Nutribio</v>
      </c>
      <c r="AN228" s="165" t="str">
        <f t="shared" si="23"/>
        <v>16027 Boccard/Nutribio : Débordements collecte égouttures vannes</v>
      </c>
    </row>
    <row r="229" spans="1:40" s="76" customFormat="1" ht="13" hidden="1" x14ac:dyDescent="0.3">
      <c r="A229" s="122" t="s">
        <v>950</v>
      </c>
      <c r="B229" s="116">
        <v>16028</v>
      </c>
      <c r="C229" s="113" t="s">
        <v>4</v>
      </c>
      <c r="D229" s="117">
        <v>42580</v>
      </c>
      <c r="E229" s="118" t="s">
        <v>951</v>
      </c>
      <c r="F229" s="118" t="s">
        <v>420</v>
      </c>
      <c r="G229" s="111" t="s">
        <v>952</v>
      </c>
      <c r="H229" s="111"/>
      <c r="I229" s="119" t="s">
        <v>2058</v>
      </c>
      <c r="J229" s="113"/>
      <c r="K229" s="118" t="s">
        <v>953</v>
      </c>
      <c r="L229" s="118" t="s">
        <v>954</v>
      </c>
      <c r="M229" s="118" t="s">
        <v>955</v>
      </c>
      <c r="N229" s="111" t="s">
        <v>956</v>
      </c>
      <c r="O229" s="111" t="s">
        <v>420</v>
      </c>
      <c r="P229" s="111"/>
      <c r="Q229" s="111"/>
      <c r="R229" s="111" t="s">
        <v>9</v>
      </c>
      <c r="S229" s="111"/>
      <c r="T229" s="118"/>
      <c r="U229" s="64"/>
      <c r="V229" s="158" t="s">
        <v>6</v>
      </c>
      <c r="W229" s="118" t="s">
        <v>290</v>
      </c>
      <c r="X229" s="113"/>
      <c r="Y229" s="117">
        <f t="shared" si="18"/>
        <v>42672</v>
      </c>
      <c r="Z229" s="117">
        <v>42669</v>
      </c>
      <c r="AA229" s="161" t="str">
        <f t="shared" ca="1" si="19"/>
        <v>YES</v>
      </c>
      <c r="AB229" s="113"/>
      <c r="AC229" s="117"/>
      <c r="AD229" s="111"/>
      <c r="AE229" s="111"/>
      <c r="AF229" s="111" t="str">
        <f t="shared" ca="1" si="20"/>
        <v>N/A</v>
      </c>
      <c r="AG229" s="162"/>
      <c r="AH229" s="162"/>
      <c r="AI229" s="164">
        <f t="shared" si="21"/>
        <v>0</v>
      </c>
      <c r="AJ229" s="118" t="s">
        <v>6</v>
      </c>
      <c r="AK229" s="113">
        <v>43019</v>
      </c>
      <c r="AL229" s="118"/>
      <c r="AM229" s="165" t="str">
        <f t="shared" si="22"/>
        <v>16028 ERAMET</v>
      </c>
      <c r="AN229" s="165" t="str">
        <f t="shared" si="23"/>
        <v>16028 ERAMET : désolidarisation colonne évapo</v>
      </c>
    </row>
    <row r="230" spans="1:40" s="76" customFormat="1" ht="13" hidden="1" x14ac:dyDescent="0.3">
      <c r="A230" s="122" t="s">
        <v>957</v>
      </c>
      <c r="B230" s="116">
        <v>16029</v>
      </c>
      <c r="C230" s="113" t="s">
        <v>4</v>
      </c>
      <c r="D230" s="117">
        <v>42580</v>
      </c>
      <c r="E230" s="118" t="s">
        <v>951</v>
      </c>
      <c r="F230" s="118" t="s">
        <v>420</v>
      </c>
      <c r="G230" s="111" t="s">
        <v>952</v>
      </c>
      <c r="H230" s="111"/>
      <c r="I230" s="119" t="s">
        <v>2058</v>
      </c>
      <c r="J230" s="113"/>
      <c r="K230" s="118" t="s">
        <v>953</v>
      </c>
      <c r="L230" s="118" t="s">
        <v>954</v>
      </c>
      <c r="M230" s="118"/>
      <c r="N230" s="111" t="s">
        <v>958</v>
      </c>
      <c r="O230" s="111" t="s">
        <v>420</v>
      </c>
      <c r="P230" s="111"/>
      <c r="Q230" s="111"/>
      <c r="R230" s="111" t="s">
        <v>145</v>
      </c>
      <c r="S230" s="111"/>
      <c r="T230" s="118"/>
      <c r="U230" s="64"/>
      <c r="V230" s="158" t="s">
        <v>6</v>
      </c>
      <c r="W230" s="118" t="s">
        <v>153</v>
      </c>
      <c r="X230" s="113"/>
      <c r="Y230" s="117">
        <f t="shared" si="18"/>
        <v>42672</v>
      </c>
      <c r="Z230" s="117">
        <v>42669</v>
      </c>
      <c r="AA230" s="161" t="str">
        <f t="shared" ca="1" si="19"/>
        <v>YES</v>
      </c>
      <c r="AB230" s="113"/>
      <c r="AC230" s="117"/>
      <c r="AD230" s="111"/>
      <c r="AE230" s="111"/>
      <c r="AF230" s="111" t="str">
        <f t="shared" ca="1" si="20"/>
        <v>N/A</v>
      </c>
      <c r="AG230" s="162"/>
      <c r="AH230" s="162"/>
      <c r="AI230" s="164">
        <f t="shared" si="21"/>
        <v>0</v>
      </c>
      <c r="AJ230" s="118" t="s">
        <v>6</v>
      </c>
      <c r="AK230" s="113">
        <v>43019</v>
      </c>
      <c r="AL230" s="118"/>
      <c r="AM230" s="165" t="str">
        <f t="shared" si="22"/>
        <v>16029 ERAMET</v>
      </c>
      <c r="AN230" s="165" t="str">
        <f t="shared" si="23"/>
        <v xml:space="preserve">16029 ERAMET : présence As </v>
      </c>
    </row>
    <row r="231" spans="1:40" s="76" customFormat="1" ht="13" hidden="1" x14ac:dyDescent="0.3">
      <c r="A231" s="122" t="s">
        <v>959</v>
      </c>
      <c r="B231" s="116">
        <v>16030</v>
      </c>
      <c r="C231" s="113" t="s">
        <v>8</v>
      </c>
      <c r="D231" s="117">
        <v>42600</v>
      </c>
      <c r="E231" s="118" t="s">
        <v>441</v>
      </c>
      <c r="F231" s="118" t="s">
        <v>164</v>
      </c>
      <c r="G231" s="111" t="s">
        <v>500</v>
      </c>
      <c r="H231" s="111" t="s">
        <v>930</v>
      </c>
      <c r="I231" s="119" t="s">
        <v>2056</v>
      </c>
      <c r="J231" s="113"/>
      <c r="K231" s="118">
        <v>2015</v>
      </c>
      <c r="L231" s="118">
        <v>11722</v>
      </c>
      <c r="M231" s="118" t="s">
        <v>13</v>
      </c>
      <c r="N231" s="111" t="s">
        <v>960</v>
      </c>
      <c r="O231" s="111" t="s">
        <v>29</v>
      </c>
      <c r="P231" s="111" t="s">
        <v>86</v>
      </c>
      <c r="Q231" s="111"/>
      <c r="R231" s="111" t="s">
        <v>145</v>
      </c>
      <c r="S231" s="111"/>
      <c r="T231" s="118"/>
      <c r="U231" s="64">
        <v>42600</v>
      </c>
      <c r="V231" s="158" t="s">
        <v>6</v>
      </c>
      <c r="W231" s="118" t="s">
        <v>441</v>
      </c>
      <c r="X231" s="113"/>
      <c r="Y231" s="117">
        <f t="shared" si="18"/>
        <v>42692</v>
      </c>
      <c r="Z231" s="117">
        <v>42660</v>
      </c>
      <c r="AA231" s="161" t="str">
        <f t="shared" ca="1" si="19"/>
        <v>YES</v>
      </c>
      <c r="AB231" s="113"/>
      <c r="AC231" s="117"/>
      <c r="AD231" s="111"/>
      <c r="AE231" s="111"/>
      <c r="AF231" s="111" t="str">
        <f t="shared" ca="1" si="20"/>
        <v>N/A</v>
      </c>
      <c r="AG231" s="162"/>
      <c r="AH231" s="162"/>
      <c r="AI231" s="164">
        <f t="shared" si="21"/>
        <v>0</v>
      </c>
      <c r="AJ231" s="118"/>
      <c r="AK231" s="113"/>
      <c r="AL231" s="118"/>
      <c r="AM231" s="165" t="str">
        <f t="shared" si="22"/>
        <v>16030 RZBC</v>
      </c>
      <c r="AN231" s="165" t="str">
        <f t="shared" si="23"/>
        <v>16030 RZBC : IEX Columns : Leg strength</v>
      </c>
    </row>
    <row r="232" spans="1:40" s="76" customFormat="1" ht="13" hidden="1" x14ac:dyDescent="0.3">
      <c r="A232" s="122" t="s">
        <v>961</v>
      </c>
      <c r="B232" s="116">
        <v>16031</v>
      </c>
      <c r="C232" s="113" t="s">
        <v>4</v>
      </c>
      <c r="D232" s="117">
        <v>42608</v>
      </c>
      <c r="E232" s="118" t="s">
        <v>273</v>
      </c>
      <c r="F232" s="118" t="s">
        <v>658</v>
      </c>
      <c r="G232" s="111" t="s">
        <v>962</v>
      </c>
      <c r="H232" s="111" t="s">
        <v>334</v>
      </c>
      <c r="I232" s="119" t="s">
        <v>5</v>
      </c>
      <c r="J232" s="113"/>
      <c r="K232" s="118" t="s">
        <v>454</v>
      </c>
      <c r="L232" s="118" t="s">
        <v>963</v>
      </c>
      <c r="M232" s="118" t="s">
        <v>18</v>
      </c>
      <c r="N232" s="111" t="s">
        <v>964</v>
      </c>
      <c r="O232" s="111" t="s">
        <v>28</v>
      </c>
      <c r="P232" s="111" t="s">
        <v>103</v>
      </c>
      <c r="Q232" s="111" t="s">
        <v>176</v>
      </c>
      <c r="R232" s="111" t="s">
        <v>145</v>
      </c>
      <c r="S232" s="111"/>
      <c r="T232" s="129" t="s">
        <v>334</v>
      </c>
      <c r="U232" s="64"/>
      <c r="V232" s="158" t="s">
        <v>6</v>
      </c>
      <c r="W232" s="118" t="s">
        <v>273</v>
      </c>
      <c r="X232" s="113"/>
      <c r="Y232" s="117">
        <f t="shared" si="18"/>
        <v>42700</v>
      </c>
      <c r="Z232" s="117">
        <v>42804</v>
      </c>
      <c r="AA232" s="161" t="str">
        <f t="shared" ca="1" si="19"/>
        <v>NO</v>
      </c>
      <c r="AB232" s="113"/>
      <c r="AC232" s="117"/>
      <c r="AD232" s="111"/>
      <c r="AE232" s="111"/>
      <c r="AF232" s="111" t="str">
        <f t="shared" ca="1" si="20"/>
        <v/>
      </c>
      <c r="AG232" s="162"/>
      <c r="AH232" s="162"/>
      <c r="AI232" s="164">
        <f t="shared" si="21"/>
        <v>0</v>
      </c>
      <c r="AJ232" s="118" t="s">
        <v>6</v>
      </c>
      <c r="AK232" s="113">
        <v>43011</v>
      </c>
      <c r="AL232" s="118"/>
      <c r="AM232" s="165" t="str">
        <f t="shared" si="22"/>
        <v>16031 Polypeptide Laboratories</v>
      </c>
      <c r="AN232" s="165" t="str">
        <f t="shared" si="23"/>
        <v xml:space="preserve">16031 Polypeptide Laboratories : corrosion corps de pompe d'alimentation </v>
      </c>
    </row>
    <row r="233" spans="1:40" s="76" customFormat="1" ht="13" hidden="1" x14ac:dyDescent="0.3">
      <c r="A233" s="122" t="s">
        <v>965</v>
      </c>
      <c r="B233" s="116">
        <v>16032</v>
      </c>
      <c r="C233" s="113" t="s">
        <v>4</v>
      </c>
      <c r="D233" s="117">
        <v>42619</v>
      </c>
      <c r="E233" s="118" t="s">
        <v>294</v>
      </c>
      <c r="F233" s="118" t="s">
        <v>164</v>
      </c>
      <c r="G233" s="111" t="s">
        <v>814</v>
      </c>
      <c r="H233" s="111" t="s">
        <v>966</v>
      </c>
      <c r="I233" s="119" t="s">
        <v>2057</v>
      </c>
      <c r="J233" s="113"/>
      <c r="K233" s="118">
        <v>2002</v>
      </c>
      <c r="L233" s="118">
        <v>10510</v>
      </c>
      <c r="M233" s="118" t="s">
        <v>672</v>
      </c>
      <c r="N233" s="111" t="s">
        <v>967</v>
      </c>
      <c r="O233" s="111" t="s">
        <v>29</v>
      </c>
      <c r="P233" s="111" t="s">
        <v>86</v>
      </c>
      <c r="Q233" s="111" t="s">
        <v>522</v>
      </c>
      <c r="R233" s="111" t="s">
        <v>9</v>
      </c>
      <c r="S233" s="111"/>
      <c r="T233" s="118"/>
      <c r="U233" s="64"/>
      <c r="V233" s="158" t="s">
        <v>10</v>
      </c>
      <c r="W233" s="118"/>
      <c r="X233" s="113"/>
      <c r="Y233" s="117">
        <f t="shared" si="18"/>
        <v>42710</v>
      </c>
      <c r="Z233" s="117">
        <v>42669</v>
      </c>
      <c r="AA233" s="161" t="str">
        <f t="shared" ca="1" si="19"/>
        <v>YES</v>
      </c>
      <c r="AB233" s="113"/>
      <c r="AC233" s="117"/>
      <c r="AD233" s="111"/>
      <c r="AE233" s="111"/>
      <c r="AF233" s="111" t="str">
        <f t="shared" ca="1" si="20"/>
        <v>N/A</v>
      </c>
      <c r="AG233" s="162"/>
      <c r="AH233" s="162"/>
      <c r="AI233" s="164">
        <f t="shared" si="21"/>
        <v>0</v>
      </c>
      <c r="AJ233" s="118" t="s">
        <v>6</v>
      </c>
      <c r="AK233" s="113">
        <v>43018</v>
      </c>
      <c r="AL233" s="118"/>
      <c r="AM233" s="165" t="str">
        <f t="shared" si="22"/>
        <v>16032 Al Nouran</v>
      </c>
      <c r="AN233" s="165" t="str">
        <f t="shared" si="23"/>
        <v>16032 Al Nouran : Revêtement anti-corrosion sur tuyauteries</v>
      </c>
    </row>
    <row r="234" spans="1:40" s="76" customFormat="1" ht="13" hidden="1" x14ac:dyDescent="0.3">
      <c r="A234" s="122" t="s">
        <v>968</v>
      </c>
      <c r="B234" s="116">
        <v>16033</v>
      </c>
      <c r="C234" s="113" t="s">
        <v>4</v>
      </c>
      <c r="D234" s="117">
        <v>42626</v>
      </c>
      <c r="E234" s="118" t="s">
        <v>221</v>
      </c>
      <c r="F234" s="118" t="s">
        <v>164</v>
      </c>
      <c r="G234" s="111" t="s">
        <v>969</v>
      </c>
      <c r="H234" s="111" t="s">
        <v>970</v>
      </c>
      <c r="I234" s="119" t="s">
        <v>5</v>
      </c>
      <c r="J234" s="113"/>
      <c r="K234" s="118">
        <v>1990</v>
      </c>
      <c r="L234" s="118">
        <v>9838</v>
      </c>
      <c r="M234" s="118" t="s">
        <v>7</v>
      </c>
      <c r="N234" s="111" t="s">
        <v>971</v>
      </c>
      <c r="O234" s="111" t="s">
        <v>29</v>
      </c>
      <c r="P234" s="111" t="s">
        <v>86</v>
      </c>
      <c r="Q234" s="111" t="s">
        <v>916</v>
      </c>
      <c r="R234" s="111" t="s">
        <v>145</v>
      </c>
      <c r="S234" s="111"/>
      <c r="T234" s="129" t="s">
        <v>972</v>
      </c>
      <c r="U234" s="64"/>
      <c r="V234" s="158" t="s">
        <v>6</v>
      </c>
      <c r="W234" s="118" t="s">
        <v>224</v>
      </c>
      <c r="X234" s="113"/>
      <c r="Y234" s="117">
        <f t="shared" si="18"/>
        <v>42717</v>
      </c>
      <c r="Z234" s="117">
        <v>42858</v>
      </c>
      <c r="AA234" s="161" t="str">
        <f t="shared" ca="1" si="19"/>
        <v>NO</v>
      </c>
      <c r="AB234" s="113"/>
      <c r="AC234" s="117">
        <v>42627</v>
      </c>
      <c r="AD234" s="169" t="s">
        <v>973</v>
      </c>
      <c r="AE234" s="172">
        <v>42858</v>
      </c>
      <c r="AF234" s="111" t="str">
        <f t="shared" ca="1" si="20"/>
        <v>YES</v>
      </c>
      <c r="AG234" s="162"/>
      <c r="AH234" s="162"/>
      <c r="AI234" s="164">
        <f t="shared" si="21"/>
        <v>0</v>
      </c>
      <c r="AJ234" s="118" t="s">
        <v>6</v>
      </c>
      <c r="AK234" s="113">
        <v>43059</v>
      </c>
      <c r="AL234" s="118"/>
      <c r="AM234" s="165" t="str">
        <f t="shared" si="22"/>
        <v xml:space="preserve">16033 Tetrapak </v>
      </c>
      <c r="AN234" s="165" t="str">
        <f t="shared" si="23"/>
        <v>16033 Tetrapak  : Rupture tuyau soude sur ED</v>
      </c>
    </row>
    <row r="235" spans="1:40" s="76" customFormat="1" ht="13" hidden="1" x14ac:dyDescent="0.3">
      <c r="A235" s="122" t="s">
        <v>974</v>
      </c>
      <c r="B235" s="116">
        <v>16034</v>
      </c>
      <c r="C235" s="113" t="s">
        <v>4</v>
      </c>
      <c r="D235" s="117">
        <v>42627</v>
      </c>
      <c r="E235" s="118" t="s">
        <v>319</v>
      </c>
      <c r="F235" s="118" t="s">
        <v>164</v>
      </c>
      <c r="G235" s="111" t="s">
        <v>591</v>
      </c>
      <c r="H235" s="111"/>
      <c r="I235" s="119" t="s">
        <v>2057</v>
      </c>
      <c r="J235" s="113"/>
      <c r="K235" s="118">
        <v>1976</v>
      </c>
      <c r="L235" s="118">
        <v>8531</v>
      </c>
      <c r="M235" s="118" t="s">
        <v>975</v>
      </c>
      <c r="N235" s="111" t="s">
        <v>976</v>
      </c>
      <c r="O235" s="111" t="s">
        <v>29</v>
      </c>
      <c r="P235" s="111" t="s">
        <v>86</v>
      </c>
      <c r="Q235" s="111" t="s">
        <v>522</v>
      </c>
      <c r="R235" s="111" t="s">
        <v>9</v>
      </c>
      <c r="S235" s="111"/>
      <c r="T235" s="118"/>
      <c r="U235" s="64"/>
      <c r="V235" s="158" t="s">
        <v>6</v>
      </c>
      <c r="W235" s="118" t="s">
        <v>120</v>
      </c>
      <c r="X235" s="113"/>
      <c r="Y235" s="117">
        <f t="shared" si="18"/>
        <v>42718</v>
      </c>
      <c r="Z235" s="117">
        <v>42695</v>
      </c>
      <c r="AA235" s="161" t="str">
        <f t="shared" ca="1" si="19"/>
        <v>YES</v>
      </c>
      <c r="AB235" s="113"/>
      <c r="AC235" s="117"/>
      <c r="AD235" s="111"/>
      <c r="AE235" s="111"/>
      <c r="AF235" s="111" t="str">
        <f t="shared" ca="1" si="20"/>
        <v>N/A</v>
      </c>
      <c r="AG235" s="162"/>
      <c r="AH235" s="162"/>
      <c r="AI235" s="164">
        <f t="shared" si="21"/>
        <v>0</v>
      </c>
      <c r="AJ235" s="118" t="s">
        <v>6</v>
      </c>
      <c r="AK235" s="113">
        <v>43027</v>
      </c>
      <c r="AL235" s="118"/>
      <c r="AM235" s="165" t="str">
        <f t="shared" si="22"/>
        <v xml:space="preserve">16034 Tanichem </v>
      </c>
      <c r="AN235" s="165" t="str">
        <f t="shared" si="23"/>
        <v>16034 Tanichem  : Accessibility and ergonomic improvements</v>
      </c>
    </row>
    <row r="236" spans="1:40" s="76" customFormat="1" ht="13" hidden="1" x14ac:dyDescent="0.3">
      <c r="A236" s="122" t="s">
        <v>977</v>
      </c>
      <c r="B236" s="116">
        <v>16035</v>
      </c>
      <c r="C236" s="113" t="s">
        <v>4</v>
      </c>
      <c r="D236" s="117">
        <v>42627</v>
      </c>
      <c r="E236" s="118" t="s">
        <v>319</v>
      </c>
      <c r="F236" s="118" t="s">
        <v>164</v>
      </c>
      <c r="G236" s="111" t="s">
        <v>591</v>
      </c>
      <c r="H236" s="111"/>
      <c r="I236" s="119" t="s">
        <v>2057</v>
      </c>
      <c r="J236" s="113"/>
      <c r="K236" s="118">
        <v>1976</v>
      </c>
      <c r="L236" s="118">
        <v>8531</v>
      </c>
      <c r="M236" s="118" t="s">
        <v>975</v>
      </c>
      <c r="N236" s="111" t="s">
        <v>978</v>
      </c>
      <c r="O236" s="111" t="s">
        <v>29</v>
      </c>
      <c r="P236" s="111" t="s">
        <v>86</v>
      </c>
      <c r="Q236" s="111" t="s">
        <v>522</v>
      </c>
      <c r="R236" s="111" t="s">
        <v>9</v>
      </c>
      <c r="S236" s="111"/>
      <c r="T236" s="118"/>
      <c r="U236" s="64"/>
      <c r="V236" s="158" t="s">
        <v>6</v>
      </c>
      <c r="W236" s="118" t="s">
        <v>120</v>
      </c>
      <c r="X236" s="113"/>
      <c r="Y236" s="117">
        <f t="shared" si="18"/>
        <v>42718</v>
      </c>
      <c r="Z236" s="117">
        <v>42695</v>
      </c>
      <c r="AA236" s="161" t="str">
        <f t="shared" ca="1" si="19"/>
        <v>YES</v>
      </c>
      <c r="AB236" s="113"/>
      <c r="AC236" s="117"/>
      <c r="AD236" s="111"/>
      <c r="AE236" s="111"/>
      <c r="AF236" s="111" t="str">
        <f t="shared" ca="1" si="20"/>
        <v>N/A</v>
      </c>
      <c r="AG236" s="162"/>
      <c r="AH236" s="162"/>
      <c r="AI236" s="164">
        <f t="shared" si="21"/>
        <v>0</v>
      </c>
      <c r="AJ236" s="118" t="s">
        <v>6</v>
      </c>
      <c r="AK236" s="113">
        <v>43027</v>
      </c>
      <c r="AL236" s="118"/>
      <c r="AM236" s="165" t="str">
        <f t="shared" si="22"/>
        <v xml:space="preserve">16035 Tanichem </v>
      </c>
      <c r="AN236" s="165" t="str">
        <f t="shared" si="23"/>
        <v>16035 Tanichem  : Design issues (insulation, rupture discs spec)</v>
      </c>
    </row>
    <row r="237" spans="1:40" s="76" customFormat="1" ht="13" hidden="1" x14ac:dyDescent="0.3">
      <c r="A237" s="122" t="s">
        <v>979</v>
      </c>
      <c r="B237" s="116">
        <v>16036</v>
      </c>
      <c r="C237" s="113" t="s">
        <v>4</v>
      </c>
      <c r="D237" s="117">
        <v>42627</v>
      </c>
      <c r="E237" s="118" t="s">
        <v>319</v>
      </c>
      <c r="F237" s="118" t="s">
        <v>164</v>
      </c>
      <c r="G237" s="111" t="s">
        <v>591</v>
      </c>
      <c r="H237" s="111" t="s">
        <v>930</v>
      </c>
      <c r="I237" s="119" t="s">
        <v>2057</v>
      </c>
      <c r="J237" s="113"/>
      <c r="K237" s="118">
        <v>1976</v>
      </c>
      <c r="L237" s="118">
        <v>8531</v>
      </c>
      <c r="M237" s="118" t="s">
        <v>975</v>
      </c>
      <c r="N237" s="111" t="s">
        <v>980</v>
      </c>
      <c r="O237" s="111" t="s">
        <v>29</v>
      </c>
      <c r="P237" s="111" t="s">
        <v>86</v>
      </c>
      <c r="Q237" s="111" t="s">
        <v>522</v>
      </c>
      <c r="R237" s="111" t="s">
        <v>145</v>
      </c>
      <c r="S237" s="111"/>
      <c r="T237" s="118"/>
      <c r="U237" s="64"/>
      <c r="V237" s="158" t="s">
        <v>6</v>
      </c>
      <c r="W237" s="118" t="s">
        <v>120</v>
      </c>
      <c r="X237" s="113"/>
      <c r="Y237" s="117">
        <f t="shared" si="18"/>
        <v>42718</v>
      </c>
      <c r="Z237" s="117">
        <v>42717</v>
      </c>
      <c r="AA237" s="161" t="str">
        <f t="shared" ca="1" si="19"/>
        <v>YES</v>
      </c>
      <c r="AB237" s="113"/>
      <c r="AC237" s="117"/>
      <c r="AD237" s="111"/>
      <c r="AE237" s="111"/>
      <c r="AF237" s="111" t="str">
        <f t="shared" ca="1" si="20"/>
        <v>N/A</v>
      </c>
      <c r="AG237" s="162"/>
      <c r="AH237" s="162"/>
      <c r="AI237" s="164">
        <f t="shared" si="21"/>
        <v>0</v>
      </c>
      <c r="AJ237" s="118" t="s">
        <v>6</v>
      </c>
      <c r="AK237" s="113">
        <v>43018</v>
      </c>
      <c r="AL237" s="118"/>
      <c r="AM237" s="165" t="str">
        <f t="shared" si="22"/>
        <v xml:space="preserve">16036 Tanichem </v>
      </c>
      <c r="AN237" s="165" t="str">
        <f t="shared" si="23"/>
        <v>16036 Tanichem  : Welds on reactor after ASME certification</v>
      </c>
    </row>
    <row r="238" spans="1:40" s="76" customFormat="1" ht="13" hidden="1" x14ac:dyDescent="0.3">
      <c r="A238" s="122" t="s">
        <v>981</v>
      </c>
      <c r="B238" s="116">
        <v>16037</v>
      </c>
      <c r="C238" s="113" t="s">
        <v>4</v>
      </c>
      <c r="D238" s="117">
        <v>42643</v>
      </c>
      <c r="E238" s="118" t="s">
        <v>763</v>
      </c>
      <c r="F238" s="118" t="s">
        <v>164</v>
      </c>
      <c r="G238" s="111" t="s">
        <v>596</v>
      </c>
      <c r="H238" s="111"/>
      <c r="I238" s="119" t="s">
        <v>5</v>
      </c>
      <c r="J238" s="113"/>
      <c r="K238" s="118">
        <v>1980</v>
      </c>
      <c r="L238" s="118">
        <v>9726</v>
      </c>
      <c r="M238" s="118" t="s">
        <v>18</v>
      </c>
      <c r="N238" s="111" t="s">
        <v>982</v>
      </c>
      <c r="O238" s="111" t="s">
        <v>29</v>
      </c>
      <c r="P238" s="111" t="s">
        <v>86</v>
      </c>
      <c r="Q238" s="111" t="s">
        <v>916</v>
      </c>
      <c r="R238" s="111" t="s">
        <v>12</v>
      </c>
      <c r="S238" s="111"/>
      <c r="T238" s="118"/>
      <c r="U238" s="64"/>
      <c r="V238" s="158" t="s">
        <v>6</v>
      </c>
      <c r="W238" s="118" t="s">
        <v>763</v>
      </c>
      <c r="X238" s="113"/>
      <c r="Y238" s="117">
        <f t="shared" si="18"/>
        <v>42734</v>
      </c>
      <c r="Z238" s="117">
        <v>43028</v>
      </c>
      <c r="AA238" s="161" t="str">
        <f t="shared" ca="1" si="19"/>
        <v>NO</v>
      </c>
      <c r="AB238" s="113"/>
      <c r="AC238" s="117">
        <v>42647</v>
      </c>
      <c r="AD238" s="169">
        <v>42794</v>
      </c>
      <c r="AE238" s="172">
        <v>43028</v>
      </c>
      <c r="AF238" s="111" t="str">
        <f t="shared" ca="1" si="20"/>
        <v>NO</v>
      </c>
      <c r="AG238" s="162"/>
      <c r="AH238" s="162"/>
      <c r="AI238" s="164">
        <f t="shared" si="21"/>
        <v>0</v>
      </c>
      <c r="AJ238" s="118"/>
      <c r="AK238" s="113" t="s">
        <v>983</v>
      </c>
      <c r="AL238" s="118"/>
      <c r="AM238" s="165" t="str">
        <f t="shared" si="22"/>
        <v>16037 Conaprole</v>
      </c>
      <c r="AN238" s="165" t="str">
        <f t="shared" si="23"/>
        <v>16037 Conaprole : protein content lower than contractual guaranty</v>
      </c>
    </row>
    <row r="239" spans="1:40" s="76" customFormat="1" ht="13" hidden="1" x14ac:dyDescent="0.3">
      <c r="A239" s="122" t="s">
        <v>984</v>
      </c>
      <c r="B239" s="116">
        <v>16038</v>
      </c>
      <c r="C239" s="113" t="s">
        <v>4</v>
      </c>
      <c r="D239" s="117">
        <v>42646</v>
      </c>
      <c r="E239" s="118" t="s">
        <v>82</v>
      </c>
      <c r="F239" s="118" t="s">
        <v>658</v>
      </c>
      <c r="G239" s="111" t="s">
        <v>985</v>
      </c>
      <c r="H239" s="111" t="s">
        <v>357</v>
      </c>
      <c r="I239" s="119" t="s">
        <v>5</v>
      </c>
      <c r="J239" s="113"/>
      <c r="K239" s="118" t="s">
        <v>454</v>
      </c>
      <c r="L239" s="118" t="s">
        <v>986</v>
      </c>
      <c r="M239" s="118" t="s">
        <v>338</v>
      </c>
      <c r="N239" s="111" t="s">
        <v>987</v>
      </c>
      <c r="O239" s="111" t="s">
        <v>28</v>
      </c>
      <c r="P239" s="111" t="s">
        <v>103</v>
      </c>
      <c r="Q239" s="111" t="s">
        <v>176</v>
      </c>
      <c r="R239" s="111" t="s">
        <v>9</v>
      </c>
      <c r="S239" s="111"/>
      <c r="T239" s="118"/>
      <c r="U239" s="64"/>
      <c r="V239" s="158" t="s">
        <v>6</v>
      </c>
      <c r="W239" s="118" t="s">
        <v>82</v>
      </c>
      <c r="X239" s="113"/>
      <c r="Y239" s="117">
        <f t="shared" si="18"/>
        <v>42738</v>
      </c>
      <c r="Z239" s="117">
        <v>42737</v>
      </c>
      <c r="AA239" s="161" t="str">
        <f t="shared" ca="1" si="19"/>
        <v>YES</v>
      </c>
      <c r="AB239" s="113"/>
      <c r="AC239" s="117"/>
      <c r="AD239" s="111"/>
      <c r="AE239" s="111"/>
      <c r="AF239" s="111" t="str">
        <f t="shared" ca="1" si="20"/>
        <v/>
      </c>
      <c r="AG239" s="162"/>
      <c r="AH239" s="162"/>
      <c r="AI239" s="164">
        <f t="shared" si="21"/>
        <v>0</v>
      </c>
      <c r="AJ239" s="118" t="s">
        <v>6</v>
      </c>
      <c r="AK239" s="113">
        <v>43011</v>
      </c>
      <c r="AL239" s="118"/>
      <c r="AM239" s="165" t="str">
        <f t="shared" si="22"/>
        <v>16038 CJ Brésil</v>
      </c>
      <c r="AN239" s="165" t="str">
        <f t="shared" si="23"/>
        <v>16038 CJ Brésil : Kerasep membrane lifetime</v>
      </c>
    </row>
    <row r="240" spans="1:40" s="76" customFormat="1" ht="13" hidden="1" x14ac:dyDescent="0.3">
      <c r="A240" s="122" t="s">
        <v>988</v>
      </c>
      <c r="B240" s="116">
        <v>16039</v>
      </c>
      <c r="C240" s="113" t="s">
        <v>4</v>
      </c>
      <c r="D240" s="117">
        <v>42649</v>
      </c>
      <c r="E240" s="118" t="s">
        <v>864</v>
      </c>
      <c r="F240" s="118" t="s">
        <v>164</v>
      </c>
      <c r="G240" s="111" t="s">
        <v>895</v>
      </c>
      <c r="H240" s="111" t="s">
        <v>896</v>
      </c>
      <c r="I240" s="119" t="s">
        <v>5</v>
      </c>
      <c r="J240" s="113"/>
      <c r="K240" s="118">
        <v>1981</v>
      </c>
      <c r="L240" s="118">
        <v>9922</v>
      </c>
      <c r="M240" s="118" t="s">
        <v>13</v>
      </c>
      <c r="N240" s="111" t="s">
        <v>897</v>
      </c>
      <c r="O240" s="111" t="s">
        <v>29</v>
      </c>
      <c r="P240" s="111" t="s">
        <v>86</v>
      </c>
      <c r="Q240" s="111"/>
      <c r="R240" s="111" t="s">
        <v>9</v>
      </c>
      <c r="S240" s="111"/>
      <c r="T240" s="118"/>
      <c r="U240" s="64"/>
      <c r="V240" s="158" t="s">
        <v>6</v>
      </c>
      <c r="W240" s="118" t="s">
        <v>864</v>
      </c>
      <c r="X240" s="113"/>
      <c r="Y240" s="117">
        <f t="shared" si="18"/>
        <v>42741</v>
      </c>
      <c r="Z240" s="117">
        <v>42943</v>
      </c>
      <c r="AA240" s="161" t="str">
        <f t="shared" ca="1" si="19"/>
        <v>NO</v>
      </c>
      <c r="AB240" s="113"/>
      <c r="AC240" s="117">
        <v>42632</v>
      </c>
      <c r="AD240" s="169">
        <v>43100</v>
      </c>
      <c r="AE240" s="169">
        <v>42917</v>
      </c>
      <c r="AF240" s="111" t="str">
        <f t="shared" ca="1" si="20"/>
        <v>YES</v>
      </c>
      <c r="AG240" s="162"/>
      <c r="AH240" s="162"/>
      <c r="AI240" s="164">
        <f t="shared" si="21"/>
        <v>0</v>
      </c>
      <c r="AJ240" s="118"/>
      <c r="AK240" s="113" t="s">
        <v>886</v>
      </c>
      <c r="AL240" s="118"/>
      <c r="AM240" s="165" t="str">
        <f t="shared" si="22"/>
        <v>16039 Glanbia</v>
      </c>
      <c r="AN240" s="165" t="str">
        <f t="shared" si="23"/>
        <v>16039 Glanbia : bent nozzles and leaking fine mesch resin</v>
      </c>
    </row>
    <row r="241" spans="1:40" s="76" customFormat="1" ht="13" hidden="1" x14ac:dyDescent="0.3">
      <c r="A241" s="122" t="s">
        <v>989</v>
      </c>
      <c r="B241" s="116">
        <v>16040</v>
      </c>
      <c r="C241" s="113" t="s">
        <v>8</v>
      </c>
      <c r="D241" s="117">
        <v>42661</v>
      </c>
      <c r="E241" s="118" t="s">
        <v>932</v>
      </c>
      <c r="F241" s="118" t="s">
        <v>164</v>
      </c>
      <c r="G241" s="111" t="s">
        <v>990</v>
      </c>
      <c r="H241" s="111"/>
      <c r="I241" s="119" t="s">
        <v>14</v>
      </c>
      <c r="J241" s="113"/>
      <c r="K241" s="118">
        <v>1991</v>
      </c>
      <c r="L241" s="118">
        <v>10138</v>
      </c>
      <c r="M241" s="118" t="s">
        <v>672</v>
      </c>
      <c r="N241" s="111" t="s">
        <v>991</v>
      </c>
      <c r="O241" s="111" t="s">
        <v>29</v>
      </c>
      <c r="P241" s="111" t="s">
        <v>86</v>
      </c>
      <c r="Q241" s="111" t="s">
        <v>992</v>
      </c>
      <c r="R241" s="111" t="s">
        <v>9</v>
      </c>
      <c r="S241" s="111"/>
      <c r="T241" s="118"/>
      <c r="U241" s="64">
        <v>42618</v>
      </c>
      <c r="V241" s="158" t="s">
        <v>6</v>
      </c>
      <c r="W241" s="118" t="s">
        <v>932</v>
      </c>
      <c r="X241" s="113"/>
      <c r="Y241" s="117">
        <f t="shared" si="18"/>
        <v>42753</v>
      </c>
      <c r="Z241" s="117">
        <v>42681</v>
      </c>
      <c r="AA241" s="161" t="str">
        <f t="shared" ca="1" si="19"/>
        <v>YES</v>
      </c>
      <c r="AB241" s="113"/>
      <c r="AC241" s="117"/>
      <c r="AD241" s="111"/>
      <c r="AE241" s="111"/>
      <c r="AF241" s="111" t="str">
        <f t="shared" ca="1" si="20"/>
        <v>N/A</v>
      </c>
      <c r="AG241" s="162"/>
      <c r="AH241" s="162"/>
      <c r="AI241" s="164">
        <f t="shared" si="21"/>
        <v>0</v>
      </c>
      <c r="AJ241" s="118"/>
      <c r="AK241" s="113"/>
      <c r="AL241" s="118"/>
      <c r="AM241" s="165" t="str">
        <f t="shared" si="22"/>
        <v>16040 KLIM</v>
      </c>
      <c r="AN241" s="165" t="str">
        <f t="shared" si="23"/>
        <v xml:space="preserve">16040 KLIM : column installed with wrong orientation </v>
      </c>
    </row>
    <row r="242" spans="1:40" s="76" customFormat="1" ht="13" hidden="1" x14ac:dyDescent="0.3">
      <c r="A242" s="122"/>
      <c r="B242" s="116">
        <v>16041</v>
      </c>
      <c r="C242" s="113" t="s">
        <v>8</v>
      </c>
      <c r="D242" s="117">
        <v>42662</v>
      </c>
      <c r="E242" s="118" t="s">
        <v>993</v>
      </c>
      <c r="F242" s="118" t="s">
        <v>164</v>
      </c>
      <c r="G242" s="111" t="s">
        <v>994</v>
      </c>
      <c r="H242" s="111"/>
      <c r="I242" s="119" t="s">
        <v>14</v>
      </c>
      <c r="J242" s="113"/>
      <c r="K242" s="118">
        <v>2016</v>
      </c>
      <c r="L242" s="118">
        <v>11478</v>
      </c>
      <c r="M242" s="118" t="s">
        <v>13</v>
      </c>
      <c r="N242" s="111" t="s">
        <v>995</v>
      </c>
      <c r="O242" s="111" t="s">
        <v>29</v>
      </c>
      <c r="P242" s="111" t="s">
        <v>86</v>
      </c>
      <c r="Q242" s="111"/>
      <c r="R242" s="111" t="s">
        <v>9</v>
      </c>
      <c r="S242" s="111"/>
      <c r="T242" s="118"/>
      <c r="U242" s="64">
        <v>42621</v>
      </c>
      <c r="V242" s="158" t="s">
        <v>6</v>
      </c>
      <c r="W242" s="118" t="s">
        <v>993</v>
      </c>
      <c r="X242" s="113"/>
      <c r="Y242" s="117">
        <f t="shared" si="18"/>
        <v>42754</v>
      </c>
      <c r="Z242" s="117">
        <v>42681</v>
      </c>
      <c r="AA242" s="161" t="str">
        <f t="shared" ca="1" si="19"/>
        <v>YES</v>
      </c>
      <c r="AB242" s="113"/>
      <c r="AC242" s="117"/>
      <c r="AD242" s="111"/>
      <c r="AE242" s="111"/>
      <c r="AF242" s="111" t="str">
        <f t="shared" ca="1" si="20"/>
        <v>N/A</v>
      </c>
      <c r="AG242" s="162"/>
      <c r="AH242" s="162"/>
      <c r="AI242" s="164">
        <f t="shared" si="21"/>
        <v>0</v>
      </c>
      <c r="AJ242" s="118"/>
      <c r="AK242" s="113"/>
      <c r="AL242" s="118"/>
      <c r="AM242" s="165" t="str">
        <f t="shared" si="22"/>
        <v>16041 Shuangqiao</v>
      </c>
      <c r="AN242" s="165" t="str">
        <f t="shared" si="23"/>
        <v>16041 Shuangqiao : internals  assembling  of IEX column</v>
      </c>
    </row>
    <row r="243" spans="1:40" s="76" customFormat="1" ht="13" hidden="1" x14ac:dyDescent="0.3">
      <c r="A243" s="122" t="s">
        <v>996</v>
      </c>
      <c r="B243" s="116">
        <v>16042</v>
      </c>
      <c r="C243" s="113" t="s">
        <v>4</v>
      </c>
      <c r="D243" s="117">
        <v>42664</v>
      </c>
      <c r="E243" s="118" t="s">
        <v>621</v>
      </c>
      <c r="F243" s="118" t="s">
        <v>164</v>
      </c>
      <c r="G243" s="111" t="s">
        <v>591</v>
      </c>
      <c r="H243" s="111"/>
      <c r="I243" s="119" t="s">
        <v>2057</v>
      </c>
      <c r="J243" s="113"/>
      <c r="K243" s="118">
        <v>1976</v>
      </c>
      <c r="L243" s="118">
        <v>8531</v>
      </c>
      <c r="M243" s="118" t="s">
        <v>975</v>
      </c>
      <c r="N243" s="111" t="s">
        <v>997</v>
      </c>
      <c r="O243" s="111" t="s">
        <v>29</v>
      </c>
      <c r="P243" s="111" t="s">
        <v>86</v>
      </c>
      <c r="Q243" s="111" t="s">
        <v>605</v>
      </c>
      <c r="R243" s="111" t="s">
        <v>145</v>
      </c>
      <c r="S243" s="111"/>
      <c r="T243" s="118"/>
      <c r="U243" s="64"/>
      <c r="V243" s="158" t="s">
        <v>6</v>
      </c>
      <c r="W243" s="118" t="s">
        <v>621</v>
      </c>
      <c r="X243" s="113"/>
      <c r="Y243" s="117">
        <f t="shared" si="18"/>
        <v>42756</v>
      </c>
      <c r="Z243" s="117">
        <v>42754</v>
      </c>
      <c r="AA243" s="161" t="str">
        <f t="shared" ca="1" si="19"/>
        <v>YES</v>
      </c>
      <c r="AB243" s="113"/>
      <c r="AC243" s="117"/>
      <c r="AD243" s="111"/>
      <c r="AE243" s="111"/>
      <c r="AF243" s="111" t="str">
        <f t="shared" ca="1" si="20"/>
        <v>N/A</v>
      </c>
      <c r="AG243" s="162"/>
      <c r="AH243" s="162"/>
      <c r="AI243" s="164">
        <f t="shared" si="21"/>
        <v>0</v>
      </c>
      <c r="AJ243" s="118" t="s">
        <v>6</v>
      </c>
      <c r="AK243" s="113">
        <v>43011</v>
      </c>
      <c r="AL243" s="118"/>
      <c r="AM243" s="165" t="str">
        <f t="shared" si="22"/>
        <v xml:space="preserve">16042 Tanichem </v>
      </c>
      <c r="AN243" s="165" t="str">
        <f t="shared" si="23"/>
        <v>16042 Tanichem  : Non raccordement arrêts d'urgence</v>
      </c>
    </row>
    <row r="244" spans="1:40" s="76" customFormat="1" ht="13" hidden="1" x14ac:dyDescent="0.3">
      <c r="A244" s="122" t="s">
        <v>998</v>
      </c>
      <c r="B244" s="116">
        <v>16043</v>
      </c>
      <c r="C244" s="113" t="s">
        <v>4</v>
      </c>
      <c r="D244" s="117">
        <v>42664</v>
      </c>
      <c r="E244" s="118" t="s">
        <v>621</v>
      </c>
      <c r="F244" s="118" t="s">
        <v>164</v>
      </c>
      <c r="G244" s="111" t="s">
        <v>591</v>
      </c>
      <c r="H244" s="111"/>
      <c r="I244" s="119" t="s">
        <v>2057</v>
      </c>
      <c r="J244" s="113"/>
      <c r="K244" s="118">
        <v>1976</v>
      </c>
      <c r="L244" s="118">
        <v>8531</v>
      </c>
      <c r="M244" s="118" t="s">
        <v>975</v>
      </c>
      <c r="N244" s="111" t="s">
        <v>999</v>
      </c>
      <c r="O244" s="111" t="s">
        <v>29</v>
      </c>
      <c r="P244" s="111" t="s">
        <v>86</v>
      </c>
      <c r="Q244" s="111" t="s">
        <v>605</v>
      </c>
      <c r="R244" s="111" t="s">
        <v>12</v>
      </c>
      <c r="S244" s="111"/>
      <c r="T244" s="118"/>
      <c r="U244" s="64"/>
      <c r="V244" s="158" t="s">
        <v>6</v>
      </c>
      <c r="W244" s="118" t="s">
        <v>621</v>
      </c>
      <c r="X244" s="113"/>
      <c r="Y244" s="117">
        <f t="shared" si="18"/>
        <v>42756</v>
      </c>
      <c r="Z244" s="117">
        <v>42754</v>
      </c>
      <c r="AA244" s="161" t="str">
        <f t="shared" ca="1" si="19"/>
        <v>YES</v>
      </c>
      <c r="AB244" s="113"/>
      <c r="AC244" s="117"/>
      <c r="AD244" s="111"/>
      <c r="AE244" s="111"/>
      <c r="AF244" s="111" t="str">
        <f t="shared" ca="1" si="20"/>
        <v>N/A</v>
      </c>
      <c r="AG244" s="162"/>
      <c r="AH244" s="162"/>
      <c r="AI244" s="164">
        <f t="shared" si="21"/>
        <v>0</v>
      </c>
      <c r="AJ244" s="118" t="s">
        <v>6</v>
      </c>
      <c r="AK244" s="113">
        <v>43011</v>
      </c>
      <c r="AL244" s="118"/>
      <c r="AM244" s="165" t="str">
        <f t="shared" si="22"/>
        <v xml:space="preserve">16043 Tanichem </v>
      </c>
      <c r="AN244" s="165" t="str">
        <f t="shared" si="23"/>
        <v>16043 Tanichem  : Equipements automatisme détériorés</v>
      </c>
    </row>
    <row r="245" spans="1:40" s="76" customFormat="1" ht="13" hidden="1" x14ac:dyDescent="0.3">
      <c r="A245" s="122" t="s">
        <v>1000</v>
      </c>
      <c r="B245" s="116">
        <v>16044</v>
      </c>
      <c r="C245" s="113" t="s">
        <v>4</v>
      </c>
      <c r="D245" s="117">
        <v>42664</v>
      </c>
      <c r="E245" s="118" t="s">
        <v>621</v>
      </c>
      <c r="F245" s="118" t="s">
        <v>164</v>
      </c>
      <c r="G245" s="111" t="s">
        <v>591</v>
      </c>
      <c r="H245" s="111"/>
      <c r="I245" s="119" t="s">
        <v>2057</v>
      </c>
      <c r="J245" s="113"/>
      <c r="K245" s="118">
        <v>1976</v>
      </c>
      <c r="L245" s="118">
        <v>8531</v>
      </c>
      <c r="M245" s="118" t="s">
        <v>975</v>
      </c>
      <c r="N245" s="111" t="s">
        <v>1001</v>
      </c>
      <c r="O245" s="111" t="s">
        <v>29</v>
      </c>
      <c r="P245" s="111" t="s">
        <v>86</v>
      </c>
      <c r="Q245" s="111" t="s">
        <v>605</v>
      </c>
      <c r="R245" s="111" t="s">
        <v>15</v>
      </c>
      <c r="S245" s="111"/>
      <c r="T245" s="118"/>
      <c r="U245" s="64"/>
      <c r="V245" s="158" t="s">
        <v>10</v>
      </c>
      <c r="W245" s="118"/>
      <c r="X245" s="113"/>
      <c r="Y245" s="117">
        <f t="shared" si="18"/>
        <v>42756</v>
      </c>
      <c r="Z245" s="117">
        <v>42717</v>
      </c>
      <c r="AA245" s="161" t="str">
        <f t="shared" ca="1" si="19"/>
        <v>YES</v>
      </c>
      <c r="AB245" s="113"/>
      <c r="AC245" s="117"/>
      <c r="AD245" s="111"/>
      <c r="AE245" s="111"/>
      <c r="AF245" s="111" t="str">
        <f t="shared" ca="1" si="20"/>
        <v>N/A</v>
      </c>
      <c r="AG245" s="162"/>
      <c r="AH245" s="162"/>
      <c r="AI245" s="164">
        <f t="shared" si="21"/>
        <v>0</v>
      </c>
      <c r="AJ245" s="118" t="s">
        <v>6</v>
      </c>
      <c r="AK245" s="113">
        <v>43011</v>
      </c>
      <c r="AL245" s="118"/>
      <c r="AM245" s="165" t="str">
        <f t="shared" si="22"/>
        <v xml:space="preserve">16044 Tanichem </v>
      </c>
      <c r="AN245" s="165" t="str">
        <f t="shared" si="23"/>
        <v>16044 Tanichem  : Abscence de redondance automate</v>
      </c>
    </row>
    <row r="246" spans="1:40" s="76" customFormat="1" ht="13" hidden="1" x14ac:dyDescent="0.3">
      <c r="A246" s="122" t="s">
        <v>1002</v>
      </c>
      <c r="B246" s="116">
        <v>16045</v>
      </c>
      <c r="C246" s="113" t="s">
        <v>4</v>
      </c>
      <c r="D246" s="117">
        <v>42664</v>
      </c>
      <c r="E246" s="118" t="s">
        <v>621</v>
      </c>
      <c r="F246" s="118" t="s">
        <v>164</v>
      </c>
      <c r="G246" s="111" t="s">
        <v>591</v>
      </c>
      <c r="H246" s="111"/>
      <c r="I246" s="119" t="s">
        <v>2057</v>
      </c>
      <c r="J246" s="113"/>
      <c r="K246" s="118">
        <v>1976</v>
      </c>
      <c r="L246" s="118">
        <v>8531</v>
      </c>
      <c r="M246" s="118" t="s">
        <v>975</v>
      </c>
      <c r="N246" s="111" t="s">
        <v>1003</v>
      </c>
      <c r="O246" s="111" t="s">
        <v>29</v>
      </c>
      <c r="P246" s="111" t="s">
        <v>86</v>
      </c>
      <c r="Q246" s="111" t="s">
        <v>605</v>
      </c>
      <c r="R246" s="111" t="s">
        <v>9</v>
      </c>
      <c r="S246" s="111"/>
      <c r="T246" s="118"/>
      <c r="U246" s="64"/>
      <c r="V246" s="158" t="s">
        <v>10</v>
      </c>
      <c r="W246" s="118"/>
      <c r="X246" s="159"/>
      <c r="Y246" s="160">
        <f t="shared" si="18"/>
        <v>42756</v>
      </c>
      <c r="Z246" s="117">
        <v>42717</v>
      </c>
      <c r="AA246" s="181" t="str">
        <f t="shared" ca="1" si="19"/>
        <v>YES</v>
      </c>
      <c r="AB246" s="159"/>
      <c r="AC246" s="117"/>
      <c r="AD246" s="111"/>
      <c r="AE246" s="111"/>
      <c r="AF246" s="111" t="str">
        <f t="shared" ca="1" si="20"/>
        <v>N/A</v>
      </c>
      <c r="AG246" s="162"/>
      <c r="AH246" s="162"/>
      <c r="AI246" s="164">
        <f t="shared" si="21"/>
        <v>0</v>
      </c>
      <c r="AJ246" s="118" t="s">
        <v>6</v>
      </c>
      <c r="AK246" s="113">
        <v>43011</v>
      </c>
      <c r="AL246" s="118"/>
      <c r="AM246" s="165" t="str">
        <f t="shared" si="22"/>
        <v xml:space="preserve">16045 Tanichem </v>
      </c>
      <c r="AN246" s="165" t="str">
        <f t="shared" si="23"/>
        <v>16045 Tanichem  : Tps fermeture/ouverte vannes trop long</v>
      </c>
    </row>
    <row r="247" spans="1:40" s="76" customFormat="1" ht="13" hidden="1" x14ac:dyDescent="0.3">
      <c r="A247" s="122" t="s">
        <v>1004</v>
      </c>
      <c r="B247" s="116">
        <v>16046</v>
      </c>
      <c r="C247" s="113" t="s">
        <v>4</v>
      </c>
      <c r="D247" s="117">
        <v>42668</v>
      </c>
      <c r="E247" s="118" t="s">
        <v>621</v>
      </c>
      <c r="F247" s="118" t="s">
        <v>164</v>
      </c>
      <c r="G247" s="111" t="s">
        <v>591</v>
      </c>
      <c r="H247" s="111" t="s">
        <v>1005</v>
      </c>
      <c r="I247" s="119" t="s">
        <v>2057</v>
      </c>
      <c r="J247" s="113"/>
      <c r="K247" s="118">
        <v>1976</v>
      </c>
      <c r="L247" s="118">
        <v>8531</v>
      </c>
      <c r="M247" s="118" t="s">
        <v>1006</v>
      </c>
      <c r="N247" s="111" t="s">
        <v>1007</v>
      </c>
      <c r="O247" s="111" t="s">
        <v>29</v>
      </c>
      <c r="P247" s="111" t="s">
        <v>86</v>
      </c>
      <c r="Q247" s="111" t="s">
        <v>605</v>
      </c>
      <c r="R247" s="111" t="s">
        <v>9</v>
      </c>
      <c r="S247" s="111"/>
      <c r="T247" s="118"/>
      <c r="U247" s="64"/>
      <c r="V247" s="158" t="s">
        <v>10</v>
      </c>
      <c r="W247" s="118"/>
      <c r="X247" s="113"/>
      <c r="Y247" s="117">
        <f t="shared" si="18"/>
        <v>42760</v>
      </c>
      <c r="Z247" s="117">
        <v>42754</v>
      </c>
      <c r="AA247" s="161" t="str">
        <f t="shared" ca="1" si="19"/>
        <v>YES</v>
      </c>
      <c r="AB247" s="113"/>
      <c r="AC247" s="117"/>
      <c r="AD247" s="111"/>
      <c r="AE247" s="111"/>
      <c r="AF247" s="111" t="str">
        <f t="shared" ca="1" si="20"/>
        <v>N/A</v>
      </c>
      <c r="AG247" s="162"/>
      <c r="AH247" s="162"/>
      <c r="AI247" s="164">
        <f t="shared" si="21"/>
        <v>0</v>
      </c>
      <c r="AJ247" s="118" t="s">
        <v>6</v>
      </c>
      <c r="AK247" s="113">
        <v>43011</v>
      </c>
      <c r="AL247" s="118"/>
      <c r="AM247" s="165" t="str">
        <f t="shared" si="22"/>
        <v xml:space="preserve">16046 Tanichem </v>
      </c>
      <c r="AN247" s="165" t="str">
        <f t="shared" si="23"/>
        <v>16046 Tanichem  : Remplacement PT sur filtre charbon</v>
      </c>
    </row>
    <row r="248" spans="1:40" s="76" customFormat="1" ht="13" hidden="1" x14ac:dyDescent="0.3">
      <c r="A248" s="122" t="s">
        <v>1008</v>
      </c>
      <c r="B248" s="116">
        <v>16047</v>
      </c>
      <c r="C248" s="113" t="s">
        <v>4</v>
      </c>
      <c r="D248" s="117">
        <v>42668</v>
      </c>
      <c r="E248" s="118" t="s">
        <v>1009</v>
      </c>
      <c r="F248" s="118" t="s">
        <v>164</v>
      </c>
      <c r="G248" s="111" t="s">
        <v>1010</v>
      </c>
      <c r="H248" s="111" t="s">
        <v>1011</v>
      </c>
      <c r="I248" s="119" t="s">
        <v>2056</v>
      </c>
      <c r="J248" s="113"/>
      <c r="K248" s="118">
        <v>2007</v>
      </c>
      <c r="L248" s="118">
        <v>11179</v>
      </c>
      <c r="M248" s="118" t="s">
        <v>338</v>
      </c>
      <c r="N248" s="111" t="s">
        <v>1012</v>
      </c>
      <c r="O248" s="111" t="s">
        <v>29</v>
      </c>
      <c r="P248" s="111" t="s">
        <v>86</v>
      </c>
      <c r="Q248" s="111" t="s">
        <v>885</v>
      </c>
      <c r="R248" s="111" t="s">
        <v>12</v>
      </c>
      <c r="S248" s="111"/>
      <c r="T248" s="118"/>
      <c r="U248" s="64"/>
      <c r="V248" s="158" t="s">
        <v>6</v>
      </c>
      <c r="W248" s="118" t="s">
        <v>1009</v>
      </c>
      <c r="X248" s="113"/>
      <c r="Y248" s="117">
        <f t="shared" si="18"/>
        <v>42760</v>
      </c>
      <c r="Z248" s="117">
        <v>42894</v>
      </c>
      <c r="AA248" s="161" t="str">
        <f t="shared" ca="1" si="19"/>
        <v>NO</v>
      </c>
      <c r="AB248" s="113"/>
      <c r="AC248" s="117"/>
      <c r="AD248" s="111"/>
      <c r="AE248" s="111"/>
      <c r="AF248" s="111" t="str">
        <f t="shared" ca="1" si="20"/>
        <v>N/A</v>
      </c>
      <c r="AG248" s="162"/>
      <c r="AH248" s="162"/>
      <c r="AI248" s="164">
        <f t="shared" si="21"/>
        <v>0</v>
      </c>
      <c r="AJ248" s="118" t="s">
        <v>6</v>
      </c>
      <c r="AK248" s="113">
        <v>43011</v>
      </c>
      <c r="AL248" s="118"/>
      <c r="AM248" s="165" t="str">
        <f t="shared" si="22"/>
        <v>16047 FUFENG</v>
      </c>
      <c r="AN248" s="165" t="str">
        <f t="shared" si="23"/>
        <v>16047 FUFENG : Leakage on control valves</v>
      </c>
    </row>
    <row r="249" spans="1:40" s="76" customFormat="1" ht="13" hidden="1" x14ac:dyDescent="0.3">
      <c r="A249" s="122" t="s">
        <v>1013</v>
      </c>
      <c r="B249" s="116">
        <v>16048</v>
      </c>
      <c r="C249" s="113" t="s">
        <v>4</v>
      </c>
      <c r="D249" s="117">
        <v>42669</v>
      </c>
      <c r="E249" s="118" t="s">
        <v>294</v>
      </c>
      <c r="F249" s="118" t="s">
        <v>164</v>
      </c>
      <c r="G249" s="111" t="s">
        <v>1014</v>
      </c>
      <c r="H249" s="111" t="s">
        <v>1015</v>
      </c>
      <c r="I249" s="119" t="s">
        <v>2057</v>
      </c>
      <c r="J249" s="113"/>
      <c r="K249" s="118">
        <v>2026</v>
      </c>
      <c r="L249" s="118">
        <v>11244</v>
      </c>
      <c r="M249" s="118" t="s">
        <v>338</v>
      </c>
      <c r="N249" s="111" t="s">
        <v>1016</v>
      </c>
      <c r="O249" s="111" t="s">
        <v>29</v>
      </c>
      <c r="P249" s="111" t="s">
        <v>176</v>
      </c>
      <c r="Q249" s="111" t="s">
        <v>1017</v>
      </c>
      <c r="R249" s="111" t="s">
        <v>9</v>
      </c>
      <c r="S249" s="111"/>
      <c r="T249" s="118"/>
      <c r="U249" s="64"/>
      <c r="V249" s="158" t="s">
        <v>10</v>
      </c>
      <c r="W249" s="118"/>
      <c r="X249" s="113"/>
      <c r="Y249" s="117">
        <f t="shared" si="18"/>
        <v>42761</v>
      </c>
      <c r="Z249" s="117">
        <v>42738</v>
      </c>
      <c r="AA249" s="161" t="str">
        <f t="shared" ca="1" si="19"/>
        <v>YES</v>
      </c>
      <c r="AB249" s="113"/>
      <c r="AC249" s="117"/>
      <c r="AD249" s="111"/>
      <c r="AE249" s="111"/>
      <c r="AF249" s="111" t="str">
        <f t="shared" ca="1" si="20"/>
        <v>N/A</v>
      </c>
      <c r="AG249" s="162"/>
      <c r="AH249" s="162"/>
      <c r="AI249" s="164">
        <f t="shared" si="21"/>
        <v>0</v>
      </c>
      <c r="AJ249" s="118" t="s">
        <v>6</v>
      </c>
      <c r="AK249" s="113">
        <v>43018</v>
      </c>
      <c r="AL249" s="118"/>
      <c r="AM249" s="165" t="str">
        <f t="shared" si="22"/>
        <v>16048 Biospringer</v>
      </c>
      <c r="AN249" s="165" t="str">
        <f t="shared" si="23"/>
        <v>16048 Biospringer : Commande vannes norme DIN au lieu ISO</v>
      </c>
    </row>
    <row r="250" spans="1:40" s="76" customFormat="1" ht="13" hidden="1" x14ac:dyDescent="0.3">
      <c r="A250" s="122" t="s">
        <v>1018</v>
      </c>
      <c r="B250" s="116">
        <v>16049</v>
      </c>
      <c r="C250" s="113" t="s">
        <v>4</v>
      </c>
      <c r="D250" s="117">
        <v>42669</v>
      </c>
      <c r="E250" s="118" t="s">
        <v>1019</v>
      </c>
      <c r="F250" s="118" t="s">
        <v>658</v>
      </c>
      <c r="G250" s="111" t="s">
        <v>1020</v>
      </c>
      <c r="H250" s="111"/>
      <c r="I250" s="119" t="s">
        <v>2057</v>
      </c>
      <c r="J250" s="113"/>
      <c r="K250" s="118" t="s">
        <v>1021</v>
      </c>
      <c r="L250" s="118" t="s">
        <v>1022</v>
      </c>
      <c r="M250" s="118" t="s">
        <v>672</v>
      </c>
      <c r="N250" s="111" t="s">
        <v>1023</v>
      </c>
      <c r="O250" s="111" t="s">
        <v>28</v>
      </c>
      <c r="P250" s="111" t="s">
        <v>103</v>
      </c>
      <c r="Q250" s="111" t="s">
        <v>176</v>
      </c>
      <c r="R250" s="111" t="s">
        <v>9</v>
      </c>
      <c r="S250" s="111"/>
      <c r="T250" s="118"/>
      <c r="U250" s="64"/>
      <c r="V250" s="158" t="s">
        <v>6</v>
      </c>
      <c r="W250" s="118" t="s">
        <v>82</v>
      </c>
      <c r="X250" s="113"/>
      <c r="Y250" s="117">
        <f t="shared" si="18"/>
        <v>42761</v>
      </c>
      <c r="Z250" s="117">
        <v>42758</v>
      </c>
      <c r="AA250" s="161" t="str">
        <f t="shared" ca="1" si="19"/>
        <v>YES</v>
      </c>
      <c r="AB250" s="113"/>
      <c r="AC250" s="117"/>
      <c r="AD250" s="111"/>
      <c r="AE250" s="111"/>
      <c r="AF250" s="111" t="str">
        <f t="shared" ca="1" si="20"/>
        <v>N/A</v>
      </c>
      <c r="AG250" s="162"/>
      <c r="AH250" s="162"/>
      <c r="AI250" s="164">
        <f t="shared" si="21"/>
        <v>0</v>
      </c>
      <c r="AJ250" s="118" t="s">
        <v>6</v>
      </c>
      <c r="AK250" s="113">
        <v>43011</v>
      </c>
      <c r="AL250" s="118"/>
      <c r="AM250" s="165" t="str">
        <f t="shared" si="22"/>
        <v xml:space="preserve">16049 OUEST IMPORT </v>
      </c>
      <c r="AN250" s="165" t="str">
        <f t="shared" si="23"/>
        <v>16049 OUEST IMPORT  : Alimentarité matériaux colonnes de décolo</v>
      </c>
    </row>
    <row r="251" spans="1:40" s="76" customFormat="1" ht="13" hidden="1" x14ac:dyDescent="0.3">
      <c r="A251" s="122" t="s">
        <v>1024</v>
      </c>
      <c r="B251" s="116">
        <v>16050</v>
      </c>
      <c r="C251" s="113" t="s">
        <v>4</v>
      </c>
      <c r="D251" s="117">
        <v>42688</v>
      </c>
      <c r="E251" s="118" t="s">
        <v>763</v>
      </c>
      <c r="F251" s="118" t="s">
        <v>164</v>
      </c>
      <c r="G251" s="111" t="s">
        <v>602</v>
      </c>
      <c r="H251" s="111" t="s">
        <v>433</v>
      </c>
      <c r="I251" s="119" t="s">
        <v>5</v>
      </c>
      <c r="J251" s="113" t="s">
        <v>6</v>
      </c>
      <c r="K251" s="118">
        <v>1952</v>
      </c>
      <c r="L251" s="118">
        <v>8259</v>
      </c>
      <c r="M251" s="118" t="s">
        <v>672</v>
      </c>
      <c r="N251" s="111" t="s">
        <v>1025</v>
      </c>
      <c r="O251" s="111" t="s">
        <v>29</v>
      </c>
      <c r="P251" s="111" t="s">
        <v>86</v>
      </c>
      <c r="Q251" s="111" t="s">
        <v>1026</v>
      </c>
      <c r="R251" s="111" t="s">
        <v>145</v>
      </c>
      <c r="S251" s="111"/>
      <c r="T251" s="118"/>
      <c r="U251" s="64"/>
      <c r="V251" s="158" t="s">
        <v>6</v>
      </c>
      <c r="W251" s="118" t="s">
        <v>116</v>
      </c>
      <c r="X251" s="113"/>
      <c r="Y251" s="117">
        <f t="shared" si="18"/>
        <v>42780</v>
      </c>
      <c r="Z251" s="117">
        <v>42832</v>
      </c>
      <c r="AA251" s="161" t="str">
        <f t="shared" ca="1" si="19"/>
        <v>NO</v>
      </c>
      <c r="AB251" s="113"/>
      <c r="AC251" s="117">
        <v>42683</v>
      </c>
      <c r="AD251" s="172">
        <v>42825</v>
      </c>
      <c r="AE251" s="172">
        <v>42832</v>
      </c>
      <c r="AF251" s="111" t="str">
        <f t="shared" ca="1" si="20"/>
        <v>NO</v>
      </c>
      <c r="AG251" s="162"/>
      <c r="AH251" s="162"/>
      <c r="AI251" s="164">
        <f t="shared" si="21"/>
        <v>0</v>
      </c>
      <c r="AJ251" s="118" t="s">
        <v>6</v>
      </c>
      <c r="AK251" s="113">
        <v>43018</v>
      </c>
      <c r="AL251" s="118"/>
      <c r="AM251" s="165" t="str">
        <f t="shared" si="22"/>
        <v>16050 Cevital</v>
      </c>
      <c r="AN251" s="165" t="str">
        <f t="shared" si="23"/>
        <v>16050 Cevital : Leakage of resins</v>
      </c>
    </row>
    <row r="252" spans="1:40" s="76" customFormat="1" ht="13" hidden="1" x14ac:dyDescent="0.3">
      <c r="A252" s="122" t="s">
        <v>1027</v>
      </c>
      <c r="B252" s="116">
        <v>16051</v>
      </c>
      <c r="C252" s="113" t="s">
        <v>8</v>
      </c>
      <c r="D252" s="117">
        <v>42689</v>
      </c>
      <c r="E252" s="118" t="s">
        <v>441</v>
      </c>
      <c r="F252" s="118" t="s">
        <v>164</v>
      </c>
      <c r="G252" s="111" t="s">
        <v>1010</v>
      </c>
      <c r="H252" s="118"/>
      <c r="I252" s="119" t="s">
        <v>5</v>
      </c>
      <c r="J252" s="113"/>
      <c r="K252" s="118">
        <v>1988</v>
      </c>
      <c r="L252" s="118">
        <v>10132</v>
      </c>
      <c r="M252" s="118" t="s">
        <v>11</v>
      </c>
      <c r="N252" s="111" t="s">
        <v>1028</v>
      </c>
      <c r="O252" s="111" t="s">
        <v>29</v>
      </c>
      <c r="P252" s="111" t="s">
        <v>103</v>
      </c>
      <c r="Q252" s="111"/>
      <c r="R252" s="111" t="s">
        <v>145</v>
      </c>
      <c r="S252" s="111"/>
      <c r="T252" s="118"/>
      <c r="U252" s="64"/>
      <c r="V252" s="158" t="s">
        <v>6</v>
      </c>
      <c r="W252" s="118" t="s">
        <v>441</v>
      </c>
      <c r="X252" s="113"/>
      <c r="Y252" s="117">
        <f t="shared" si="18"/>
        <v>42781</v>
      </c>
      <c r="Z252" s="117">
        <v>43018</v>
      </c>
      <c r="AA252" s="161" t="str">
        <f t="shared" ca="1" si="19"/>
        <v>NO</v>
      </c>
      <c r="AB252" s="113"/>
      <c r="AC252" s="117">
        <v>42681</v>
      </c>
      <c r="AD252" s="169">
        <v>42887</v>
      </c>
      <c r="AE252" s="172">
        <v>43018</v>
      </c>
      <c r="AF252" s="111" t="str">
        <f t="shared" ca="1" si="20"/>
        <v>NO</v>
      </c>
      <c r="AG252" s="162"/>
      <c r="AH252" s="162"/>
      <c r="AI252" s="164">
        <f t="shared" si="21"/>
        <v>0</v>
      </c>
      <c r="AJ252" s="118"/>
      <c r="AK252" s="113"/>
      <c r="AL252" s="118"/>
      <c r="AM252" s="165" t="str">
        <f t="shared" si="22"/>
        <v>16051 FUFENG</v>
      </c>
      <c r="AN252" s="165" t="str">
        <f t="shared" si="23"/>
        <v>16051 FUFENG : Floor fall down</v>
      </c>
    </row>
    <row r="253" spans="1:40" s="76" customFormat="1" ht="13" hidden="1" x14ac:dyDescent="0.3">
      <c r="A253" s="122" t="s">
        <v>1029</v>
      </c>
      <c r="B253" s="116">
        <v>16052</v>
      </c>
      <c r="C253" s="113" t="s">
        <v>8</v>
      </c>
      <c r="D253" s="117">
        <v>42690</v>
      </c>
      <c r="E253" s="118" t="s">
        <v>441</v>
      </c>
      <c r="F253" s="118" t="s">
        <v>164</v>
      </c>
      <c r="G253" s="111" t="s">
        <v>1010</v>
      </c>
      <c r="H253" s="111" t="s">
        <v>739</v>
      </c>
      <c r="I253" s="119" t="s">
        <v>2056</v>
      </c>
      <c r="J253" s="113"/>
      <c r="K253" s="118" t="s">
        <v>1030</v>
      </c>
      <c r="L253" s="118" t="s">
        <v>1031</v>
      </c>
      <c r="M253" s="118" t="s">
        <v>11</v>
      </c>
      <c r="N253" s="114" t="s">
        <v>1032</v>
      </c>
      <c r="O253" s="111" t="s">
        <v>29</v>
      </c>
      <c r="P253" s="111" t="s">
        <v>86</v>
      </c>
      <c r="Q253" s="111"/>
      <c r="R253" s="111" t="s">
        <v>145</v>
      </c>
      <c r="S253" s="111"/>
      <c r="T253" s="118"/>
      <c r="U253" s="64"/>
      <c r="V253" s="158" t="s">
        <v>6</v>
      </c>
      <c r="W253" s="118" t="s">
        <v>441</v>
      </c>
      <c r="X253" s="113"/>
      <c r="Y253" s="117">
        <f t="shared" si="18"/>
        <v>42782</v>
      </c>
      <c r="Z253" s="117">
        <v>42760</v>
      </c>
      <c r="AA253" s="161" t="str">
        <f t="shared" ca="1" si="19"/>
        <v>YES</v>
      </c>
      <c r="AB253" s="113"/>
      <c r="AC253" s="117"/>
      <c r="AD253" s="111"/>
      <c r="AE253" s="111"/>
      <c r="AF253" s="111" t="str">
        <f t="shared" ca="1" si="20"/>
        <v>N/A</v>
      </c>
      <c r="AG253" s="162"/>
      <c r="AH253" s="162"/>
      <c r="AI253" s="164">
        <f t="shared" si="21"/>
        <v>0</v>
      </c>
      <c r="AJ253" s="118"/>
      <c r="AK253" s="113"/>
      <c r="AL253" s="118"/>
      <c r="AM253" s="165" t="str">
        <f t="shared" si="22"/>
        <v>16052 FUFENG</v>
      </c>
      <c r="AN253" s="165" t="str">
        <f t="shared" si="23"/>
        <v>16052 FUFENG : FRP piping chamfer</v>
      </c>
    </row>
    <row r="254" spans="1:40" s="76" customFormat="1" ht="13" hidden="1" x14ac:dyDescent="0.3">
      <c r="A254" s="122" t="s">
        <v>1033</v>
      </c>
      <c r="B254" s="116">
        <v>16053</v>
      </c>
      <c r="C254" s="113" t="s">
        <v>4</v>
      </c>
      <c r="D254" s="117">
        <v>42691</v>
      </c>
      <c r="E254" s="118" t="s">
        <v>877</v>
      </c>
      <c r="F254" s="118" t="s">
        <v>691</v>
      </c>
      <c r="G254" s="111" t="s">
        <v>1034</v>
      </c>
      <c r="H254" s="111"/>
      <c r="I254" s="119" t="s">
        <v>2057</v>
      </c>
      <c r="J254" s="113"/>
      <c r="K254" s="118">
        <v>2033</v>
      </c>
      <c r="L254" s="118">
        <v>12449</v>
      </c>
      <c r="M254" s="118" t="s">
        <v>672</v>
      </c>
      <c r="N254" s="111" t="s">
        <v>1035</v>
      </c>
      <c r="O254" s="111" t="s">
        <v>29</v>
      </c>
      <c r="P254" s="111" t="s">
        <v>86</v>
      </c>
      <c r="Q254" s="111" t="s">
        <v>1036</v>
      </c>
      <c r="R254" s="111" t="s">
        <v>9</v>
      </c>
      <c r="S254" s="111"/>
      <c r="T254" s="118"/>
      <c r="U254" s="64"/>
      <c r="V254" s="158" t="s">
        <v>10</v>
      </c>
      <c r="W254" s="118"/>
      <c r="X254" s="113"/>
      <c r="Y254" s="117">
        <f t="shared" si="18"/>
        <v>42783</v>
      </c>
      <c r="Z254" s="117">
        <v>42773</v>
      </c>
      <c r="AA254" s="161" t="str">
        <f t="shared" ca="1" si="19"/>
        <v>YES</v>
      </c>
      <c r="AB254" s="113"/>
      <c r="AC254" s="117"/>
      <c r="AD254" s="111"/>
      <c r="AE254" s="111"/>
      <c r="AF254" s="111" t="str">
        <f t="shared" ca="1" si="20"/>
        <v>N/A</v>
      </c>
      <c r="AG254" s="162"/>
      <c r="AH254" s="162"/>
      <c r="AI254" s="164">
        <f t="shared" si="21"/>
        <v>0</v>
      </c>
      <c r="AJ254" s="118" t="s">
        <v>6</v>
      </c>
      <c r="AK254" s="113">
        <v>43059</v>
      </c>
      <c r="AL254" s="118"/>
      <c r="AM254" s="165" t="str">
        <f t="shared" si="22"/>
        <v>16053 Yi'an</v>
      </c>
      <c r="AN254" s="165" t="str">
        <f t="shared" si="23"/>
        <v>16053 Yi'an : Error PID Tags</v>
      </c>
    </row>
    <row r="255" spans="1:40" s="76" customFormat="1" ht="13" hidden="1" x14ac:dyDescent="0.3">
      <c r="A255" s="122" t="s">
        <v>1037</v>
      </c>
      <c r="B255" s="116">
        <v>16054</v>
      </c>
      <c r="C255" s="113" t="s">
        <v>8</v>
      </c>
      <c r="D255" s="117">
        <v>42706</v>
      </c>
      <c r="E255" s="118" t="s">
        <v>904</v>
      </c>
      <c r="F255" s="118" t="s">
        <v>164</v>
      </c>
      <c r="G255" s="111" t="s">
        <v>1038</v>
      </c>
      <c r="H255" s="111"/>
      <c r="I255" s="119" t="s">
        <v>5</v>
      </c>
      <c r="J255" s="113"/>
      <c r="K255" s="118">
        <v>2025</v>
      </c>
      <c r="L255" s="118">
        <v>11291</v>
      </c>
      <c r="M255" s="118" t="s">
        <v>11</v>
      </c>
      <c r="N255" s="111" t="s">
        <v>1039</v>
      </c>
      <c r="O255" s="111" t="s">
        <v>29</v>
      </c>
      <c r="P255" s="111" t="s">
        <v>86</v>
      </c>
      <c r="Q255" s="111"/>
      <c r="R255" s="111" t="s">
        <v>145</v>
      </c>
      <c r="S255" s="111"/>
      <c r="T255" s="118"/>
      <c r="U255" s="64"/>
      <c r="V255" s="158" t="s">
        <v>6</v>
      </c>
      <c r="W255" s="118" t="s">
        <v>904</v>
      </c>
      <c r="X255" s="113"/>
      <c r="Y255" s="117">
        <f t="shared" si="18"/>
        <v>42796</v>
      </c>
      <c r="Z255" s="117">
        <v>42786</v>
      </c>
      <c r="AA255" s="161" t="str">
        <f t="shared" ca="1" si="19"/>
        <v>YES</v>
      </c>
      <c r="AB255" s="113"/>
      <c r="AC255" s="117">
        <v>42705</v>
      </c>
      <c r="AD255" s="172">
        <v>42796</v>
      </c>
      <c r="AE255" s="172">
        <v>42786</v>
      </c>
      <c r="AF255" s="111" t="str">
        <f t="shared" ca="1" si="20"/>
        <v>YES</v>
      </c>
      <c r="AG255" s="162"/>
      <c r="AH255" s="162"/>
      <c r="AI255" s="164">
        <f t="shared" si="21"/>
        <v>0</v>
      </c>
      <c r="AJ255" s="118"/>
      <c r="AK255" s="113"/>
      <c r="AL255" s="118"/>
      <c r="AM255" s="165" t="str">
        <f t="shared" si="22"/>
        <v>16054 Fufeng</v>
      </c>
      <c r="AN255" s="165" t="str">
        <f t="shared" si="23"/>
        <v>16054 Fufeng : resin leakage issue</v>
      </c>
    </row>
    <row r="256" spans="1:40" s="76" customFormat="1" ht="13" hidden="1" x14ac:dyDescent="0.3">
      <c r="A256" s="122" t="s">
        <v>1040</v>
      </c>
      <c r="B256" s="116">
        <v>16055</v>
      </c>
      <c r="C256" s="113" t="s">
        <v>4</v>
      </c>
      <c r="D256" s="117">
        <v>42709</v>
      </c>
      <c r="E256" s="118" t="s">
        <v>864</v>
      </c>
      <c r="F256" s="118" t="s">
        <v>164</v>
      </c>
      <c r="G256" s="111" t="s">
        <v>814</v>
      </c>
      <c r="H256" s="111" t="s">
        <v>1041</v>
      </c>
      <c r="I256" s="119" t="s">
        <v>2056</v>
      </c>
      <c r="J256" s="113"/>
      <c r="K256" s="118">
        <v>2002</v>
      </c>
      <c r="L256" s="118">
        <v>10510</v>
      </c>
      <c r="M256" s="118" t="s">
        <v>672</v>
      </c>
      <c r="N256" s="111" t="s">
        <v>1042</v>
      </c>
      <c r="O256" s="111" t="s">
        <v>29</v>
      </c>
      <c r="P256" s="111" t="s">
        <v>176</v>
      </c>
      <c r="Q256" s="111" t="s">
        <v>510</v>
      </c>
      <c r="R256" s="111" t="s">
        <v>145</v>
      </c>
      <c r="S256" s="111"/>
      <c r="T256" s="118"/>
      <c r="U256" s="64"/>
      <c r="V256" s="158" t="s">
        <v>6</v>
      </c>
      <c r="W256" s="118" t="s">
        <v>177</v>
      </c>
      <c r="X256" s="113"/>
      <c r="Y256" s="117">
        <f t="shared" si="18"/>
        <v>42799</v>
      </c>
      <c r="Z256" s="117">
        <v>42788</v>
      </c>
      <c r="AA256" s="161" t="str">
        <f t="shared" ca="1" si="19"/>
        <v>YES</v>
      </c>
      <c r="AB256" s="113"/>
      <c r="AC256" s="117"/>
      <c r="AD256" s="111"/>
      <c r="AE256" s="111"/>
      <c r="AF256" s="111" t="str">
        <f t="shared" ca="1" si="20"/>
        <v>N/A</v>
      </c>
      <c r="AG256" s="162"/>
      <c r="AH256" s="162"/>
      <c r="AI256" s="164">
        <f t="shared" si="21"/>
        <v>0</v>
      </c>
      <c r="AJ256" s="118" t="s">
        <v>6</v>
      </c>
      <c r="AK256" s="113">
        <v>43018</v>
      </c>
      <c r="AL256" s="118"/>
      <c r="AM256" s="165" t="str">
        <f t="shared" si="22"/>
        <v>16055 Al Nouran</v>
      </c>
      <c r="AN256" s="165" t="str">
        <f t="shared" si="23"/>
        <v>16055 Al Nouran : Fûts résine manquants</v>
      </c>
    </row>
    <row r="257" spans="1:40" s="76" customFormat="1" ht="13" hidden="1" x14ac:dyDescent="0.3">
      <c r="A257" s="122" t="s">
        <v>1043</v>
      </c>
      <c r="B257" s="116">
        <v>16056</v>
      </c>
      <c r="C257" s="113" t="s">
        <v>8</v>
      </c>
      <c r="D257" s="117">
        <v>42711</v>
      </c>
      <c r="E257" s="118" t="s">
        <v>857</v>
      </c>
      <c r="F257" s="118" t="s">
        <v>164</v>
      </c>
      <c r="G257" s="111" t="s">
        <v>340</v>
      </c>
      <c r="H257" s="111" t="s">
        <v>616</v>
      </c>
      <c r="I257" s="119" t="s">
        <v>2056</v>
      </c>
      <c r="J257" s="113"/>
      <c r="K257" s="118">
        <v>2014</v>
      </c>
      <c r="L257" s="118">
        <v>10416</v>
      </c>
      <c r="M257" s="118" t="s">
        <v>975</v>
      </c>
      <c r="N257" s="111" t="s">
        <v>1044</v>
      </c>
      <c r="O257" s="111" t="s">
        <v>29</v>
      </c>
      <c r="P257" s="111" t="s">
        <v>86</v>
      </c>
      <c r="Q257" s="111"/>
      <c r="R257" s="111" t="s">
        <v>145</v>
      </c>
      <c r="S257" s="111"/>
      <c r="T257" s="118"/>
      <c r="U257" s="64"/>
      <c r="V257" s="158" t="s">
        <v>6</v>
      </c>
      <c r="W257" s="118" t="s">
        <v>441</v>
      </c>
      <c r="X257" s="113"/>
      <c r="Y257" s="117">
        <f t="shared" si="18"/>
        <v>42801</v>
      </c>
      <c r="Z257" s="117">
        <v>42760</v>
      </c>
      <c r="AA257" s="161" t="str">
        <f t="shared" ca="1" si="19"/>
        <v>YES</v>
      </c>
      <c r="AB257" s="113"/>
      <c r="AC257" s="117"/>
      <c r="AD257" s="111"/>
      <c r="AE257" s="111"/>
      <c r="AF257" s="111" t="str">
        <f t="shared" ca="1" si="20"/>
        <v>N/A</v>
      </c>
      <c r="AG257" s="162"/>
      <c r="AH257" s="162"/>
      <c r="AI257" s="164">
        <f t="shared" si="21"/>
        <v>0</v>
      </c>
      <c r="AJ257" s="118"/>
      <c r="AK257" s="113"/>
      <c r="AL257" s="118"/>
      <c r="AM257" s="165" t="str">
        <f t="shared" si="22"/>
        <v>16056 AGRANA</v>
      </c>
      <c r="AN257" s="165" t="str">
        <f t="shared" si="23"/>
        <v>16056 AGRANA : piping re-assembly issue on site</v>
      </c>
    </row>
    <row r="258" spans="1:40" s="76" customFormat="1" ht="13" hidden="1" x14ac:dyDescent="0.3">
      <c r="A258" s="122" t="s">
        <v>1045</v>
      </c>
      <c r="B258" s="116">
        <v>16057</v>
      </c>
      <c r="C258" s="113" t="s">
        <v>4</v>
      </c>
      <c r="D258" s="117">
        <v>42717</v>
      </c>
      <c r="E258" s="118" t="s">
        <v>1046</v>
      </c>
      <c r="F258" s="118" t="s">
        <v>420</v>
      </c>
      <c r="G258" s="111" t="s">
        <v>538</v>
      </c>
      <c r="H258" s="111"/>
      <c r="I258" s="119" t="s">
        <v>2057</v>
      </c>
      <c r="J258" s="113"/>
      <c r="K258" s="118"/>
      <c r="L258" s="118" t="s">
        <v>1047</v>
      </c>
      <c r="M258" s="118" t="s">
        <v>11</v>
      </c>
      <c r="N258" s="111" t="s">
        <v>1048</v>
      </c>
      <c r="O258" s="111" t="s">
        <v>420</v>
      </c>
      <c r="P258" s="111" t="s">
        <v>80</v>
      </c>
      <c r="Q258" s="111" t="s">
        <v>1049</v>
      </c>
      <c r="R258" s="111" t="s">
        <v>9</v>
      </c>
      <c r="S258" s="111"/>
      <c r="T258" s="118"/>
      <c r="U258" s="64"/>
      <c r="V258" s="158" t="s">
        <v>6</v>
      </c>
      <c r="W258" s="118" t="s">
        <v>1050</v>
      </c>
      <c r="X258" s="113"/>
      <c r="Y258" s="117">
        <f t="shared" si="18"/>
        <v>42807</v>
      </c>
      <c r="Z258" s="117">
        <v>42804</v>
      </c>
      <c r="AA258" s="161" t="str">
        <f t="shared" ca="1" si="19"/>
        <v>YES</v>
      </c>
      <c r="AB258" s="113"/>
      <c r="AC258" s="117"/>
      <c r="AD258" s="111"/>
      <c r="AE258" s="111"/>
      <c r="AF258" s="111" t="str">
        <f t="shared" ca="1" si="20"/>
        <v>N/A</v>
      </c>
      <c r="AG258" s="162"/>
      <c r="AH258" s="162"/>
      <c r="AI258" s="164">
        <f t="shared" si="21"/>
        <v>0</v>
      </c>
      <c r="AJ258" s="118" t="s">
        <v>6</v>
      </c>
      <c r="AK258" s="113">
        <v>43019</v>
      </c>
      <c r="AL258" s="118"/>
      <c r="AM258" s="165" t="str">
        <f t="shared" si="22"/>
        <v>16057 ADM</v>
      </c>
      <c r="AN258" s="165" t="str">
        <f t="shared" si="23"/>
        <v>16057 ADM : SSMB Pilot design</v>
      </c>
    </row>
    <row r="259" spans="1:40" s="76" customFormat="1" ht="13" hidden="1" x14ac:dyDescent="0.3">
      <c r="A259" s="122" t="s">
        <v>1051</v>
      </c>
      <c r="B259" s="116">
        <v>16058</v>
      </c>
      <c r="C259" s="113" t="s">
        <v>8</v>
      </c>
      <c r="D259" s="117">
        <v>42718</v>
      </c>
      <c r="E259" s="118" t="s">
        <v>1052</v>
      </c>
      <c r="F259" s="118" t="s">
        <v>164</v>
      </c>
      <c r="G259" s="111" t="s">
        <v>1053</v>
      </c>
      <c r="H259" s="111"/>
      <c r="I259" s="119" t="s">
        <v>14</v>
      </c>
      <c r="J259" s="113"/>
      <c r="K259" s="118" t="s">
        <v>1054</v>
      </c>
      <c r="L259" s="118" t="s">
        <v>1055</v>
      </c>
      <c r="M259" s="118" t="s">
        <v>13</v>
      </c>
      <c r="N259" s="111" t="s">
        <v>1056</v>
      </c>
      <c r="O259" s="111" t="s">
        <v>29</v>
      </c>
      <c r="P259" s="111" t="s">
        <v>86</v>
      </c>
      <c r="Q259" s="111"/>
      <c r="R259" s="111" t="s">
        <v>9</v>
      </c>
      <c r="S259" s="111"/>
      <c r="T259" s="118"/>
      <c r="U259" s="64"/>
      <c r="V259" s="158" t="s">
        <v>6</v>
      </c>
      <c r="W259" s="118" t="s">
        <v>1052</v>
      </c>
      <c r="X259" s="113"/>
      <c r="Y259" s="117">
        <f t="shared" si="18"/>
        <v>42808</v>
      </c>
      <c r="Z259" s="117">
        <v>42807</v>
      </c>
      <c r="AA259" s="161" t="str">
        <f t="shared" ca="1" si="19"/>
        <v>YES</v>
      </c>
      <c r="AB259" s="113"/>
      <c r="AC259" s="117"/>
      <c r="AD259" s="111"/>
      <c r="AE259" s="111"/>
      <c r="AF259" s="111" t="str">
        <f t="shared" ca="1" si="20"/>
        <v>N/A</v>
      </c>
      <c r="AG259" s="162"/>
      <c r="AH259" s="162"/>
      <c r="AI259" s="164">
        <f t="shared" si="21"/>
        <v>0</v>
      </c>
      <c r="AJ259" s="118"/>
      <c r="AK259" s="113"/>
      <c r="AL259" s="118"/>
      <c r="AM259" s="165" t="str">
        <f t="shared" si="22"/>
        <v>16058 ShuangQiao</v>
      </c>
      <c r="AN259" s="165" t="str">
        <f t="shared" si="23"/>
        <v>16058 ShuangQiao : wrong pressure calculation issue</v>
      </c>
    </row>
    <row r="260" spans="1:40" s="76" customFormat="1" ht="13" hidden="1" x14ac:dyDescent="0.3">
      <c r="A260" s="122" t="s">
        <v>1057</v>
      </c>
      <c r="B260" s="116">
        <v>16059</v>
      </c>
      <c r="C260" s="113" t="s">
        <v>4</v>
      </c>
      <c r="D260" s="117">
        <v>42723</v>
      </c>
      <c r="E260" s="118" t="s">
        <v>99</v>
      </c>
      <c r="F260" s="118" t="s">
        <v>658</v>
      </c>
      <c r="G260" s="111" t="s">
        <v>664</v>
      </c>
      <c r="H260" s="111" t="s">
        <v>460</v>
      </c>
      <c r="I260" s="119" t="s">
        <v>5</v>
      </c>
      <c r="J260" s="113"/>
      <c r="K260" s="118"/>
      <c r="L260" s="118" t="s">
        <v>1058</v>
      </c>
      <c r="M260" s="118" t="s">
        <v>18</v>
      </c>
      <c r="N260" s="111" t="s">
        <v>1059</v>
      </c>
      <c r="O260" s="111" t="s">
        <v>28</v>
      </c>
      <c r="P260" s="111" t="s">
        <v>103</v>
      </c>
      <c r="Q260" s="111" t="s">
        <v>176</v>
      </c>
      <c r="R260" s="111" t="s">
        <v>145</v>
      </c>
      <c r="S260" s="111"/>
      <c r="T260" s="129" t="s">
        <v>460</v>
      </c>
      <c r="U260" s="64"/>
      <c r="V260" s="158" t="s">
        <v>6</v>
      </c>
      <c r="W260" s="118" t="s">
        <v>82</v>
      </c>
      <c r="X260" s="113"/>
      <c r="Y260" s="117">
        <f t="shared" si="18"/>
        <v>42813</v>
      </c>
      <c r="Z260" s="117">
        <v>42941</v>
      </c>
      <c r="AA260" s="161" t="str">
        <f t="shared" ca="1" si="19"/>
        <v>NO</v>
      </c>
      <c r="AB260" s="113"/>
      <c r="AC260" s="117">
        <v>42741</v>
      </c>
      <c r="AD260" s="111"/>
      <c r="AE260" s="111"/>
      <c r="AF260" s="111" t="str">
        <f t="shared" ca="1" si="20"/>
        <v/>
      </c>
      <c r="AG260" s="162"/>
      <c r="AH260" s="162"/>
      <c r="AI260" s="164">
        <f t="shared" si="21"/>
        <v>0</v>
      </c>
      <c r="AJ260" s="118"/>
      <c r="AK260" s="113" t="s">
        <v>886</v>
      </c>
      <c r="AL260" s="118"/>
      <c r="AM260" s="165" t="str">
        <f t="shared" si="22"/>
        <v xml:space="preserve">16059 TEREOS NESLE </v>
      </c>
      <c r="AN260" s="165" t="str">
        <f t="shared" si="23"/>
        <v xml:space="preserve">16059 TEREOS NESLE  : High DP2 rate at start-up of NF unit </v>
      </c>
    </row>
    <row r="261" spans="1:40" s="76" customFormat="1" ht="13" hidden="1" x14ac:dyDescent="0.3">
      <c r="A261" s="122" t="e">
        <f>HYPERLINK(#REF!)</f>
        <v>#REF!</v>
      </c>
      <c r="B261" s="116">
        <v>17001</v>
      </c>
      <c r="C261" s="113" t="s">
        <v>4</v>
      </c>
      <c r="D261" s="117">
        <v>42740</v>
      </c>
      <c r="E261" s="118" t="s">
        <v>221</v>
      </c>
      <c r="F261" s="118" t="s">
        <v>164</v>
      </c>
      <c r="G261" s="111" t="s">
        <v>1034</v>
      </c>
      <c r="H261" s="111"/>
      <c r="I261" s="119" t="s">
        <v>2057</v>
      </c>
      <c r="J261" s="113"/>
      <c r="K261" s="118">
        <v>2033</v>
      </c>
      <c r="L261" s="118">
        <v>12449</v>
      </c>
      <c r="M261" s="118" t="s">
        <v>672</v>
      </c>
      <c r="N261" s="111" t="s">
        <v>1060</v>
      </c>
      <c r="O261" s="111" t="s">
        <v>29</v>
      </c>
      <c r="P261" s="111" t="s">
        <v>103</v>
      </c>
      <c r="Q261" s="111" t="s">
        <v>510</v>
      </c>
      <c r="R261" s="111" t="s">
        <v>9</v>
      </c>
      <c r="S261" s="111"/>
      <c r="T261" s="118"/>
      <c r="U261" s="64"/>
      <c r="V261" s="158" t="s">
        <v>6</v>
      </c>
      <c r="W261" s="118" t="s">
        <v>82</v>
      </c>
      <c r="X261" s="113">
        <v>42768</v>
      </c>
      <c r="Y261" s="117">
        <f t="shared" si="18"/>
        <v>42830</v>
      </c>
      <c r="Z261" s="117">
        <v>42822</v>
      </c>
      <c r="AA261" s="161" t="str">
        <f t="shared" ca="1" si="19"/>
        <v>YES</v>
      </c>
      <c r="AB261" s="113"/>
      <c r="AC261" s="117"/>
      <c r="AD261" s="111"/>
      <c r="AE261" s="111"/>
      <c r="AF261" s="111" t="str">
        <f t="shared" ca="1" si="20"/>
        <v>N/A</v>
      </c>
      <c r="AG261" s="162">
        <v>830</v>
      </c>
      <c r="AH261" s="162">
        <v>0</v>
      </c>
      <c r="AI261" s="164">
        <f t="shared" si="21"/>
        <v>830</v>
      </c>
      <c r="AJ261" s="182" t="s">
        <v>6</v>
      </c>
      <c r="AK261" s="113">
        <v>43011</v>
      </c>
      <c r="AL261" s="118"/>
      <c r="AM261" s="165" t="str">
        <f t="shared" si="22"/>
        <v>17001 Yi'an</v>
      </c>
      <c r="AN261" s="165" t="str">
        <f t="shared" si="23"/>
        <v>17001 Yi'an : Delay delivery resins</v>
      </c>
    </row>
    <row r="262" spans="1:40" s="76" customFormat="1" ht="13" hidden="1" x14ac:dyDescent="0.3">
      <c r="A262" s="122" t="e">
        <f>HYPERLINK(#REF!)</f>
        <v>#REF!</v>
      </c>
      <c r="B262" s="116">
        <v>17002</v>
      </c>
      <c r="C262" s="113" t="s">
        <v>4</v>
      </c>
      <c r="D262" s="117">
        <v>42745</v>
      </c>
      <c r="E262" s="118" t="s">
        <v>221</v>
      </c>
      <c r="F262" s="118" t="s">
        <v>164</v>
      </c>
      <c r="G262" s="111" t="s">
        <v>1061</v>
      </c>
      <c r="H262" s="111"/>
      <c r="I262" s="119" t="s">
        <v>2057</v>
      </c>
      <c r="J262" s="113"/>
      <c r="K262" s="118">
        <v>2008</v>
      </c>
      <c r="L262" s="118">
        <v>11482</v>
      </c>
      <c r="M262" s="118" t="s">
        <v>359</v>
      </c>
      <c r="N262" s="111" t="s">
        <v>1062</v>
      </c>
      <c r="O262" s="111" t="s">
        <v>29</v>
      </c>
      <c r="P262" s="111" t="s">
        <v>86</v>
      </c>
      <c r="Q262" s="111" t="s">
        <v>852</v>
      </c>
      <c r="R262" s="111" t="s">
        <v>9</v>
      </c>
      <c r="S262" s="111"/>
      <c r="T262" s="118"/>
      <c r="U262" s="64"/>
      <c r="V262" s="158" t="s">
        <v>6</v>
      </c>
      <c r="W262" s="118" t="s">
        <v>221</v>
      </c>
      <c r="X262" s="113">
        <v>42751</v>
      </c>
      <c r="Y262" s="117">
        <f t="shared" si="18"/>
        <v>42835</v>
      </c>
      <c r="Z262" s="117">
        <v>42818</v>
      </c>
      <c r="AA262" s="161" t="str">
        <f t="shared" ca="1" si="19"/>
        <v>YES</v>
      </c>
      <c r="AB262" s="113"/>
      <c r="AC262" s="117"/>
      <c r="AD262" s="111"/>
      <c r="AE262" s="111"/>
      <c r="AF262" s="111" t="str">
        <f t="shared" ca="1" si="20"/>
        <v>N/A</v>
      </c>
      <c r="AG262" s="162">
        <v>830</v>
      </c>
      <c r="AH262" s="162">
        <v>0</v>
      </c>
      <c r="AI262" s="164">
        <f t="shared" si="21"/>
        <v>830</v>
      </c>
      <c r="AJ262" s="182" t="s">
        <v>6</v>
      </c>
      <c r="AK262" s="113">
        <v>43059</v>
      </c>
      <c r="AL262" s="118"/>
      <c r="AM262" s="165" t="str">
        <f t="shared" si="22"/>
        <v>17002 SBC</v>
      </c>
      <c r="AN262" s="165" t="str">
        <f t="shared" si="23"/>
        <v>17002 SBC : Error reference Kerasep membranes</v>
      </c>
    </row>
    <row r="263" spans="1:40" s="76" customFormat="1" ht="13" hidden="1" x14ac:dyDescent="0.3">
      <c r="A263" s="122" t="e">
        <f>HYPERLINK(#REF!)</f>
        <v>#REF!</v>
      </c>
      <c r="B263" s="116">
        <v>17003</v>
      </c>
      <c r="C263" s="113" t="s">
        <v>4</v>
      </c>
      <c r="D263" s="117">
        <v>42760</v>
      </c>
      <c r="E263" s="118" t="s">
        <v>116</v>
      </c>
      <c r="F263" s="118" t="s">
        <v>164</v>
      </c>
      <c r="G263" s="111" t="s">
        <v>1063</v>
      </c>
      <c r="H263" s="111"/>
      <c r="I263" s="119" t="s">
        <v>5</v>
      </c>
      <c r="J263" s="113"/>
      <c r="K263" s="118">
        <v>2018</v>
      </c>
      <c r="L263" s="118">
        <v>11600</v>
      </c>
      <c r="M263" s="118" t="s">
        <v>672</v>
      </c>
      <c r="N263" s="111" t="s">
        <v>1064</v>
      </c>
      <c r="O263" s="111" t="s">
        <v>29</v>
      </c>
      <c r="P263" s="111" t="s">
        <v>86</v>
      </c>
      <c r="Q263" s="111" t="s">
        <v>916</v>
      </c>
      <c r="R263" s="111" t="s">
        <v>9</v>
      </c>
      <c r="S263" s="111"/>
      <c r="T263" s="118"/>
      <c r="U263" s="64"/>
      <c r="V263" s="158" t="s">
        <v>6</v>
      </c>
      <c r="W263" s="118" t="s">
        <v>116</v>
      </c>
      <c r="X263" s="113">
        <v>42765</v>
      </c>
      <c r="Y263" s="117">
        <f t="shared" ref="Y263:Y326" si="24">EDATE(D263,3)</f>
        <v>42850</v>
      </c>
      <c r="Z263" s="117">
        <v>43083</v>
      </c>
      <c r="AA263" s="161" t="str">
        <f t="shared" ca="1" si="19"/>
        <v>NO</v>
      </c>
      <c r="AB263" s="113"/>
      <c r="AC263" s="117">
        <v>42768</v>
      </c>
      <c r="AD263" s="169">
        <v>42948</v>
      </c>
      <c r="AE263" s="172">
        <v>43083</v>
      </c>
      <c r="AF263" s="111" t="str">
        <f t="shared" ca="1" si="20"/>
        <v>NO</v>
      </c>
      <c r="AG263" s="162">
        <v>3467</v>
      </c>
      <c r="AH263" s="162">
        <v>1280</v>
      </c>
      <c r="AI263" s="164">
        <f t="shared" si="21"/>
        <v>4747</v>
      </c>
      <c r="AJ263" s="182" t="s">
        <v>6</v>
      </c>
      <c r="AK263" s="113">
        <v>43412</v>
      </c>
      <c r="AL263" s="118"/>
      <c r="AM263" s="165" t="str">
        <f t="shared" si="22"/>
        <v>17003 TAT Omnia</v>
      </c>
      <c r="AN263" s="165" t="str">
        <f t="shared" si="23"/>
        <v>17003 TAT Omnia : cation working, bad smell syrup, quality final product</v>
      </c>
    </row>
    <row r="264" spans="1:40" s="76" customFormat="1" ht="13" hidden="1" x14ac:dyDescent="0.3">
      <c r="A264" s="122" t="e">
        <f>HYPERLINK(#REF!)</f>
        <v>#REF!</v>
      </c>
      <c r="B264" s="116">
        <v>17004</v>
      </c>
      <c r="C264" s="113" t="s">
        <v>4</v>
      </c>
      <c r="D264" s="117">
        <v>42766</v>
      </c>
      <c r="E264" s="118" t="s">
        <v>826</v>
      </c>
      <c r="F264" s="118" t="s">
        <v>164</v>
      </c>
      <c r="G264" s="111" t="s">
        <v>1034</v>
      </c>
      <c r="H264" s="111" t="s">
        <v>1065</v>
      </c>
      <c r="I264" s="119" t="s">
        <v>2056</v>
      </c>
      <c r="J264" s="113"/>
      <c r="K264" s="118">
        <v>2033</v>
      </c>
      <c r="L264" s="118">
        <v>12449</v>
      </c>
      <c r="M264" s="118" t="s">
        <v>672</v>
      </c>
      <c r="N264" s="111" t="s">
        <v>1066</v>
      </c>
      <c r="O264" s="111" t="s">
        <v>29</v>
      </c>
      <c r="P264" s="111" t="s">
        <v>86</v>
      </c>
      <c r="Q264" s="111" t="s">
        <v>605</v>
      </c>
      <c r="R264" s="111" t="s">
        <v>145</v>
      </c>
      <c r="S264" s="111"/>
      <c r="T264" s="118"/>
      <c r="U264" s="64"/>
      <c r="V264" s="158" t="s">
        <v>10</v>
      </c>
      <c r="W264" s="118"/>
      <c r="X264" s="113">
        <v>42766</v>
      </c>
      <c r="Y264" s="117">
        <f t="shared" si="24"/>
        <v>42855</v>
      </c>
      <c r="Z264" s="117">
        <v>42837</v>
      </c>
      <c r="AA264" s="161" t="str">
        <f t="shared" ref="AA264:AA272" ca="1" si="25">IF(Z264="",IF(TODAY()&gt;Y264,"NO","YES"),IF(Z264&gt;Y264,"NO",IF(Z264&lt;Y264,"YES",IF(Y264=Z264,"YES","N/A"))))</f>
        <v>YES</v>
      </c>
      <c r="AB264" s="113"/>
      <c r="AC264" s="117"/>
      <c r="AD264" s="111"/>
      <c r="AE264" s="111"/>
      <c r="AF264" s="111" t="str">
        <f t="shared" ref="AF264:AF327" ca="1" si="26">IF(I264="Claim",IF(AD264="","",IF(AE264="",IF(TODAY()&gt;AD264,"NO","YES"),IF(AE264&gt;AD264,"NO",IF(AE264&lt;AD264,"YES",IF(AD264=AE264,"YES","N/A"))))),"N/A")</f>
        <v>N/A</v>
      </c>
      <c r="AG264" s="162">
        <v>394</v>
      </c>
      <c r="AH264" s="162">
        <v>702</v>
      </c>
      <c r="AI264" s="164">
        <f t="shared" ref="AI264:AI327" si="27">AH264+AG264</f>
        <v>1096</v>
      </c>
      <c r="AJ264" s="182" t="s">
        <v>6</v>
      </c>
      <c r="AK264" s="113">
        <v>43018</v>
      </c>
      <c r="AL264" s="118"/>
      <c r="AM264" s="165" t="str">
        <f t="shared" ref="AM264:AM327" si="28">CONCATENATE(B264," ",G264)</f>
        <v>17004 Yi'an</v>
      </c>
      <c r="AN264" s="165" t="str">
        <f t="shared" ref="AN264:AN327" si="29">CONCATENATE(B264," ",G264," : ",N264)</f>
        <v>17004 Yi'an : PLC cards undersized</v>
      </c>
    </row>
    <row r="265" spans="1:40" s="76" customFormat="1" ht="13" hidden="1" x14ac:dyDescent="0.3">
      <c r="A265" s="122" t="e">
        <f>HYPERLINK(#REF!)</f>
        <v>#REF!</v>
      </c>
      <c r="B265" s="116">
        <v>17005</v>
      </c>
      <c r="C265" s="113" t="s">
        <v>4</v>
      </c>
      <c r="D265" s="117">
        <v>42767</v>
      </c>
      <c r="E265" s="118" t="s">
        <v>1009</v>
      </c>
      <c r="F265" s="118" t="s">
        <v>164</v>
      </c>
      <c r="G265" s="111" t="s">
        <v>1067</v>
      </c>
      <c r="H265" s="111"/>
      <c r="I265" s="119" t="s">
        <v>2057</v>
      </c>
      <c r="J265" s="113" t="s">
        <v>1068</v>
      </c>
      <c r="K265" s="118">
        <v>2031</v>
      </c>
      <c r="L265" s="118">
        <v>10376</v>
      </c>
      <c r="M265" s="118" t="s">
        <v>13</v>
      </c>
      <c r="N265" s="111" t="s">
        <v>1069</v>
      </c>
      <c r="O265" s="111" t="s">
        <v>29</v>
      </c>
      <c r="P265" s="111" t="s">
        <v>86</v>
      </c>
      <c r="Q265" s="111" t="s">
        <v>852</v>
      </c>
      <c r="R265" s="111" t="s">
        <v>15</v>
      </c>
      <c r="S265" s="111"/>
      <c r="T265" s="118"/>
      <c r="U265" s="64"/>
      <c r="V265" s="158" t="s">
        <v>6</v>
      </c>
      <c r="W265" s="118" t="s">
        <v>1070</v>
      </c>
      <c r="X265" s="113">
        <v>42775</v>
      </c>
      <c r="Y265" s="117">
        <f t="shared" si="24"/>
        <v>42856</v>
      </c>
      <c r="Z265" s="117">
        <v>42835</v>
      </c>
      <c r="AA265" s="161" t="str">
        <f t="shared" ca="1" si="25"/>
        <v>YES</v>
      </c>
      <c r="AB265" s="113"/>
      <c r="AC265" s="117"/>
      <c r="AD265" s="111"/>
      <c r="AE265" s="111"/>
      <c r="AF265" s="111" t="str">
        <f t="shared" ca="1" si="26"/>
        <v>N/A</v>
      </c>
      <c r="AG265" s="162">
        <v>830</v>
      </c>
      <c r="AH265" s="162">
        <v>0</v>
      </c>
      <c r="AI265" s="164">
        <f t="shared" si="27"/>
        <v>830</v>
      </c>
      <c r="AJ265" s="182" t="s">
        <v>6</v>
      </c>
      <c r="AK265" s="113">
        <v>43059</v>
      </c>
      <c r="AL265" s="118"/>
      <c r="AM265" s="165" t="str">
        <f t="shared" si="28"/>
        <v>17005 Cargill</v>
      </c>
      <c r="AN265" s="165" t="str">
        <f t="shared" si="29"/>
        <v>17005 Cargill : Error functionnal analysis (PR60)</v>
      </c>
    </row>
    <row r="266" spans="1:40" s="76" customFormat="1" ht="13" hidden="1" x14ac:dyDescent="0.3">
      <c r="A266" s="122" t="e">
        <f>HYPERLINK(#REF!)</f>
        <v>#REF!</v>
      </c>
      <c r="B266" s="116">
        <v>17006</v>
      </c>
      <c r="C266" s="113" t="s">
        <v>4</v>
      </c>
      <c r="D266" s="117">
        <v>42774</v>
      </c>
      <c r="E266" s="118" t="s">
        <v>1071</v>
      </c>
      <c r="F266" s="118" t="s">
        <v>164</v>
      </c>
      <c r="G266" s="111" t="s">
        <v>1072</v>
      </c>
      <c r="H266" s="111" t="s">
        <v>1073</v>
      </c>
      <c r="I266" s="119" t="s">
        <v>2056</v>
      </c>
      <c r="J266" s="113"/>
      <c r="K266" s="118">
        <v>2014</v>
      </c>
      <c r="L266" s="118">
        <v>10416</v>
      </c>
      <c r="M266" s="118" t="s">
        <v>13</v>
      </c>
      <c r="N266" s="111" t="s">
        <v>1074</v>
      </c>
      <c r="O266" s="111" t="s">
        <v>29</v>
      </c>
      <c r="P266" s="111" t="s">
        <v>86</v>
      </c>
      <c r="Q266" s="111" t="s">
        <v>916</v>
      </c>
      <c r="R266" s="111" t="s">
        <v>145</v>
      </c>
      <c r="S266" s="111"/>
      <c r="T266" s="118"/>
      <c r="U266" s="64"/>
      <c r="V266" s="158" t="s">
        <v>10</v>
      </c>
      <c r="W266" s="118"/>
      <c r="X266" s="113">
        <v>42774</v>
      </c>
      <c r="Y266" s="117">
        <f t="shared" si="24"/>
        <v>42863</v>
      </c>
      <c r="Z266" s="117">
        <v>42818</v>
      </c>
      <c r="AA266" s="161" t="str">
        <f t="shared" ca="1" si="25"/>
        <v>YES</v>
      </c>
      <c r="AB266" s="113"/>
      <c r="AC266" s="117"/>
      <c r="AD266" s="111"/>
      <c r="AE266" s="111"/>
      <c r="AF266" s="111" t="str">
        <f t="shared" ca="1" si="26"/>
        <v>N/A</v>
      </c>
      <c r="AG266" s="162">
        <v>664</v>
      </c>
      <c r="AH266" s="162">
        <v>0</v>
      </c>
      <c r="AI266" s="164">
        <f t="shared" si="27"/>
        <v>664</v>
      </c>
      <c r="AJ266" s="182"/>
      <c r="AK266" s="113" t="s">
        <v>1075</v>
      </c>
      <c r="AL266" s="118" t="s">
        <v>1076</v>
      </c>
      <c r="AM266" s="165" t="str">
        <f t="shared" si="28"/>
        <v>17006 Agrana</v>
      </c>
      <c r="AN266" s="165" t="str">
        <f t="shared" si="29"/>
        <v>17006 Agrana : Error nozzle diameter soft water tank</v>
      </c>
    </row>
    <row r="267" spans="1:40" s="76" customFormat="1" ht="13" hidden="1" x14ac:dyDescent="0.3">
      <c r="A267" s="122" t="e">
        <f>HYPERLINK(#REF!)</f>
        <v>#REF!</v>
      </c>
      <c r="B267" s="116">
        <v>17007</v>
      </c>
      <c r="C267" s="113" t="s">
        <v>4</v>
      </c>
      <c r="D267" s="117">
        <v>42774</v>
      </c>
      <c r="E267" s="118" t="s">
        <v>1071</v>
      </c>
      <c r="F267" s="118" t="s">
        <v>164</v>
      </c>
      <c r="G267" s="111" t="s">
        <v>1072</v>
      </c>
      <c r="H267" s="111" t="s">
        <v>930</v>
      </c>
      <c r="I267" s="119" t="s">
        <v>2056</v>
      </c>
      <c r="J267" s="113"/>
      <c r="K267" s="118">
        <v>2014</v>
      </c>
      <c r="L267" s="118">
        <v>10416</v>
      </c>
      <c r="M267" s="118" t="s">
        <v>13</v>
      </c>
      <c r="N267" s="111" t="s">
        <v>1077</v>
      </c>
      <c r="O267" s="111" t="s">
        <v>29</v>
      </c>
      <c r="P267" s="111" t="s">
        <v>86</v>
      </c>
      <c r="Q267" s="111" t="s">
        <v>1078</v>
      </c>
      <c r="R267" s="111" t="s">
        <v>145</v>
      </c>
      <c r="S267" s="111"/>
      <c r="T267" s="118"/>
      <c r="U267" s="64"/>
      <c r="V267" s="158" t="s">
        <v>6</v>
      </c>
      <c r="W267" s="118" t="s">
        <v>1079</v>
      </c>
      <c r="X267" s="113">
        <v>42790</v>
      </c>
      <c r="Y267" s="117">
        <f t="shared" si="24"/>
        <v>42863</v>
      </c>
      <c r="Z267" s="117">
        <v>43404</v>
      </c>
      <c r="AA267" s="161" t="str">
        <f t="shared" ca="1" si="25"/>
        <v>NO</v>
      </c>
      <c r="AB267" s="113"/>
      <c r="AC267" s="117"/>
      <c r="AD267" s="111"/>
      <c r="AE267" s="111"/>
      <c r="AF267" s="111" t="str">
        <f t="shared" ca="1" si="26"/>
        <v>N/A</v>
      </c>
      <c r="AG267" s="162">
        <v>0</v>
      </c>
      <c r="AH267" s="162">
        <v>0</v>
      </c>
      <c r="AI267" s="164">
        <f t="shared" si="27"/>
        <v>0</v>
      </c>
      <c r="AJ267" s="182"/>
      <c r="AK267" s="113" t="s">
        <v>454</v>
      </c>
      <c r="AL267" s="118"/>
      <c r="AM267" s="165" t="str">
        <f t="shared" si="28"/>
        <v>17007 Agrana</v>
      </c>
      <c r="AN267" s="165" t="str">
        <f t="shared" si="29"/>
        <v>17007 Agrana : C615 ID plate support damaged</v>
      </c>
    </row>
    <row r="268" spans="1:40" s="76" customFormat="1" ht="13" hidden="1" x14ac:dyDescent="0.3">
      <c r="A268" s="122" t="e">
        <f>HYPERLINK(#REF!)</f>
        <v>#REF!</v>
      </c>
      <c r="B268" s="116">
        <v>17008</v>
      </c>
      <c r="C268" s="113" t="s">
        <v>4</v>
      </c>
      <c r="D268" s="117">
        <v>42774</v>
      </c>
      <c r="E268" s="118" t="s">
        <v>1071</v>
      </c>
      <c r="F268" s="118" t="s">
        <v>164</v>
      </c>
      <c r="G268" s="111" t="s">
        <v>1072</v>
      </c>
      <c r="H268" s="111" t="s">
        <v>930</v>
      </c>
      <c r="I268" s="119" t="s">
        <v>2056</v>
      </c>
      <c r="J268" s="113"/>
      <c r="K268" s="118">
        <v>2014</v>
      </c>
      <c r="L268" s="118">
        <v>10416</v>
      </c>
      <c r="M268" s="118" t="s">
        <v>13</v>
      </c>
      <c r="N268" s="111" t="s">
        <v>1080</v>
      </c>
      <c r="O268" s="111" t="s">
        <v>29</v>
      </c>
      <c r="P268" s="111" t="s">
        <v>86</v>
      </c>
      <c r="Q268" s="111" t="s">
        <v>1078</v>
      </c>
      <c r="R268" s="111" t="s">
        <v>145</v>
      </c>
      <c r="S268" s="121"/>
      <c r="T268" s="141"/>
      <c r="U268" s="71"/>
      <c r="V268" s="158" t="s">
        <v>6</v>
      </c>
      <c r="W268" s="118" t="s">
        <v>1079</v>
      </c>
      <c r="X268" s="113">
        <v>42790</v>
      </c>
      <c r="Y268" s="160">
        <f t="shared" si="24"/>
        <v>42863</v>
      </c>
      <c r="Z268" s="117">
        <v>43404</v>
      </c>
      <c r="AA268" s="181" t="str">
        <f t="shared" ca="1" si="25"/>
        <v>NO</v>
      </c>
      <c r="AB268" s="159"/>
      <c r="AC268" s="160"/>
      <c r="AD268" s="121"/>
      <c r="AE268" s="121"/>
      <c r="AF268" s="111" t="str">
        <f t="shared" ca="1" si="26"/>
        <v>N/A</v>
      </c>
      <c r="AG268" s="162">
        <v>0</v>
      </c>
      <c r="AH268" s="162">
        <v>0</v>
      </c>
      <c r="AI268" s="164">
        <f t="shared" si="27"/>
        <v>0</v>
      </c>
      <c r="AJ268" s="182"/>
      <c r="AK268" s="113" t="s">
        <v>454</v>
      </c>
      <c r="AL268" s="141"/>
      <c r="AM268" s="166" t="str">
        <f t="shared" si="28"/>
        <v>17008 Agrana</v>
      </c>
      <c r="AN268" s="166" t="str">
        <f t="shared" si="29"/>
        <v>17008 Agrana : C625 ID plate support damaged</v>
      </c>
    </row>
    <row r="269" spans="1:40" s="76" customFormat="1" ht="13" hidden="1" x14ac:dyDescent="0.3">
      <c r="A269" s="122" t="e">
        <f>HYPERLINK(#REF!)</f>
        <v>#REF!</v>
      </c>
      <c r="B269" s="116">
        <v>17009</v>
      </c>
      <c r="C269" s="113" t="s">
        <v>4</v>
      </c>
      <c r="D269" s="117">
        <v>42774</v>
      </c>
      <c r="E269" s="118" t="s">
        <v>1071</v>
      </c>
      <c r="F269" s="118" t="s">
        <v>164</v>
      </c>
      <c r="G269" s="111" t="s">
        <v>1072</v>
      </c>
      <c r="H269" s="111" t="s">
        <v>930</v>
      </c>
      <c r="I269" s="119" t="s">
        <v>2056</v>
      </c>
      <c r="J269" s="113"/>
      <c r="K269" s="118">
        <v>2014</v>
      </c>
      <c r="L269" s="118">
        <v>10416</v>
      </c>
      <c r="M269" s="118" t="s">
        <v>13</v>
      </c>
      <c r="N269" s="111" t="s">
        <v>1081</v>
      </c>
      <c r="O269" s="111" t="s">
        <v>29</v>
      </c>
      <c r="P269" s="111" t="s">
        <v>86</v>
      </c>
      <c r="Q269" s="111" t="s">
        <v>1078</v>
      </c>
      <c r="R269" s="111" t="s">
        <v>145</v>
      </c>
      <c r="S269" s="121"/>
      <c r="T269" s="141"/>
      <c r="U269" s="71"/>
      <c r="V269" s="158" t="s">
        <v>6</v>
      </c>
      <c r="W269" s="118" t="s">
        <v>1079</v>
      </c>
      <c r="X269" s="113">
        <v>42790</v>
      </c>
      <c r="Y269" s="160">
        <f t="shared" si="24"/>
        <v>42863</v>
      </c>
      <c r="Z269" s="117">
        <v>43404</v>
      </c>
      <c r="AA269" s="181" t="str">
        <f t="shared" ca="1" si="25"/>
        <v>NO</v>
      </c>
      <c r="AB269" s="159"/>
      <c r="AC269" s="160"/>
      <c r="AD269" s="121"/>
      <c r="AE269" s="121"/>
      <c r="AF269" s="111" t="str">
        <f t="shared" ca="1" si="26"/>
        <v>N/A</v>
      </c>
      <c r="AG269" s="162">
        <v>0</v>
      </c>
      <c r="AH269" s="162">
        <v>0</v>
      </c>
      <c r="AI269" s="164">
        <f t="shared" si="27"/>
        <v>0</v>
      </c>
      <c r="AJ269" s="182"/>
      <c r="AK269" s="113" t="s">
        <v>454</v>
      </c>
      <c r="AL269" s="141"/>
      <c r="AM269" s="166" t="str">
        <f t="shared" si="28"/>
        <v>17009 Agrana</v>
      </c>
      <c r="AN269" s="166" t="str">
        <f t="shared" si="29"/>
        <v>17009 Agrana : C635 ID plate support damaged</v>
      </c>
    </row>
    <row r="270" spans="1:40" s="76" customFormat="1" ht="13" hidden="1" x14ac:dyDescent="0.3">
      <c r="A270" s="122" t="e">
        <f>HYPERLINK(#REF!)</f>
        <v>#REF!</v>
      </c>
      <c r="B270" s="116">
        <v>17010</v>
      </c>
      <c r="C270" s="113" t="s">
        <v>4</v>
      </c>
      <c r="D270" s="117">
        <v>42774</v>
      </c>
      <c r="E270" s="118" t="s">
        <v>1071</v>
      </c>
      <c r="F270" s="118" t="s">
        <v>164</v>
      </c>
      <c r="G270" s="111" t="s">
        <v>1072</v>
      </c>
      <c r="H270" s="111" t="s">
        <v>930</v>
      </c>
      <c r="I270" s="119" t="s">
        <v>2056</v>
      </c>
      <c r="J270" s="113"/>
      <c r="K270" s="118">
        <v>2014</v>
      </c>
      <c r="L270" s="118">
        <v>10416</v>
      </c>
      <c r="M270" s="118" t="s">
        <v>13</v>
      </c>
      <c r="N270" s="121" t="s">
        <v>1082</v>
      </c>
      <c r="O270" s="111" t="s">
        <v>29</v>
      </c>
      <c r="P270" s="111" t="s">
        <v>86</v>
      </c>
      <c r="Q270" s="111" t="s">
        <v>1078</v>
      </c>
      <c r="R270" s="111" t="s">
        <v>145</v>
      </c>
      <c r="S270" s="121"/>
      <c r="T270" s="141"/>
      <c r="U270" s="71"/>
      <c r="V270" s="158" t="s">
        <v>6</v>
      </c>
      <c r="W270" s="118" t="s">
        <v>1083</v>
      </c>
      <c r="X270" s="113">
        <v>42790</v>
      </c>
      <c r="Y270" s="160">
        <f t="shared" si="24"/>
        <v>42863</v>
      </c>
      <c r="Z270" s="160">
        <v>43606</v>
      </c>
      <c r="AA270" s="181" t="str">
        <f t="shared" ca="1" si="25"/>
        <v>NO</v>
      </c>
      <c r="AB270" s="159"/>
      <c r="AC270" s="160"/>
      <c r="AD270" s="121"/>
      <c r="AE270" s="121"/>
      <c r="AF270" s="111" t="str">
        <f t="shared" ca="1" si="26"/>
        <v>N/A</v>
      </c>
      <c r="AG270" s="162">
        <v>276</v>
      </c>
      <c r="AH270" s="162">
        <v>4063.3</v>
      </c>
      <c r="AI270" s="164">
        <f t="shared" si="27"/>
        <v>4339.3</v>
      </c>
      <c r="AJ270" s="182"/>
      <c r="AK270" s="159" t="s">
        <v>1075</v>
      </c>
      <c r="AL270" s="118" t="s">
        <v>1076</v>
      </c>
      <c r="AM270" s="166" t="str">
        <f t="shared" si="28"/>
        <v>17010 Agrana</v>
      </c>
      <c r="AN270" s="166" t="str">
        <f t="shared" si="29"/>
        <v>17010 Agrana : cationic/anionic columns showing coating damages</v>
      </c>
    </row>
    <row r="271" spans="1:40" s="76" customFormat="1" ht="13" hidden="1" x14ac:dyDescent="0.3">
      <c r="A271" s="122" t="e">
        <f>HYPERLINK(#REF!)</f>
        <v>#REF!</v>
      </c>
      <c r="B271" s="116">
        <v>17011</v>
      </c>
      <c r="C271" s="113" t="s">
        <v>4</v>
      </c>
      <c r="D271" s="117">
        <v>42774</v>
      </c>
      <c r="E271" s="118" t="s">
        <v>1071</v>
      </c>
      <c r="F271" s="118" t="s">
        <v>164</v>
      </c>
      <c r="G271" s="111" t="s">
        <v>1072</v>
      </c>
      <c r="H271" s="111" t="s">
        <v>739</v>
      </c>
      <c r="I271" s="119" t="s">
        <v>2056</v>
      </c>
      <c r="J271" s="113"/>
      <c r="K271" s="118">
        <v>2014</v>
      </c>
      <c r="L271" s="118">
        <v>10416</v>
      </c>
      <c r="M271" s="118" t="s">
        <v>13</v>
      </c>
      <c r="N271" s="121" t="s">
        <v>1084</v>
      </c>
      <c r="O271" s="111" t="s">
        <v>29</v>
      </c>
      <c r="P271" s="111" t="s">
        <v>86</v>
      </c>
      <c r="Q271" s="111" t="s">
        <v>1078</v>
      </c>
      <c r="R271" s="111" t="s">
        <v>145</v>
      </c>
      <c r="S271" s="121"/>
      <c r="T271" s="141"/>
      <c r="U271" s="71"/>
      <c r="V271" s="158" t="s">
        <v>6</v>
      </c>
      <c r="W271" s="118" t="s">
        <v>1083</v>
      </c>
      <c r="X271" s="113">
        <v>42790</v>
      </c>
      <c r="Y271" s="160">
        <f t="shared" si="24"/>
        <v>42863</v>
      </c>
      <c r="Z271" s="160">
        <v>42857</v>
      </c>
      <c r="AA271" s="181" t="str">
        <f t="shared" ca="1" si="25"/>
        <v>YES</v>
      </c>
      <c r="AB271" s="159"/>
      <c r="AC271" s="160"/>
      <c r="AD271" s="121"/>
      <c r="AE271" s="121"/>
      <c r="AF271" s="111" t="str">
        <f t="shared" ca="1" si="26"/>
        <v>N/A</v>
      </c>
      <c r="AG271" s="162">
        <v>3320</v>
      </c>
      <c r="AH271" s="162">
        <v>0</v>
      </c>
      <c r="AI271" s="164">
        <f t="shared" si="27"/>
        <v>3320</v>
      </c>
      <c r="AJ271" s="182"/>
      <c r="AK271" s="113" t="s">
        <v>1075</v>
      </c>
      <c r="AL271" s="118" t="s">
        <v>1076</v>
      </c>
      <c r="AM271" s="166" t="str">
        <f t="shared" si="28"/>
        <v>17011 Agrana</v>
      </c>
      <c r="AN271" s="166" t="str">
        <f t="shared" si="29"/>
        <v>17011 Agrana : internal diameter PP piping too small</v>
      </c>
    </row>
    <row r="272" spans="1:40" s="76" customFormat="1" ht="13" hidden="1" x14ac:dyDescent="0.3">
      <c r="A272" s="122" t="e">
        <f>HYPERLINK(#REF!)</f>
        <v>#REF!</v>
      </c>
      <c r="B272" s="116">
        <v>17012</v>
      </c>
      <c r="C272" s="113" t="s">
        <v>4</v>
      </c>
      <c r="D272" s="117">
        <v>42774</v>
      </c>
      <c r="E272" s="118" t="s">
        <v>1071</v>
      </c>
      <c r="F272" s="118" t="s">
        <v>164</v>
      </c>
      <c r="G272" s="111" t="s">
        <v>1072</v>
      </c>
      <c r="H272" s="111" t="s">
        <v>616</v>
      </c>
      <c r="I272" s="119" t="s">
        <v>2056</v>
      </c>
      <c r="J272" s="113"/>
      <c r="K272" s="118">
        <v>2014</v>
      </c>
      <c r="L272" s="118">
        <v>10416</v>
      </c>
      <c r="M272" s="118" t="s">
        <v>13</v>
      </c>
      <c r="N272" s="121" t="s">
        <v>1085</v>
      </c>
      <c r="O272" s="111" t="s">
        <v>29</v>
      </c>
      <c r="P272" s="111" t="s">
        <v>86</v>
      </c>
      <c r="Q272" s="111" t="s">
        <v>1078</v>
      </c>
      <c r="R272" s="111" t="s">
        <v>145</v>
      </c>
      <c r="S272" s="121"/>
      <c r="T272" s="141"/>
      <c r="U272" s="71"/>
      <c r="V272" s="158" t="s">
        <v>6</v>
      </c>
      <c r="W272" s="118" t="s">
        <v>1086</v>
      </c>
      <c r="X272" s="159">
        <v>42800</v>
      </c>
      <c r="Y272" s="160">
        <f t="shared" si="24"/>
        <v>42863</v>
      </c>
      <c r="Z272" s="160">
        <v>42844</v>
      </c>
      <c r="AA272" s="181" t="str">
        <f t="shared" ca="1" si="25"/>
        <v>YES</v>
      </c>
      <c r="AB272" s="159"/>
      <c r="AC272" s="160"/>
      <c r="AD272" s="121"/>
      <c r="AE272" s="121"/>
      <c r="AF272" s="111" t="str">
        <f t="shared" ca="1" si="26"/>
        <v>N/A</v>
      </c>
      <c r="AG272" s="162">
        <v>6640</v>
      </c>
      <c r="AH272" s="162">
        <v>130</v>
      </c>
      <c r="AI272" s="164">
        <f t="shared" si="27"/>
        <v>6770</v>
      </c>
      <c r="AJ272" s="182"/>
      <c r="AK272" s="113" t="s">
        <v>1075</v>
      </c>
      <c r="AL272" s="118" t="s">
        <v>1076</v>
      </c>
      <c r="AM272" s="166" t="str">
        <f t="shared" si="28"/>
        <v>17012 Agrana</v>
      </c>
      <c r="AN272" s="166" t="str">
        <f t="shared" si="29"/>
        <v>17012 Agrana : missing studs on all flanges of vessels</v>
      </c>
    </row>
    <row r="273" spans="1:40" s="76" customFormat="1" ht="13" hidden="1" x14ac:dyDescent="0.3">
      <c r="A273" s="122" t="e">
        <f>HYPERLINK(#REF!)</f>
        <v>#REF!</v>
      </c>
      <c r="B273" s="116">
        <v>17013</v>
      </c>
      <c r="C273" s="113" t="s">
        <v>8</v>
      </c>
      <c r="D273" s="117">
        <v>42800</v>
      </c>
      <c r="E273" s="118" t="s">
        <v>441</v>
      </c>
      <c r="F273" s="118" t="s">
        <v>164</v>
      </c>
      <c r="G273" s="111" t="s">
        <v>1072</v>
      </c>
      <c r="H273" s="111" t="s">
        <v>683</v>
      </c>
      <c r="I273" s="119" t="s">
        <v>2056</v>
      </c>
      <c r="J273" s="113"/>
      <c r="K273" s="118">
        <v>2014</v>
      </c>
      <c r="L273" s="118">
        <v>10416</v>
      </c>
      <c r="M273" s="118" t="s">
        <v>13</v>
      </c>
      <c r="N273" s="111" t="s">
        <v>1087</v>
      </c>
      <c r="O273" s="111" t="s">
        <v>29</v>
      </c>
      <c r="P273" s="111" t="s">
        <v>86</v>
      </c>
      <c r="Q273" s="111"/>
      <c r="R273" s="111" t="s">
        <v>15</v>
      </c>
      <c r="S273" s="111"/>
      <c r="T273" s="118" t="s">
        <v>683</v>
      </c>
      <c r="U273" s="64"/>
      <c r="V273" s="158" t="s">
        <v>6</v>
      </c>
      <c r="W273" s="118" t="s">
        <v>441</v>
      </c>
      <c r="X273" s="113">
        <v>42802</v>
      </c>
      <c r="Y273" s="117">
        <f t="shared" si="24"/>
        <v>42892</v>
      </c>
      <c r="Z273" s="117">
        <v>42886</v>
      </c>
      <c r="AA273" s="161" t="s">
        <v>6</v>
      </c>
      <c r="AB273" s="113"/>
      <c r="AC273" s="117"/>
      <c r="AD273" s="111"/>
      <c r="AE273" s="111"/>
      <c r="AF273" s="111" t="str">
        <f t="shared" ca="1" si="26"/>
        <v>N/A</v>
      </c>
      <c r="AG273" s="162">
        <v>123.69581585457675</v>
      </c>
      <c r="AH273" s="162">
        <v>0</v>
      </c>
      <c r="AI273" s="164">
        <f t="shared" si="27"/>
        <v>123.69581585457675</v>
      </c>
      <c r="AJ273" s="118"/>
      <c r="AK273" s="113"/>
      <c r="AL273" s="118"/>
      <c r="AM273" s="165" t="str">
        <f t="shared" si="28"/>
        <v>17013 Agrana</v>
      </c>
      <c r="AN273" s="165" t="str">
        <f t="shared" si="29"/>
        <v>17013 Agrana : painting colour for IEX columns of Phase I is wrong</v>
      </c>
    </row>
    <row r="274" spans="1:40" s="76" customFormat="1" ht="13" hidden="1" x14ac:dyDescent="0.3">
      <c r="A274" s="122" t="e">
        <f>HYPERLINK(#REF!)</f>
        <v>#REF!</v>
      </c>
      <c r="B274" s="116">
        <v>17014</v>
      </c>
      <c r="C274" s="113" t="s">
        <v>4</v>
      </c>
      <c r="D274" s="117">
        <v>42800</v>
      </c>
      <c r="E274" s="118" t="s">
        <v>99</v>
      </c>
      <c r="F274" s="118" t="s">
        <v>658</v>
      </c>
      <c r="G274" s="111" t="s">
        <v>1072</v>
      </c>
      <c r="H274" s="111"/>
      <c r="I274" s="119" t="s">
        <v>5</v>
      </c>
      <c r="J274" s="113"/>
      <c r="K274" s="118"/>
      <c r="L274" s="118" t="s">
        <v>1088</v>
      </c>
      <c r="M274" s="118" t="s">
        <v>338</v>
      </c>
      <c r="N274" s="111" t="s">
        <v>1089</v>
      </c>
      <c r="O274" s="111" t="s">
        <v>28</v>
      </c>
      <c r="P274" s="111" t="s">
        <v>103</v>
      </c>
      <c r="Q274" s="111" t="s">
        <v>510</v>
      </c>
      <c r="R274" s="111" t="s">
        <v>9</v>
      </c>
      <c r="S274" s="111"/>
      <c r="T274" s="118"/>
      <c r="U274" s="64"/>
      <c r="V274" s="158" t="s">
        <v>6</v>
      </c>
      <c r="W274" s="118" t="s">
        <v>99</v>
      </c>
      <c r="X274" s="113">
        <v>42803</v>
      </c>
      <c r="Y274" s="117">
        <f t="shared" si="24"/>
        <v>42892</v>
      </c>
      <c r="Z274" s="117">
        <v>42888</v>
      </c>
      <c r="AA274" s="161" t="str">
        <f t="shared" ref="AA274:AA305" ca="1" si="30">IF(Z274="",IF(TODAY()&gt;Y274,"NO","YES"),IF(Z274&gt;Y274,"NO",IF(Z274&lt;Y274,"YES",IF(Y274=Z274,"YES","N/A"))))</f>
        <v>YES</v>
      </c>
      <c r="AB274" s="113"/>
      <c r="AC274" s="117">
        <v>42794</v>
      </c>
      <c r="AD274" s="111"/>
      <c r="AE274" s="111"/>
      <c r="AF274" s="111" t="str">
        <f t="shared" ca="1" si="26"/>
        <v/>
      </c>
      <c r="AG274" s="162">
        <v>4623</v>
      </c>
      <c r="AH274" s="162">
        <v>27804</v>
      </c>
      <c r="AI274" s="164">
        <f t="shared" si="27"/>
        <v>32427</v>
      </c>
      <c r="AJ274" s="182" t="s">
        <v>6</v>
      </c>
      <c r="AK274" s="113">
        <v>43011</v>
      </c>
      <c r="AL274" s="118"/>
      <c r="AM274" s="165" t="str">
        <f t="shared" si="28"/>
        <v>17014 Agrana</v>
      </c>
      <c r="AN274" s="165" t="str">
        <f t="shared" si="29"/>
        <v>17014 Agrana : outside kerasep membrane storage</v>
      </c>
    </row>
    <row r="275" spans="1:40" s="76" customFormat="1" ht="13" hidden="1" x14ac:dyDescent="0.3">
      <c r="A275" s="122" t="e">
        <f>HYPERLINK(#REF!)</f>
        <v>#REF!</v>
      </c>
      <c r="B275" s="116">
        <v>17015</v>
      </c>
      <c r="C275" s="113" t="s">
        <v>4</v>
      </c>
      <c r="D275" s="117">
        <v>42807</v>
      </c>
      <c r="E275" s="118" t="s">
        <v>82</v>
      </c>
      <c r="F275" s="118" t="s">
        <v>658</v>
      </c>
      <c r="G275" s="111" t="s">
        <v>1090</v>
      </c>
      <c r="H275" s="111" t="s">
        <v>309</v>
      </c>
      <c r="I275" s="119" t="s">
        <v>2056</v>
      </c>
      <c r="J275" s="113"/>
      <c r="K275" s="118"/>
      <c r="L275" s="118" t="s">
        <v>1091</v>
      </c>
      <c r="M275" s="118" t="s">
        <v>13</v>
      </c>
      <c r="N275" s="111" t="s">
        <v>1092</v>
      </c>
      <c r="O275" s="111" t="s">
        <v>28</v>
      </c>
      <c r="P275" s="111" t="s">
        <v>103</v>
      </c>
      <c r="Q275" s="111" t="s">
        <v>1093</v>
      </c>
      <c r="R275" s="111" t="s">
        <v>145</v>
      </c>
      <c r="S275" s="111"/>
      <c r="T275" s="129" t="s">
        <v>309</v>
      </c>
      <c r="U275" s="64"/>
      <c r="V275" s="158" t="s">
        <v>10</v>
      </c>
      <c r="W275" s="118"/>
      <c r="X275" s="113"/>
      <c r="Y275" s="117">
        <f t="shared" si="24"/>
        <v>42899</v>
      </c>
      <c r="Z275" s="117">
        <v>42867</v>
      </c>
      <c r="AA275" s="161" t="str">
        <f t="shared" ca="1" si="30"/>
        <v>YES</v>
      </c>
      <c r="AB275" s="113"/>
      <c r="AC275" s="117"/>
      <c r="AD275" s="111"/>
      <c r="AE275" s="111"/>
      <c r="AF275" s="111" t="str">
        <f t="shared" ca="1" si="26"/>
        <v>N/A</v>
      </c>
      <c r="AG275" s="162">
        <v>166</v>
      </c>
      <c r="AH275" s="162">
        <v>0</v>
      </c>
      <c r="AI275" s="164">
        <f t="shared" si="27"/>
        <v>166</v>
      </c>
      <c r="AJ275" s="182" t="s">
        <v>10</v>
      </c>
      <c r="AK275" s="113">
        <v>43041</v>
      </c>
      <c r="AL275" s="118" t="s">
        <v>1094</v>
      </c>
      <c r="AM275" s="165" t="str">
        <f t="shared" si="28"/>
        <v>17015 Beneo Orafti</v>
      </c>
      <c r="AN275" s="165" t="str">
        <f t="shared" si="29"/>
        <v>17015 Beneo Orafti : resin delivery delay</v>
      </c>
    </row>
    <row r="276" spans="1:40" s="76" customFormat="1" ht="13" hidden="1" x14ac:dyDescent="0.3">
      <c r="A276" s="122" t="e">
        <f>HYPERLINK(#REF!)</f>
        <v>#REF!</v>
      </c>
      <c r="B276" s="116">
        <v>17016</v>
      </c>
      <c r="C276" s="113" t="s">
        <v>4</v>
      </c>
      <c r="D276" s="117">
        <v>42811</v>
      </c>
      <c r="E276" s="118" t="s">
        <v>924</v>
      </c>
      <c r="F276" s="118" t="s">
        <v>164</v>
      </c>
      <c r="G276" s="111" t="s">
        <v>1095</v>
      </c>
      <c r="H276" s="111" t="s">
        <v>1096</v>
      </c>
      <c r="I276" s="119" t="s">
        <v>5</v>
      </c>
      <c r="J276" s="113"/>
      <c r="K276" s="118">
        <v>2010</v>
      </c>
      <c r="L276" s="118">
        <v>11326</v>
      </c>
      <c r="M276" s="118" t="s">
        <v>359</v>
      </c>
      <c r="N276" s="111" t="s">
        <v>1097</v>
      </c>
      <c r="O276" s="111" t="s">
        <v>29</v>
      </c>
      <c r="P276" s="111" t="s">
        <v>86</v>
      </c>
      <c r="Q276" s="111" t="s">
        <v>916</v>
      </c>
      <c r="R276" s="111" t="s">
        <v>145</v>
      </c>
      <c r="S276" s="111"/>
      <c r="T276" s="129" t="s">
        <v>1096</v>
      </c>
      <c r="U276" s="64"/>
      <c r="V276" s="158" t="s">
        <v>6</v>
      </c>
      <c r="W276" s="118" t="s">
        <v>319</v>
      </c>
      <c r="X276" s="113">
        <v>42816</v>
      </c>
      <c r="Y276" s="117">
        <f t="shared" si="24"/>
        <v>42903</v>
      </c>
      <c r="Z276" s="117">
        <v>42894</v>
      </c>
      <c r="AA276" s="161" t="str">
        <f t="shared" ca="1" si="30"/>
        <v>YES</v>
      </c>
      <c r="AB276" s="113"/>
      <c r="AC276" s="117">
        <v>42822</v>
      </c>
      <c r="AD276" s="169">
        <v>42887</v>
      </c>
      <c r="AE276" s="172">
        <v>42894</v>
      </c>
      <c r="AF276" s="111" t="str">
        <f t="shared" ca="1" si="26"/>
        <v>NO</v>
      </c>
      <c r="AG276" s="162">
        <v>4980</v>
      </c>
      <c r="AH276" s="162">
        <v>2274</v>
      </c>
      <c r="AI276" s="164">
        <f t="shared" si="27"/>
        <v>7254</v>
      </c>
      <c r="AJ276" s="182" t="s">
        <v>6</v>
      </c>
      <c r="AK276" s="113">
        <v>43028</v>
      </c>
      <c r="AL276" s="118"/>
      <c r="AM276" s="165" t="str">
        <f t="shared" si="28"/>
        <v>17016 Mérial</v>
      </c>
      <c r="AN276" s="165" t="str">
        <f t="shared" si="29"/>
        <v>17016 Mérial : trace of rust on UF52 module</v>
      </c>
    </row>
    <row r="277" spans="1:40" s="76" customFormat="1" ht="13" hidden="1" x14ac:dyDescent="0.3">
      <c r="A277" s="122" t="e">
        <f>HYPERLINK(#REF!)</f>
        <v>#REF!</v>
      </c>
      <c r="B277" s="116">
        <v>17017</v>
      </c>
      <c r="C277" s="113" t="s">
        <v>4</v>
      </c>
      <c r="D277" s="117">
        <v>42817</v>
      </c>
      <c r="E277" s="118" t="s">
        <v>294</v>
      </c>
      <c r="F277" s="118" t="s">
        <v>164</v>
      </c>
      <c r="G277" s="111" t="s">
        <v>1098</v>
      </c>
      <c r="H277" s="111"/>
      <c r="I277" s="119" t="s">
        <v>2056</v>
      </c>
      <c r="J277" s="113"/>
      <c r="K277" s="118">
        <v>2021</v>
      </c>
      <c r="L277" s="118">
        <v>10617</v>
      </c>
      <c r="M277" s="118" t="s">
        <v>11</v>
      </c>
      <c r="N277" s="111" t="s">
        <v>1099</v>
      </c>
      <c r="O277" s="111" t="s">
        <v>29</v>
      </c>
      <c r="P277" s="111" t="s">
        <v>86</v>
      </c>
      <c r="Q277" s="111" t="s">
        <v>916</v>
      </c>
      <c r="R277" s="111" t="s">
        <v>145</v>
      </c>
      <c r="S277" s="111"/>
      <c r="T277" s="118"/>
      <c r="U277" s="64"/>
      <c r="V277" s="158" t="s">
        <v>6</v>
      </c>
      <c r="W277" s="118" t="s">
        <v>120</v>
      </c>
      <c r="X277" s="113">
        <v>42837</v>
      </c>
      <c r="Y277" s="117">
        <f t="shared" si="24"/>
        <v>42909</v>
      </c>
      <c r="Z277" s="117">
        <v>42893</v>
      </c>
      <c r="AA277" s="161" t="str">
        <f t="shared" ca="1" si="30"/>
        <v>YES</v>
      </c>
      <c r="AB277" s="113"/>
      <c r="AC277" s="117"/>
      <c r="AD277" s="111"/>
      <c r="AE277" s="111"/>
      <c r="AF277" s="111" t="str">
        <f t="shared" ca="1" si="26"/>
        <v>N/A</v>
      </c>
      <c r="AG277" s="162">
        <v>6276</v>
      </c>
      <c r="AH277" s="162">
        <v>2617.08</v>
      </c>
      <c r="AI277" s="164">
        <f t="shared" si="27"/>
        <v>8893.08</v>
      </c>
      <c r="AJ277" s="182" t="s">
        <v>6</v>
      </c>
      <c r="AK277" s="113">
        <v>43018</v>
      </c>
      <c r="AL277" s="118"/>
      <c r="AM277" s="165" t="str">
        <f t="shared" si="28"/>
        <v xml:space="preserve">17017 TAT </v>
      </c>
      <c r="AN277" s="165" t="str">
        <f t="shared" si="29"/>
        <v>17017 TAT  : conical filter on piping deformed</v>
      </c>
    </row>
    <row r="278" spans="1:40" s="76" customFormat="1" ht="13" hidden="1" x14ac:dyDescent="0.3">
      <c r="A278" s="122" t="e">
        <f>HYPERLINK(#REF!)</f>
        <v>#REF!</v>
      </c>
      <c r="B278" s="116">
        <v>17018</v>
      </c>
      <c r="C278" s="113" t="s">
        <v>4</v>
      </c>
      <c r="D278" s="117">
        <v>42817</v>
      </c>
      <c r="E278" s="118" t="s">
        <v>82</v>
      </c>
      <c r="F278" s="118" t="s">
        <v>658</v>
      </c>
      <c r="G278" s="111" t="s">
        <v>416</v>
      </c>
      <c r="H278" s="111" t="s">
        <v>1100</v>
      </c>
      <c r="I278" s="119" t="s">
        <v>2056</v>
      </c>
      <c r="J278" s="113"/>
      <c r="K278" s="118">
        <v>2024</v>
      </c>
      <c r="L278" s="118">
        <v>10065</v>
      </c>
      <c r="M278" s="118" t="s">
        <v>13</v>
      </c>
      <c r="N278" s="111" t="s">
        <v>1101</v>
      </c>
      <c r="O278" s="111" t="s">
        <v>28</v>
      </c>
      <c r="P278" s="111" t="s">
        <v>103</v>
      </c>
      <c r="Q278" s="111" t="s">
        <v>1093</v>
      </c>
      <c r="R278" s="111" t="s">
        <v>145</v>
      </c>
      <c r="S278" s="111"/>
      <c r="T278" s="129" t="s">
        <v>1100</v>
      </c>
      <c r="U278" s="64"/>
      <c r="V278" s="158" t="s">
        <v>10</v>
      </c>
      <c r="W278" s="118"/>
      <c r="X278" s="113"/>
      <c r="Y278" s="117">
        <f t="shared" si="24"/>
        <v>42909</v>
      </c>
      <c r="Z278" s="117">
        <v>42940</v>
      </c>
      <c r="AA278" s="161" t="str">
        <f t="shared" ca="1" si="30"/>
        <v>NO</v>
      </c>
      <c r="AB278" s="113"/>
      <c r="AC278" s="117"/>
      <c r="AD278" s="111"/>
      <c r="AE278" s="111"/>
      <c r="AF278" s="111" t="str">
        <f t="shared" ca="1" si="26"/>
        <v>N/A</v>
      </c>
      <c r="AG278" s="162">
        <v>13015</v>
      </c>
      <c r="AH278" s="162">
        <v>2000</v>
      </c>
      <c r="AI278" s="164">
        <f t="shared" si="27"/>
        <v>15015</v>
      </c>
      <c r="AJ278" s="182" t="s">
        <v>10</v>
      </c>
      <c r="AK278" s="113">
        <v>43045</v>
      </c>
      <c r="AL278" s="118" t="s">
        <v>1102</v>
      </c>
      <c r="AM278" s="165" t="str">
        <f t="shared" si="28"/>
        <v>17018 VITALUS</v>
      </c>
      <c r="AN278" s="165" t="str">
        <f t="shared" si="29"/>
        <v>17018 VITALUS : resin doesn't in accordance with FDA requirements</v>
      </c>
    </row>
    <row r="279" spans="1:40" s="76" customFormat="1" ht="13" hidden="1" x14ac:dyDescent="0.3">
      <c r="A279" s="122" t="e">
        <f>HYPERLINK(#REF!)</f>
        <v>#REF!</v>
      </c>
      <c r="B279" s="116">
        <v>17019</v>
      </c>
      <c r="C279" s="113" t="s">
        <v>4</v>
      </c>
      <c r="D279" s="117">
        <v>42822</v>
      </c>
      <c r="E279" s="118" t="s">
        <v>224</v>
      </c>
      <c r="F279" s="118" t="s">
        <v>1103</v>
      </c>
      <c r="G279" s="111" t="s">
        <v>910</v>
      </c>
      <c r="H279" s="111" t="s">
        <v>1104</v>
      </c>
      <c r="I279" s="119" t="s">
        <v>2056</v>
      </c>
      <c r="J279" s="113"/>
      <c r="K279" s="118">
        <v>2013</v>
      </c>
      <c r="L279" s="118">
        <v>11461</v>
      </c>
      <c r="M279" s="118" t="s">
        <v>955</v>
      </c>
      <c r="N279" s="111" t="s">
        <v>1105</v>
      </c>
      <c r="O279" s="111" t="s">
        <v>29</v>
      </c>
      <c r="P279" s="111" t="s">
        <v>86</v>
      </c>
      <c r="Q279" s="111" t="s">
        <v>1106</v>
      </c>
      <c r="R279" s="111" t="s">
        <v>145</v>
      </c>
      <c r="S279" s="111"/>
      <c r="T279" s="129" t="s">
        <v>1107</v>
      </c>
      <c r="U279" s="64"/>
      <c r="V279" s="158" t="s">
        <v>6</v>
      </c>
      <c r="W279" s="118" t="s">
        <v>224</v>
      </c>
      <c r="X279" s="113">
        <v>42837</v>
      </c>
      <c r="Y279" s="117">
        <f t="shared" si="24"/>
        <v>42914</v>
      </c>
      <c r="Z279" s="117">
        <v>42913</v>
      </c>
      <c r="AA279" s="161" t="str">
        <f t="shared" ca="1" si="30"/>
        <v>YES</v>
      </c>
      <c r="AB279" s="113"/>
      <c r="AC279" s="117"/>
      <c r="AD279" s="111"/>
      <c r="AE279" s="111"/>
      <c r="AF279" s="111" t="str">
        <f t="shared" ca="1" si="26"/>
        <v>N/A</v>
      </c>
      <c r="AG279" s="162">
        <v>7055</v>
      </c>
      <c r="AH279" s="162">
        <v>0</v>
      </c>
      <c r="AI279" s="164">
        <f t="shared" si="27"/>
        <v>7055</v>
      </c>
      <c r="AJ279" s="182" t="s">
        <v>6</v>
      </c>
      <c r="AK279" s="113">
        <v>43773</v>
      </c>
      <c r="AL279" s="118"/>
      <c r="AM279" s="165" t="str">
        <f t="shared" si="28"/>
        <v>17019 CLS</v>
      </c>
      <c r="AN279" s="165" t="str">
        <f t="shared" si="29"/>
        <v>17019 CLS : Project management, quality equipment</v>
      </c>
    </row>
    <row r="280" spans="1:40" s="76" customFormat="1" ht="13" hidden="1" x14ac:dyDescent="0.3">
      <c r="A280" s="122" t="e">
        <f>HYPERLINK(#REF!)</f>
        <v>#REF!</v>
      </c>
      <c r="B280" s="116">
        <v>17020</v>
      </c>
      <c r="C280" s="113" t="s">
        <v>8</v>
      </c>
      <c r="D280" s="117">
        <v>42826</v>
      </c>
      <c r="E280" s="118" t="s">
        <v>929</v>
      </c>
      <c r="F280" s="118" t="s">
        <v>164</v>
      </c>
      <c r="G280" s="111" t="s">
        <v>1108</v>
      </c>
      <c r="H280" s="111"/>
      <c r="I280" s="119" t="s">
        <v>5</v>
      </c>
      <c r="J280" s="113"/>
      <c r="K280" s="118" t="s">
        <v>1109</v>
      </c>
      <c r="L280" s="118">
        <v>10095</v>
      </c>
      <c r="M280" s="118" t="s">
        <v>11</v>
      </c>
      <c r="N280" s="111" t="s">
        <v>1110</v>
      </c>
      <c r="O280" s="111" t="s">
        <v>29</v>
      </c>
      <c r="P280" s="111" t="s">
        <v>86</v>
      </c>
      <c r="Q280" s="111"/>
      <c r="R280" s="111" t="s">
        <v>145</v>
      </c>
      <c r="S280" s="111"/>
      <c r="T280" s="118"/>
      <c r="U280" s="64"/>
      <c r="V280" s="158" t="s">
        <v>6</v>
      </c>
      <c r="W280" s="118" t="s">
        <v>929</v>
      </c>
      <c r="X280" s="113">
        <v>42830</v>
      </c>
      <c r="Y280" s="117">
        <f t="shared" si="24"/>
        <v>42917</v>
      </c>
      <c r="Z280" s="117">
        <v>42871</v>
      </c>
      <c r="AA280" s="161" t="str">
        <f t="shared" ca="1" si="30"/>
        <v>YES</v>
      </c>
      <c r="AB280" s="113"/>
      <c r="AC280" s="117">
        <v>42830</v>
      </c>
      <c r="AD280" s="169">
        <v>42917</v>
      </c>
      <c r="AE280" s="172">
        <v>42871</v>
      </c>
      <c r="AF280" s="111" t="str">
        <f t="shared" ca="1" si="26"/>
        <v>YES</v>
      </c>
      <c r="AG280" s="162">
        <v>0</v>
      </c>
      <c r="AH280" s="162">
        <v>0</v>
      </c>
      <c r="AI280" s="164">
        <f t="shared" si="27"/>
        <v>0</v>
      </c>
      <c r="AJ280" s="118"/>
      <c r="AK280" s="113"/>
      <c r="AL280" s="118"/>
      <c r="AM280" s="165" t="str">
        <f t="shared" si="28"/>
        <v>17020 Wuhan Friendship</v>
      </c>
      <c r="AN280" s="165" t="str">
        <f t="shared" si="29"/>
        <v>17020 Wuhan Friendship : The gravel purchased by client himself was not qualified</v>
      </c>
    </row>
    <row r="281" spans="1:40" s="76" customFormat="1" ht="13" hidden="1" x14ac:dyDescent="0.3">
      <c r="A281" s="122" t="e">
        <f>HYPERLINK(#REF!)</f>
        <v>#REF!</v>
      </c>
      <c r="B281" s="116">
        <v>17021</v>
      </c>
      <c r="C281" s="113" t="s">
        <v>4</v>
      </c>
      <c r="D281" s="117">
        <v>42830</v>
      </c>
      <c r="E281" s="118" t="s">
        <v>621</v>
      </c>
      <c r="F281" s="118" t="s">
        <v>164</v>
      </c>
      <c r="G281" s="111" t="s">
        <v>591</v>
      </c>
      <c r="H281" s="111" t="s">
        <v>1111</v>
      </c>
      <c r="I281" s="119" t="s">
        <v>2057</v>
      </c>
      <c r="J281" s="113"/>
      <c r="K281" s="118">
        <v>1976</v>
      </c>
      <c r="L281" s="118">
        <v>8531</v>
      </c>
      <c r="M281" s="118" t="s">
        <v>13</v>
      </c>
      <c r="N281" s="111" t="s">
        <v>1112</v>
      </c>
      <c r="O281" s="111" t="s">
        <v>29</v>
      </c>
      <c r="P281" s="111" t="s">
        <v>86</v>
      </c>
      <c r="Q281" s="111" t="s">
        <v>1036</v>
      </c>
      <c r="R281" s="111" t="s">
        <v>15</v>
      </c>
      <c r="S281" s="111"/>
      <c r="T281" s="118"/>
      <c r="U281" s="64"/>
      <c r="V281" s="158" t="s">
        <v>10</v>
      </c>
      <c r="W281" s="118"/>
      <c r="X281" s="113"/>
      <c r="Y281" s="117">
        <f t="shared" si="24"/>
        <v>42921</v>
      </c>
      <c r="Z281" s="117">
        <v>42893</v>
      </c>
      <c r="AA281" s="161" t="str">
        <f t="shared" ca="1" si="30"/>
        <v>YES</v>
      </c>
      <c r="AB281" s="113"/>
      <c r="AC281" s="117"/>
      <c r="AD281" s="111"/>
      <c r="AE281" s="111"/>
      <c r="AF281" s="111" t="str">
        <f t="shared" ca="1" si="26"/>
        <v>N/A</v>
      </c>
      <c r="AG281" s="162">
        <v>332</v>
      </c>
      <c r="AH281" s="162">
        <v>2886</v>
      </c>
      <c r="AI281" s="164">
        <f t="shared" si="27"/>
        <v>3218</v>
      </c>
      <c r="AJ281" s="182" t="s">
        <v>6</v>
      </c>
      <c r="AK281" s="113">
        <v>43411</v>
      </c>
      <c r="AL281" s="118" t="s">
        <v>1076</v>
      </c>
      <c r="AM281" s="165" t="str">
        <f t="shared" si="28"/>
        <v xml:space="preserve">17021 Tanichem </v>
      </c>
      <c r="AN281" s="165" t="str">
        <f t="shared" si="29"/>
        <v>17021 Tanichem  : Flowmeter technology no adapted</v>
      </c>
    </row>
    <row r="282" spans="1:40" s="76" customFormat="1" ht="13" hidden="1" x14ac:dyDescent="0.3">
      <c r="A282" s="122" t="e">
        <f>HYPERLINK(#REF!)</f>
        <v>#REF!</v>
      </c>
      <c r="B282" s="116">
        <v>17022</v>
      </c>
      <c r="C282" s="113" t="s">
        <v>4</v>
      </c>
      <c r="D282" s="117">
        <v>42839</v>
      </c>
      <c r="E282" s="118" t="s">
        <v>294</v>
      </c>
      <c r="F282" s="118" t="s">
        <v>164</v>
      </c>
      <c r="G282" s="111" t="s">
        <v>1014</v>
      </c>
      <c r="H282" s="111" t="s">
        <v>616</v>
      </c>
      <c r="I282" s="119" t="s">
        <v>5</v>
      </c>
      <c r="J282" s="113"/>
      <c r="K282" s="118">
        <v>2026</v>
      </c>
      <c r="L282" s="118">
        <v>11244</v>
      </c>
      <c r="M282" s="118" t="s">
        <v>338</v>
      </c>
      <c r="N282" s="111" t="s">
        <v>1113</v>
      </c>
      <c r="O282" s="111" t="s">
        <v>29</v>
      </c>
      <c r="P282" s="111" t="s">
        <v>86</v>
      </c>
      <c r="Q282" s="111" t="s">
        <v>1106</v>
      </c>
      <c r="R282" s="111" t="s">
        <v>145</v>
      </c>
      <c r="S282" s="111"/>
      <c r="T282" s="118"/>
      <c r="U282" s="64"/>
      <c r="V282" s="158" t="s">
        <v>6</v>
      </c>
      <c r="W282" s="118" t="s">
        <v>116</v>
      </c>
      <c r="X282" s="113">
        <v>42844</v>
      </c>
      <c r="Y282" s="117">
        <f t="shared" si="24"/>
        <v>42930</v>
      </c>
      <c r="Z282" s="117">
        <v>42901</v>
      </c>
      <c r="AA282" s="161" t="str">
        <f t="shared" ca="1" si="30"/>
        <v>YES</v>
      </c>
      <c r="AB282" s="113"/>
      <c r="AC282" s="117">
        <v>42843</v>
      </c>
      <c r="AD282" s="169">
        <v>42917</v>
      </c>
      <c r="AE282" s="172">
        <v>42901</v>
      </c>
      <c r="AF282" s="111" t="str">
        <f t="shared" ca="1" si="26"/>
        <v>YES</v>
      </c>
      <c r="AG282" s="162">
        <v>19805</v>
      </c>
      <c r="AH282" s="162">
        <v>43730</v>
      </c>
      <c r="AI282" s="164">
        <f t="shared" si="27"/>
        <v>63535</v>
      </c>
      <c r="AJ282" s="182" t="s">
        <v>6</v>
      </c>
      <c r="AK282" s="113">
        <v>43412</v>
      </c>
      <c r="AL282" s="118"/>
      <c r="AM282" s="165" t="str">
        <f t="shared" si="28"/>
        <v>17022 Biospringer</v>
      </c>
      <c r="AN282" s="165" t="str">
        <f t="shared" si="29"/>
        <v>17022 Biospringer : piping pb, mounting impossibility</v>
      </c>
    </row>
    <row r="283" spans="1:40" s="76" customFormat="1" ht="13" hidden="1" x14ac:dyDescent="0.3">
      <c r="A283" s="122" t="e">
        <f>HYPERLINK(#REF!)</f>
        <v>#REF!</v>
      </c>
      <c r="B283" s="116">
        <v>17023</v>
      </c>
      <c r="C283" s="113" t="s">
        <v>4</v>
      </c>
      <c r="D283" s="117">
        <v>42845</v>
      </c>
      <c r="E283" s="118" t="s">
        <v>160</v>
      </c>
      <c r="F283" s="118" t="s">
        <v>658</v>
      </c>
      <c r="G283" s="111" t="s">
        <v>1114</v>
      </c>
      <c r="H283" s="111" t="s">
        <v>882</v>
      </c>
      <c r="I283" s="119" t="s">
        <v>5</v>
      </c>
      <c r="J283" s="113"/>
      <c r="K283" s="118">
        <v>1925</v>
      </c>
      <c r="L283" s="118">
        <v>7985</v>
      </c>
      <c r="M283" s="118" t="s">
        <v>11</v>
      </c>
      <c r="N283" s="111" t="s">
        <v>1115</v>
      </c>
      <c r="O283" s="111" t="s">
        <v>28</v>
      </c>
      <c r="P283" s="111" t="s">
        <v>103</v>
      </c>
      <c r="Q283" s="111" t="s">
        <v>176</v>
      </c>
      <c r="R283" s="111" t="s">
        <v>145</v>
      </c>
      <c r="S283" s="111"/>
      <c r="T283" s="129" t="s">
        <v>357</v>
      </c>
      <c r="U283" s="64"/>
      <c r="V283" s="158" t="s">
        <v>6</v>
      </c>
      <c r="W283" s="118" t="s">
        <v>1116</v>
      </c>
      <c r="X283" s="113">
        <v>42844</v>
      </c>
      <c r="Y283" s="117">
        <f t="shared" si="24"/>
        <v>42936</v>
      </c>
      <c r="Z283" s="117">
        <v>43091</v>
      </c>
      <c r="AA283" s="161" t="str">
        <f t="shared" ca="1" si="30"/>
        <v>NO</v>
      </c>
      <c r="AB283" s="113"/>
      <c r="AC283" s="117">
        <v>42843</v>
      </c>
      <c r="AD283" s="111"/>
      <c r="AE283" s="111"/>
      <c r="AF283" s="111" t="str">
        <f t="shared" ca="1" si="26"/>
        <v/>
      </c>
      <c r="AG283" s="162">
        <v>40915</v>
      </c>
      <c r="AH283" s="162">
        <v>91798</v>
      </c>
      <c r="AI283" s="164">
        <f t="shared" si="27"/>
        <v>132713</v>
      </c>
      <c r="AJ283" s="182" t="s">
        <v>6</v>
      </c>
      <c r="AK283" s="113">
        <v>43413</v>
      </c>
      <c r="AL283" s="118"/>
      <c r="AM283" s="165" t="str">
        <f t="shared" si="28"/>
        <v>17023 Armor Protéine</v>
      </c>
      <c r="AN283" s="165" t="str">
        <f t="shared" si="29"/>
        <v>17023 Armor Protéine : leakage welding SSMB cells</v>
      </c>
    </row>
    <row r="284" spans="1:40" s="76" customFormat="1" ht="13" hidden="1" x14ac:dyDescent="0.3">
      <c r="A284" s="122" t="e">
        <f>HYPERLINK(#REF!)</f>
        <v>#REF!</v>
      </c>
      <c r="B284" s="116">
        <v>17024</v>
      </c>
      <c r="C284" s="113" t="s">
        <v>4</v>
      </c>
      <c r="D284" s="117">
        <v>42846</v>
      </c>
      <c r="E284" s="118" t="s">
        <v>95</v>
      </c>
      <c r="F284" s="118" t="s">
        <v>164</v>
      </c>
      <c r="G284" s="111" t="s">
        <v>854</v>
      </c>
      <c r="H284" s="111" t="s">
        <v>433</v>
      </c>
      <c r="I284" s="119" t="s">
        <v>2057</v>
      </c>
      <c r="J284" s="113"/>
      <c r="K284" s="118">
        <v>1974</v>
      </c>
      <c r="L284" s="118">
        <v>9876</v>
      </c>
      <c r="M284" s="118" t="s">
        <v>13</v>
      </c>
      <c r="N284" s="111" t="s">
        <v>1117</v>
      </c>
      <c r="O284" s="111" t="s">
        <v>29</v>
      </c>
      <c r="P284" s="111" t="s">
        <v>86</v>
      </c>
      <c r="Q284" s="111" t="s">
        <v>1106</v>
      </c>
      <c r="R284" s="111" t="s">
        <v>145</v>
      </c>
      <c r="S284" s="111"/>
      <c r="T284" s="118"/>
      <c r="U284" s="64"/>
      <c r="V284" s="158" t="s">
        <v>10</v>
      </c>
      <c r="W284" s="118"/>
      <c r="X284" s="113"/>
      <c r="Y284" s="117">
        <f t="shared" si="24"/>
        <v>42937</v>
      </c>
      <c r="Z284" s="117">
        <v>42923</v>
      </c>
      <c r="AA284" s="161" t="str">
        <f t="shared" ca="1" si="30"/>
        <v>YES</v>
      </c>
      <c r="AB284" s="113"/>
      <c r="AC284" s="117"/>
      <c r="AD284" s="111"/>
      <c r="AE284" s="111"/>
      <c r="AF284" s="111" t="str">
        <f t="shared" ca="1" si="26"/>
        <v>N/A</v>
      </c>
      <c r="AG284" s="162">
        <v>2905</v>
      </c>
      <c r="AH284" s="162">
        <v>0</v>
      </c>
      <c r="AI284" s="164">
        <f t="shared" si="27"/>
        <v>2905</v>
      </c>
      <c r="AJ284" s="182" t="s">
        <v>6</v>
      </c>
      <c r="AK284" s="113">
        <v>43411</v>
      </c>
      <c r="AL284" s="118"/>
      <c r="AM284" s="165" t="str">
        <f t="shared" si="28"/>
        <v>17024 MEFSCO</v>
      </c>
      <c r="AN284" s="165" t="str">
        <f t="shared" si="29"/>
        <v>17024 MEFSCO : defect of piping assembly</v>
      </c>
    </row>
    <row r="285" spans="1:40" s="76" customFormat="1" ht="13" hidden="1" x14ac:dyDescent="0.3">
      <c r="A285" s="122" t="e">
        <f>HYPERLINK(#REF!)</f>
        <v>#REF!</v>
      </c>
      <c r="B285" s="116">
        <v>17025</v>
      </c>
      <c r="C285" s="113" t="s">
        <v>4</v>
      </c>
      <c r="D285" s="117">
        <v>42857</v>
      </c>
      <c r="E285" s="118" t="s">
        <v>82</v>
      </c>
      <c r="F285" s="118" t="s">
        <v>658</v>
      </c>
      <c r="G285" s="111" t="s">
        <v>1118</v>
      </c>
      <c r="H285" s="111"/>
      <c r="I285" s="119" t="s">
        <v>5</v>
      </c>
      <c r="J285" s="113"/>
      <c r="K285" s="118"/>
      <c r="L285" s="118" t="s">
        <v>1119</v>
      </c>
      <c r="M285" s="118" t="s">
        <v>359</v>
      </c>
      <c r="N285" s="111" t="s">
        <v>1120</v>
      </c>
      <c r="O285" s="111" t="s">
        <v>28</v>
      </c>
      <c r="P285" s="111" t="s">
        <v>103</v>
      </c>
      <c r="Q285" s="111" t="s">
        <v>634</v>
      </c>
      <c r="R285" s="111" t="s">
        <v>9</v>
      </c>
      <c r="S285" s="111"/>
      <c r="T285" s="118"/>
      <c r="U285" s="64"/>
      <c r="V285" s="158" t="s">
        <v>6</v>
      </c>
      <c r="W285" s="118" t="s">
        <v>82</v>
      </c>
      <c r="X285" s="113">
        <v>42859</v>
      </c>
      <c r="Y285" s="117">
        <f t="shared" si="24"/>
        <v>42949</v>
      </c>
      <c r="Z285" s="117">
        <v>42940</v>
      </c>
      <c r="AA285" s="161" t="str">
        <f t="shared" ca="1" si="30"/>
        <v>YES</v>
      </c>
      <c r="AB285" s="113"/>
      <c r="AC285" s="117">
        <v>42857</v>
      </c>
      <c r="AD285" s="111"/>
      <c r="AE285" s="111"/>
      <c r="AF285" s="111" t="str">
        <f t="shared" ca="1" si="26"/>
        <v/>
      </c>
      <c r="AG285" s="162">
        <v>5950</v>
      </c>
      <c r="AH285" s="162">
        <v>4100</v>
      </c>
      <c r="AI285" s="164">
        <f t="shared" si="27"/>
        <v>10050</v>
      </c>
      <c r="AJ285" s="182" t="s">
        <v>6</v>
      </c>
      <c r="AK285" s="113">
        <v>43413</v>
      </c>
      <c r="AL285" s="118"/>
      <c r="AM285" s="165" t="str">
        <f t="shared" si="28"/>
        <v>17025 Tetra Pak</v>
      </c>
      <c r="AN285" s="165" t="str">
        <f t="shared" si="29"/>
        <v>17025 Tetra Pak : convex tightening plate of K99 modules</v>
      </c>
    </row>
    <row r="286" spans="1:40" s="76" customFormat="1" ht="13" hidden="1" x14ac:dyDescent="0.3">
      <c r="A286" s="122" t="e">
        <f>HYPERLINK(#REF!)</f>
        <v>#REF!</v>
      </c>
      <c r="B286" s="116">
        <v>17026</v>
      </c>
      <c r="C286" s="113" t="s">
        <v>4</v>
      </c>
      <c r="D286" s="117">
        <v>42865</v>
      </c>
      <c r="E286" s="118" t="s">
        <v>1019</v>
      </c>
      <c r="F286" s="118" t="s">
        <v>164</v>
      </c>
      <c r="G286" s="111" t="s">
        <v>1121</v>
      </c>
      <c r="H286" s="111" t="s">
        <v>930</v>
      </c>
      <c r="I286" s="119" t="s">
        <v>2056</v>
      </c>
      <c r="J286" s="113"/>
      <c r="K286" s="118">
        <v>1953</v>
      </c>
      <c r="L286" s="118">
        <v>9263</v>
      </c>
      <c r="M286" s="118" t="s">
        <v>11</v>
      </c>
      <c r="N286" s="111" t="s">
        <v>1122</v>
      </c>
      <c r="O286" s="111" t="s">
        <v>29</v>
      </c>
      <c r="P286" s="111" t="s">
        <v>86</v>
      </c>
      <c r="Q286" s="111" t="s">
        <v>916</v>
      </c>
      <c r="R286" s="111" t="s">
        <v>145</v>
      </c>
      <c r="S286" s="111"/>
      <c r="T286" s="118"/>
      <c r="U286" s="64"/>
      <c r="V286" s="158" t="s">
        <v>10</v>
      </c>
      <c r="W286" s="118"/>
      <c r="X286" s="113"/>
      <c r="Y286" s="117">
        <f t="shared" si="24"/>
        <v>42957</v>
      </c>
      <c r="Z286" s="117">
        <v>42927</v>
      </c>
      <c r="AA286" s="161" t="str">
        <f t="shared" ca="1" si="30"/>
        <v>YES</v>
      </c>
      <c r="AB286" s="113"/>
      <c r="AC286" s="117"/>
      <c r="AD286" s="111"/>
      <c r="AE286" s="111"/>
      <c r="AF286" s="111" t="str">
        <f t="shared" ca="1" si="26"/>
        <v>N/A</v>
      </c>
      <c r="AG286" s="162">
        <v>9350</v>
      </c>
      <c r="AH286" s="162">
        <v>3700</v>
      </c>
      <c r="AI286" s="164">
        <f t="shared" si="27"/>
        <v>13050</v>
      </c>
      <c r="AJ286" s="182"/>
      <c r="AK286" s="113" t="s">
        <v>1123</v>
      </c>
      <c r="AL286" s="118" t="s">
        <v>1124</v>
      </c>
      <c r="AM286" s="165" t="str">
        <f t="shared" si="28"/>
        <v>17026 Sunoko</v>
      </c>
      <c r="AN286" s="165" t="str">
        <f t="shared" si="29"/>
        <v>17026 Sunoko : resin leakage on network plates</v>
      </c>
    </row>
    <row r="287" spans="1:40" s="76" customFormat="1" ht="13" hidden="1" x14ac:dyDescent="0.3">
      <c r="A287" s="122" t="e">
        <f>HYPERLINK(#REF!)</f>
        <v>#REF!</v>
      </c>
      <c r="B287" s="116">
        <v>17027</v>
      </c>
      <c r="C287" s="113" t="s">
        <v>4</v>
      </c>
      <c r="D287" s="117">
        <v>42877</v>
      </c>
      <c r="E287" s="118" t="s">
        <v>864</v>
      </c>
      <c r="F287" s="118" t="s">
        <v>164</v>
      </c>
      <c r="G287" s="111" t="s">
        <v>1125</v>
      </c>
      <c r="H287" s="111"/>
      <c r="I287" s="119" t="s">
        <v>2057</v>
      </c>
      <c r="J287" s="113"/>
      <c r="K287" s="118">
        <v>2022</v>
      </c>
      <c r="L287" s="118">
        <v>11279</v>
      </c>
      <c r="M287" s="118" t="s">
        <v>11</v>
      </c>
      <c r="N287" s="111" t="s">
        <v>1126</v>
      </c>
      <c r="O287" s="111" t="s">
        <v>29</v>
      </c>
      <c r="P287" s="111" t="s">
        <v>86</v>
      </c>
      <c r="Q287" s="111" t="s">
        <v>522</v>
      </c>
      <c r="R287" s="111" t="s">
        <v>15</v>
      </c>
      <c r="S287" s="111"/>
      <c r="T287" s="118"/>
      <c r="U287" s="64"/>
      <c r="V287" s="158" t="s">
        <v>6</v>
      </c>
      <c r="W287" s="118" t="s">
        <v>120</v>
      </c>
      <c r="X287" s="113">
        <v>42894</v>
      </c>
      <c r="Y287" s="117">
        <f t="shared" si="24"/>
        <v>42969</v>
      </c>
      <c r="Z287" s="117">
        <v>42929</v>
      </c>
      <c r="AA287" s="161" t="str">
        <f t="shared" ca="1" si="30"/>
        <v>YES</v>
      </c>
      <c r="AB287" s="113"/>
      <c r="AC287" s="117"/>
      <c r="AD287" s="111"/>
      <c r="AE287" s="111"/>
      <c r="AF287" s="111" t="str">
        <f t="shared" ca="1" si="26"/>
        <v>N/A</v>
      </c>
      <c r="AG287" s="162">
        <v>1530</v>
      </c>
      <c r="AH287" s="162">
        <v>0</v>
      </c>
      <c r="AI287" s="164">
        <f t="shared" si="27"/>
        <v>1530</v>
      </c>
      <c r="AJ287" s="182" t="s">
        <v>6</v>
      </c>
      <c r="AK287" s="113">
        <v>43411</v>
      </c>
      <c r="AL287" s="118"/>
      <c r="AM287" s="165" t="str">
        <f t="shared" si="28"/>
        <v>17027 ADM US</v>
      </c>
      <c r="AN287" s="165" t="str">
        <f t="shared" si="29"/>
        <v>17027 ADM US : TU01 error : reversed Extract/Raffinate collectors</v>
      </c>
    </row>
    <row r="288" spans="1:40" s="76" customFormat="1" ht="13" hidden="1" x14ac:dyDescent="0.3">
      <c r="A288" s="122" t="e">
        <f>HYPERLINK(#REF!)</f>
        <v>#REF!</v>
      </c>
      <c r="B288" s="116">
        <v>17028</v>
      </c>
      <c r="C288" s="113" t="s">
        <v>4</v>
      </c>
      <c r="D288" s="117">
        <v>42877</v>
      </c>
      <c r="E288" s="118" t="s">
        <v>864</v>
      </c>
      <c r="F288" s="118" t="s">
        <v>164</v>
      </c>
      <c r="G288" s="111" t="s">
        <v>854</v>
      </c>
      <c r="H288" s="111"/>
      <c r="I288" s="119" t="s">
        <v>5</v>
      </c>
      <c r="J288" s="113" t="s">
        <v>1068</v>
      </c>
      <c r="K288" s="118">
        <v>1974</v>
      </c>
      <c r="L288" s="118">
        <v>9876</v>
      </c>
      <c r="M288" s="118" t="s">
        <v>13</v>
      </c>
      <c r="N288" s="111" t="s">
        <v>1127</v>
      </c>
      <c r="O288" s="111" t="s">
        <v>29</v>
      </c>
      <c r="P288" s="111" t="s">
        <v>86</v>
      </c>
      <c r="Q288" s="111" t="s">
        <v>522</v>
      </c>
      <c r="R288" s="111" t="s">
        <v>15</v>
      </c>
      <c r="S288" s="111"/>
      <c r="T288" s="118"/>
      <c r="U288" s="64"/>
      <c r="V288" s="158" t="s">
        <v>6</v>
      </c>
      <c r="W288" s="118" t="s">
        <v>864</v>
      </c>
      <c r="X288" s="113">
        <v>42887</v>
      </c>
      <c r="Y288" s="117">
        <f t="shared" si="24"/>
        <v>42969</v>
      </c>
      <c r="Z288" s="117">
        <v>43118</v>
      </c>
      <c r="AA288" s="161" t="str">
        <f t="shared" ca="1" si="30"/>
        <v>NO</v>
      </c>
      <c r="AB288" s="113"/>
      <c r="AC288" s="117">
        <v>42831</v>
      </c>
      <c r="AD288" s="169">
        <v>43131</v>
      </c>
      <c r="AE288" s="172">
        <v>43118</v>
      </c>
      <c r="AF288" s="111" t="str">
        <f t="shared" ca="1" si="26"/>
        <v>YES</v>
      </c>
      <c r="AG288" s="162">
        <v>850</v>
      </c>
      <c r="AH288" s="162">
        <v>0</v>
      </c>
      <c r="AI288" s="164">
        <f t="shared" si="27"/>
        <v>850</v>
      </c>
      <c r="AJ288" s="182" t="s">
        <v>6</v>
      </c>
      <c r="AK288" s="113">
        <v>43411</v>
      </c>
      <c r="AL288" s="118"/>
      <c r="AM288" s="165" t="str">
        <f t="shared" si="28"/>
        <v>17028 MEFSCO</v>
      </c>
      <c r="AN288" s="165" t="str">
        <f t="shared" si="29"/>
        <v>17028 MEFSCO : piping material error (CS instead of SS)</v>
      </c>
    </row>
    <row r="289" spans="1:40" s="76" customFormat="1" ht="13" hidden="1" x14ac:dyDescent="0.3">
      <c r="A289" s="122" t="e">
        <f>HYPERLINK(#REF!)</f>
        <v>#REF!</v>
      </c>
      <c r="B289" s="116">
        <v>17029</v>
      </c>
      <c r="C289" s="143" t="s">
        <v>4</v>
      </c>
      <c r="D289" s="144">
        <v>42877</v>
      </c>
      <c r="E289" s="145" t="s">
        <v>290</v>
      </c>
      <c r="F289" s="145" t="s">
        <v>420</v>
      </c>
      <c r="G289" s="146" t="s">
        <v>952</v>
      </c>
      <c r="H289" s="146"/>
      <c r="I289" s="119" t="s">
        <v>2058</v>
      </c>
      <c r="J289" s="143"/>
      <c r="K289" s="145" t="s">
        <v>1128</v>
      </c>
      <c r="L289" s="145"/>
      <c r="M289" s="145"/>
      <c r="N289" s="146" t="s">
        <v>1129</v>
      </c>
      <c r="O289" s="111" t="s">
        <v>420</v>
      </c>
      <c r="P289" s="146" t="s">
        <v>80</v>
      </c>
      <c r="Q289" s="146"/>
      <c r="R289" s="146" t="s">
        <v>15</v>
      </c>
      <c r="S289" s="146"/>
      <c r="T289" s="145"/>
      <c r="U289" s="72"/>
      <c r="V289" s="158" t="s">
        <v>6</v>
      </c>
      <c r="W289" s="145" t="s">
        <v>577</v>
      </c>
      <c r="X289" s="143">
        <v>42877</v>
      </c>
      <c r="Y289" s="144">
        <f t="shared" si="24"/>
        <v>42969</v>
      </c>
      <c r="Z289" s="144">
        <v>43119</v>
      </c>
      <c r="AA289" s="161" t="str">
        <f t="shared" ca="1" si="30"/>
        <v>NO</v>
      </c>
      <c r="AB289" s="113"/>
      <c r="AC289" s="144"/>
      <c r="AD289" s="146"/>
      <c r="AE289" s="146"/>
      <c r="AF289" s="146" t="str">
        <f t="shared" ca="1" si="26"/>
        <v>N/A</v>
      </c>
      <c r="AG289" s="183">
        <v>340</v>
      </c>
      <c r="AH289" s="183">
        <v>0</v>
      </c>
      <c r="AI289" s="164">
        <f t="shared" si="27"/>
        <v>340</v>
      </c>
      <c r="AJ289" s="182" t="s">
        <v>6</v>
      </c>
      <c r="AK289" s="113">
        <v>43411</v>
      </c>
      <c r="AL289" s="145"/>
      <c r="AM289" s="184" t="str">
        <f t="shared" si="28"/>
        <v>17029 ERAMET</v>
      </c>
      <c r="AN289" s="184" t="str">
        <f t="shared" si="29"/>
        <v>17029 ERAMET : acid solution projection</v>
      </c>
    </row>
    <row r="290" spans="1:40" s="76" customFormat="1" ht="13" hidden="1" x14ac:dyDescent="0.3">
      <c r="A290" s="122" t="e">
        <f>HYPERLINK(#REF!)</f>
        <v>#REF!</v>
      </c>
      <c r="B290" s="116">
        <v>17030</v>
      </c>
      <c r="C290" s="143" t="s">
        <v>4</v>
      </c>
      <c r="D290" s="144">
        <v>42886</v>
      </c>
      <c r="E290" s="118" t="s">
        <v>940</v>
      </c>
      <c r="F290" s="118" t="s">
        <v>164</v>
      </c>
      <c r="G290" s="111" t="s">
        <v>1072</v>
      </c>
      <c r="H290" s="111" t="s">
        <v>930</v>
      </c>
      <c r="I290" s="119" t="s">
        <v>2057</v>
      </c>
      <c r="J290" s="143"/>
      <c r="K290" s="145">
        <v>2014</v>
      </c>
      <c r="L290" s="145">
        <v>10416</v>
      </c>
      <c r="M290" s="118" t="s">
        <v>13</v>
      </c>
      <c r="N290" s="111" t="s">
        <v>1130</v>
      </c>
      <c r="O290" s="111" t="s">
        <v>29</v>
      </c>
      <c r="P290" s="111" t="s">
        <v>86</v>
      </c>
      <c r="Q290" s="111" t="s">
        <v>522</v>
      </c>
      <c r="R290" s="111" t="s">
        <v>9</v>
      </c>
      <c r="S290" s="111"/>
      <c r="T290" s="145"/>
      <c r="U290" s="72"/>
      <c r="V290" s="158" t="s">
        <v>6</v>
      </c>
      <c r="W290" s="118" t="s">
        <v>120</v>
      </c>
      <c r="X290" s="143">
        <v>42901</v>
      </c>
      <c r="Y290" s="144">
        <f t="shared" si="24"/>
        <v>42978</v>
      </c>
      <c r="Z290" s="144">
        <v>42937</v>
      </c>
      <c r="AA290" s="161" t="str">
        <f t="shared" ca="1" si="30"/>
        <v>YES</v>
      </c>
      <c r="AB290" s="113"/>
      <c r="AC290" s="144"/>
      <c r="AD290" s="146"/>
      <c r="AE290" s="146"/>
      <c r="AF290" s="146" t="str">
        <f t="shared" ca="1" si="26"/>
        <v>N/A</v>
      </c>
      <c r="AG290" s="183">
        <v>340</v>
      </c>
      <c r="AH290" s="183">
        <v>0</v>
      </c>
      <c r="AI290" s="164">
        <f t="shared" si="27"/>
        <v>340</v>
      </c>
      <c r="AJ290" s="182" t="s">
        <v>6</v>
      </c>
      <c r="AK290" s="113">
        <v>43411</v>
      </c>
      <c r="AL290" s="145"/>
      <c r="AM290" s="184" t="str">
        <f t="shared" si="28"/>
        <v>17030 Agrana</v>
      </c>
      <c r="AN290" s="184" t="str">
        <f t="shared" si="29"/>
        <v>17030 Agrana : collision betweenplatform &amp; manholes of columns</v>
      </c>
    </row>
    <row r="291" spans="1:40" s="76" customFormat="1" ht="13" hidden="1" x14ac:dyDescent="0.3">
      <c r="A291" s="122" t="e">
        <f>HYPERLINK(#REF!)</f>
        <v>#REF!</v>
      </c>
      <c r="B291" s="116">
        <v>17031</v>
      </c>
      <c r="C291" s="113" t="s">
        <v>4</v>
      </c>
      <c r="D291" s="144">
        <v>42905</v>
      </c>
      <c r="E291" s="118" t="s">
        <v>877</v>
      </c>
      <c r="F291" s="118" t="s">
        <v>691</v>
      </c>
      <c r="G291" s="111" t="s">
        <v>591</v>
      </c>
      <c r="H291" s="146"/>
      <c r="I291" s="119" t="s">
        <v>2057</v>
      </c>
      <c r="J291" s="143"/>
      <c r="K291" s="145">
        <v>1976</v>
      </c>
      <c r="L291" s="145">
        <v>8531</v>
      </c>
      <c r="M291" s="118" t="s">
        <v>975</v>
      </c>
      <c r="N291" s="111" t="s">
        <v>1131</v>
      </c>
      <c r="O291" s="111" t="s">
        <v>29</v>
      </c>
      <c r="P291" s="111" t="s">
        <v>86</v>
      </c>
      <c r="Q291" s="111" t="s">
        <v>916</v>
      </c>
      <c r="R291" s="111" t="s">
        <v>9</v>
      </c>
      <c r="S291" s="111"/>
      <c r="T291" s="145"/>
      <c r="U291" s="72"/>
      <c r="V291" s="158" t="s">
        <v>6</v>
      </c>
      <c r="W291" s="118" t="s">
        <v>877</v>
      </c>
      <c r="X291" s="143">
        <v>42914</v>
      </c>
      <c r="Y291" s="144">
        <f t="shared" si="24"/>
        <v>42997</v>
      </c>
      <c r="Z291" s="144">
        <v>43304</v>
      </c>
      <c r="AA291" s="161" t="str">
        <f t="shared" ca="1" si="30"/>
        <v>NO</v>
      </c>
      <c r="AB291" s="113"/>
      <c r="AC291" s="144"/>
      <c r="AD291" s="146"/>
      <c r="AE291" s="146"/>
      <c r="AF291" s="146" t="str">
        <f t="shared" ca="1" si="26"/>
        <v>N/A</v>
      </c>
      <c r="AG291" s="183">
        <v>4083</v>
      </c>
      <c r="AH291" s="183">
        <v>0</v>
      </c>
      <c r="AI291" s="164">
        <f t="shared" si="27"/>
        <v>4083</v>
      </c>
      <c r="AJ291" s="229"/>
      <c r="AK291" s="113" t="s">
        <v>1132</v>
      </c>
      <c r="AL291" s="70" t="s">
        <v>1133</v>
      </c>
      <c r="AM291" s="184" t="str">
        <f t="shared" si="28"/>
        <v xml:space="preserve">17031 Tanichem </v>
      </c>
      <c r="AN291" s="184" t="str">
        <f t="shared" si="29"/>
        <v>17031 Tanichem  : Mismanagement of AF updates during commissioning</v>
      </c>
    </row>
    <row r="292" spans="1:40" s="76" customFormat="1" ht="13" hidden="1" x14ac:dyDescent="0.3">
      <c r="A292" s="122" t="e">
        <f>HYPERLINK(#REF!)</f>
        <v>#REF!</v>
      </c>
      <c r="B292" s="116">
        <v>17032</v>
      </c>
      <c r="C292" s="143" t="s">
        <v>4</v>
      </c>
      <c r="D292" s="144">
        <v>42905</v>
      </c>
      <c r="E292" s="145" t="s">
        <v>335</v>
      </c>
      <c r="F292" s="145" t="s">
        <v>164</v>
      </c>
      <c r="G292" s="146" t="s">
        <v>340</v>
      </c>
      <c r="H292" s="146"/>
      <c r="I292" s="119" t="s">
        <v>2057</v>
      </c>
      <c r="J292" s="143"/>
      <c r="K292" s="145">
        <v>2014</v>
      </c>
      <c r="L292" s="145">
        <v>10416</v>
      </c>
      <c r="M292" s="145" t="s">
        <v>975</v>
      </c>
      <c r="N292" s="146" t="s">
        <v>1134</v>
      </c>
      <c r="O292" s="146" t="s">
        <v>29</v>
      </c>
      <c r="P292" s="146" t="s">
        <v>86</v>
      </c>
      <c r="Q292" s="146" t="s">
        <v>605</v>
      </c>
      <c r="R292" s="146" t="s">
        <v>15</v>
      </c>
      <c r="S292" s="146"/>
      <c r="T292" s="145"/>
      <c r="U292" s="72"/>
      <c r="V292" s="158" t="s">
        <v>6</v>
      </c>
      <c r="W292" s="145" t="s">
        <v>335</v>
      </c>
      <c r="X292" s="143">
        <v>42908</v>
      </c>
      <c r="Y292" s="144">
        <f t="shared" si="24"/>
        <v>42997</v>
      </c>
      <c r="Z292" s="144">
        <v>42977</v>
      </c>
      <c r="AA292" s="161" t="str">
        <f t="shared" ca="1" si="30"/>
        <v>YES</v>
      </c>
      <c r="AB292" s="113"/>
      <c r="AC292" s="144"/>
      <c r="AD292" s="146"/>
      <c r="AE292" s="146"/>
      <c r="AF292" s="146" t="str">
        <f t="shared" ca="1" si="26"/>
        <v>N/A</v>
      </c>
      <c r="AG292" s="183">
        <v>340</v>
      </c>
      <c r="AH292" s="183">
        <v>1000</v>
      </c>
      <c r="AI292" s="164">
        <f t="shared" si="27"/>
        <v>1340</v>
      </c>
      <c r="AJ292" s="229"/>
      <c r="AK292" s="113" t="s">
        <v>1075</v>
      </c>
      <c r="AL292" s="118" t="s">
        <v>1076</v>
      </c>
      <c r="AM292" s="184" t="str">
        <f t="shared" si="28"/>
        <v>17032 AGRANA</v>
      </c>
      <c r="AN292" s="184" t="str">
        <f t="shared" si="29"/>
        <v>17032 AGRANA : Valve wiring problem with 2 limit switches</v>
      </c>
    </row>
    <row r="293" spans="1:40" s="76" customFormat="1" ht="13" hidden="1" x14ac:dyDescent="0.3">
      <c r="A293" s="122" t="e">
        <f>HYPERLINK(#REF!)</f>
        <v>#REF!</v>
      </c>
      <c r="B293" s="116">
        <v>17033</v>
      </c>
      <c r="C293" s="113" t="s">
        <v>8</v>
      </c>
      <c r="D293" s="117">
        <v>42913</v>
      </c>
      <c r="E293" s="118" t="s">
        <v>1135</v>
      </c>
      <c r="F293" s="145" t="s">
        <v>164</v>
      </c>
      <c r="G293" s="111" t="s">
        <v>1136</v>
      </c>
      <c r="H293" s="111"/>
      <c r="I293" s="119" t="s">
        <v>5</v>
      </c>
      <c r="J293" s="113"/>
      <c r="K293" s="118">
        <v>2007</v>
      </c>
      <c r="L293" s="118">
        <v>11179</v>
      </c>
      <c r="M293" s="118" t="s">
        <v>1137</v>
      </c>
      <c r="N293" s="111" t="s">
        <v>1138</v>
      </c>
      <c r="O293" s="111" t="s">
        <v>29</v>
      </c>
      <c r="P293" s="146" t="s">
        <v>86</v>
      </c>
      <c r="Q293" s="111"/>
      <c r="R293" s="111" t="s">
        <v>145</v>
      </c>
      <c r="S293" s="111"/>
      <c r="T293" s="118"/>
      <c r="U293" s="69"/>
      <c r="V293" s="158" t="s">
        <v>6</v>
      </c>
      <c r="W293" s="118" t="s">
        <v>1139</v>
      </c>
      <c r="X293" s="113">
        <v>42914</v>
      </c>
      <c r="Y293" s="144">
        <f t="shared" si="24"/>
        <v>43005</v>
      </c>
      <c r="Z293" s="144">
        <v>43818</v>
      </c>
      <c r="AA293" s="161" t="str">
        <f t="shared" ca="1" si="30"/>
        <v>NO</v>
      </c>
      <c r="AB293" s="113"/>
      <c r="AC293" s="117">
        <v>42914</v>
      </c>
      <c r="AD293" s="169">
        <v>43131</v>
      </c>
      <c r="AE293" s="172">
        <v>43818</v>
      </c>
      <c r="AF293" s="111" t="str">
        <f t="shared" ca="1" si="26"/>
        <v>NO</v>
      </c>
      <c r="AG293" s="162">
        <v>2626</v>
      </c>
      <c r="AH293" s="163">
        <v>192923</v>
      </c>
      <c r="AI293" s="164">
        <f t="shared" si="27"/>
        <v>195549</v>
      </c>
      <c r="AJ293" s="118"/>
      <c r="AK293" s="113"/>
      <c r="AL293" s="118"/>
      <c r="AM293" s="165" t="str">
        <f t="shared" si="28"/>
        <v>17033 FUFENG</v>
      </c>
      <c r="AN293" s="165" t="str">
        <f t="shared" si="29"/>
        <v>17033 FUFENG : MF membranes abrasion</v>
      </c>
    </row>
    <row r="294" spans="1:40" s="76" customFormat="1" ht="13" hidden="1" x14ac:dyDescent="0.3">
      <c r="A294" s="122" t="e">
        <f>HYPERLINK(#REF!)</f>
        <v>#REF!</v>
      </c>
      <c r="B294" s="116">
        <v>17034</v>
      </c>
      <c r="C294" s="113" t="s">
        <v>8</v>
      </c>
      <c r="D294" s="117">
        <v>42921</v>
      </c>
      <c r="E294" s="118" t="s">
        <v>1140</v>
      </c>
      <c r="F294" s="145" t="s">
        <v>164</v>
      </c>
      <c r="G294" s="111" t="s">
        <v>1141</v>
      </c>
      <c r="H294" s="111" t="s">
        <v>350</v>
      </c>
      <c r="I294" s="119" t="s">
        <v>2056</v>
      </c>
      <c r="J294" s="113"/>
      <c r="K294" s="118">
        <v>2015</v>
      </c>
      <c r="L294" s="118">
        <v>11722</v>
      </c>
      <c r="M294" s="118" t="s">
        <v>13</v>
      </c>
      <c r="N294" s="111" t="s">
        <v>1142</v>
      </c>
      <c r="O294" s="111" t="s">
        <v>29</v>
      </c>
      <c r="P294" s="146" t="s">
        <v>86</v>
      </c>
      <c r="Q294" s="111" t="s">
        <v>1106</v>
      </c>
      <c r="R294" s="111" t="s">
        <v>145</v>
      </c>
      <c r="S294" s="111"/>
      <c r="T294" s="118"/>
      <c r="U294" s="64"/>
      <c r="V294" s="158" t="s">
        <v>6</v>
      </c>
      <c r="W294" s="118" t="s">
        <v>1140</v>
      </c>
      <c r="X294" s="113">
        <v>42921</v>
      </c>
      <c r="Y294" s="117">
        <f t="shared" si="24"/>
        <v>43013</v>
      </c>
      <c r="Z294" s="117">
        <v>42992</v>
      </c>
      <c r="AA294" s="161" t="str">
        <f t="shared" ca="1" si="30"/>
        <v>YES</v>
      </c>
      <c r="AB294" s="113"/>
      <c r="AC294" s="117"/>
      <c r="AD294" s="111"/>
      <c r="AE294" s="111"/>
      <c r="AF294" s="111" t="str">
        <f t="shared" ca="1" si="26"/>
        <v>N/A</v>
      </c>
      <c r="AG294" s="162">
        <v>1014.426315170675</v>
      </c>
      <c r="AH294" s="162">
        <v>457.22347777240725</v>
      </c>
      <c r="AI294" s="164">
        <f t="shared" si="27"/>
        <v>1471.6497929430823</v>
      </c>
      <c r="AJ294" s="118"/>
      <c r="AK294" s="113"/>
      <c r="AL294" s="118"/>
      <c r="AM294" s="165" t="str">
        <f t="shared" si="28"/>
        <v>17034 RZBC</v>
      </c>
      <c r="AN294" s="165" t="str">
        <f t="shared" si="29"/>
        <v>17034 RZBC : Nozzles are not qualified</v>
      </c>
    </row>
    <row r="295" spans="1:40" s="76" customFormat="1" ht="13" hidden="1" x14ac:dyDescent="0.3">
      <c r="A295" s="122" t="e">
        <f>HYPERLINK(#REF!)</f>
        <v>#REF!</v>
      </c>
      <c r="B295" s="116">
        <v>17035</v>
      </c>
      <c r="C295" s="143" t="s">
        <v>4</v>
      </c>
      <c r="D295" s="144">
        <v>42923</v>
      </c>
      <c r="E295" s="145" t="s">
        <v>826</v>
      </c>
      <c r="F295" s="145" t="s">
        <v>164</v>
      </c>
      <c r="G295" s="146" t="s">
        <v>854</v>
      </c>
      <c r="H295" s="146" t="s">
        <v>1143</v>
      </c>
      <c r="I295" s="119" t="s">
        <v>2056</v>
      </c>
      <c r="J295" s="143"/>
      <c r="K295" s="145">
        <v>1974</v>
      </c>
      <c r="L295" s="145">
        <v>9876</v>
      </c>
      <c r="M295" s="145" t="s">
        <v>13</v>
      </c>
      <c r="N295" s="146" t="s">
        <v>1144</v>
      </c>
      <c r="O295" s="146" t="s">
        <v>29</v>
      </c>
      <c r="P295" s="146" t="s">
        <v>86</v>
      </c>
      <c r="Q295" s="146" t="s">
        <v>605</v>
      </c>
      <c r="R295" s="146" t="s">
        <v>145</v>
      </c>
      <c r="S295" s="146"/>
      <c r="T295" s="129" t="s">
        <v>1145</v>
      </c>
      <c r="U295" s="72"/>
      <c r="V295" s="158" t="s">
        <v>6</v>
      </c>
      <c r="W295" s="118" t="s">
        <v>177</v>
      </c>
      <c r="X295" s="143">
        <v>42935</v>
      </c>
      <c r="Y295" s="144">
        <f t="shared" si="24"/>
        <v>43015</v>
      </c>
      <c r="Z295" s="144">
        <v>42996</v>
      </c>
      <c r="AA295" s="161" t="str">
        <f t="shared" ca="1" si="30"/>
        <v>YES</v>
      </c>
      <c r="AB295" s="113"/>
      <c r="AC295" s="144"/>
      <c r="AD295" s="146"/>
      <c r="AE295" s="146"/>
      <c r="AF295" s="146" t="str">
        <f t="shared" ca="1" si="26"/>
        <v>N/A</v>
      </c>
      <c r="AG295" s="183">
        <v>1020</v>
      </c>
      <c r="AH295" s="183">
        <v>0</v>
      </c>
      <c r="AI295" s="164">
        <f t="shared" si="27"/>
        <v>1020</v>
      </c>
      <c r="AJ295" s="182" t="s">
        <v>6</v>
      </c>
      <c r="AK295" s="113">
        <v>43411</v>
      </c>
      <c r="AL295" s="145"/>
      <c r="AM295" s="184" t="str">
        <f t="shared" si="28"/>
        <v>17035 MEFSCO</v>
      </c>
      <c r="AN295" s="184" t="str">
        <f t="shared" si="29"/>
        <v>17035 MEFSCO : Supplier's error on the electrical characteristics of the motors</v>
      </c>
    </row>
    <row r="296" spans="1:40" s="76" customFormat="1" ht="13" hidden="1" x14ac:dyDescent="0.3">
      <c r="A296" s="122" t="e">
        <f>HYPERLINK(#REF!)</f>
        <v>#REF!</v>
      </c>
      <c r="B296" s="116">
        <v>17036</v>
      </c>
      <c r="C296" s="143" t="s">
        <v>4</v>
      </c>
      <c r="D296" s="144">
        <v>42923</v>
      </c>
      <c r="E296" s="118" t="s">
        <v>826</v>
      </c>
      <c r="F296" s="118" t="s">
        <v>164</v>
      </c>
      <c r="G296" s="111" t="s">
        <v>1146</v>
      </c>
      <c r="H296" s="146"/>
      <c r="I296" s="119" t="s">
        <v>2057</v>
      </c>
      <c r="J296" s="143"/>
      <c r="K296" s="145">
        <v>2039</v>
      </c>
      <c r="L296" s="145">
        <v>11996</v>
      </c>
      <c r="M296" s="118" t="s">
        <v>11</v>
      </c>
      <c r="N296" s="111" t="s">
        <v>1147</v>
      </c>
      <c r="O296" s="111" t="s">
        <v>29</v>
      </c>
      <c r="P296" s="111" t="s">
        <v>1148</v>
      </c>
      <c r="Q296" s="111" t="s">
        <v>1149</v>
      </c>
      <c r="R296" s="111" t="s">
        <v>15</v>
      </c>
      <c r="S296" s="111"/>
      <c r="T296" s="145"/>
      <c r="U296" s="72"/>
      <c r="V296" s="158" t="s">
        <v>6</v>
      </c>
      <c r="W296" s="118" t="s">
        <v>1150</v>
      </c>
      <c r="X296" s="143">
        <v>42935</v>
      </c>
      <c r="Y296" s="144">
        <f t="shared" si="24"/>
        <v>43015</v>
      </c>
      <c r="Z296" s="144">
        <v>43005</v>
      </c>
      <c r="AA296" s="161" t="str">
        <f t="shared" ca="1" si="30"/>
        <v>YES</v>
      </c>
      <c r="AB296" s="113"/>
      <c r="AC296" s="144"/>
      <c r="AD296" s="146"/>
      <c r="AE296" s="146"/>
      <c r="AF296" s="146" t="str">
        <f t="shared" ca="1" si="26"/>
        <v>N/A</v>
      </c>
      <c r="AG296" s="183">
        <v>765</v>
      </c>
      <c r="AH296" s="183">
        <v>0</v>
      </c>
      <c r="AI296" s="164">
        <f t="shared" si="27"/>
        <v>765</v>
      </c>
      <c r="AJ296" s="182" t="s">
        <v>6</v>
      </c>
      <c r="AK296" s="113">
        <v>43411</v>
      </c>
      <c r="AL296" s="145"/>
      <c r="AM296" s="184" t="str">
        <f t="shared" si="28"/>
        <v>17036 ADM Turquie</v>
      </c>
      <c r="AN296" s="184" t="str">
        <f t="shared" si="29"/>
        <v>17036 ADM Turquie : AEI budget underestimated</v>
      </c>
    </row>
    <row r="297" spans="1:40" s="76" customFormat="1" ht="13" hidden="1" x14ac:dyDescent="0.3">
      <c r="A297" s="122" t="e">
        <f>HYPERLINK(#REF!)</f>
        <v>#REF!</v>
      </c>
      <c r="B297" s="116">
        <v>17037</v>
      </c>
      <c r="C297" s="143" t="s">
        <v>4</v>
      </c>
      <c r="D297" s="144">
        <v>42923</v>
      </c>
      <c r="E297" s="145" t="s">
        <v>621</v>
      </c>
      <c r="F297" s="145" t="s">
        <v>164</v>
      </c>
      <c r="G297" s="146" t="s">
        <v>1151</v>
      </c>
      <c r="H297" s="146"/>
      <c r="I297" s="119" t="s">
        <v>2057</v>
      </c>
      <c r="J297" s="143"/>
      <c r="K297" s="145">
        <v>1991</v>
      </c>
      <c r="L297" s="145">
        <v>10138</v>
      </c>
      <c r="M297" s="145" t="s">
        <v>975</v>
      </c>
      <c r="N297" s="146" t="s">
        <v>1152</v>
      </c>
      <c r="O297" s="146" t="s">
        <v>29</v>
      </c>
      <c r="P297" s="146" t="s">
        <v>86</v>
      </c>
      <c r="Q297" s="146" t="s">
        <v>605</v>
      </c>
      <c r="R297" s="146" t="s">
        <v>145</v>
      </c>
      <c r="S297" s="146"/>
      <c r="T297" s="145"/>
      <c r="U297" s="72"/>
      <c r="V297" s="158" t="s">
        <v>6</v>
      </c>
      <c r="W297" s="145" t="s">
        <v>621</v>
      </c>
      <c r="X297" s="143">
        <v>42923</v>
      </c>
      <c r="Y297" s="144">
        <f t="shared" si="24"/>
        <v>43015</v>
      </c>
      <c r="Z297" s="144">
        <v>42996</v>
      </c>
      <c r="AA297" s="161" t="str">
        <f t="shared" ca="1" si="30"/>
        <v>YES</v>
      </c>
      <c r="AB297" s="113"/>
      <c r="AC297" s="144"/>
      <c r="AD297" s="146"/>
      <c r="AE297" s="146"/>
      <c r="AF297" s="146" t="str">
        <f t="shared" ca="1" si="26"/>
        <v>N/A</v>
      </c>
      <c r="AG297" s="183">
        <v>1485.7692307692307</v>
      </c>
      <c r="AH297" s="183">
        <v>5005.1282051282051</v>
      </c>
      <c r="AI297" s="164">
        <f t="shared" si="27"/>
        <v>6490.8974358974356</v>
      </c>
      <c r="AJ297" s="182" t="s">
        <v>6</v>
      </c>
      <c r="AK297" s="113">
        <v>43411</v>
      </c>
      <c r="AL297" s="145"/>
      <c r="AM297" s="184" t="str">
        <f t="shared" si="28"/>
        <v>17037 KLIM Cambodge</v>
      </c>
      <c r="AN297" s="184" t="str">
        <f t="shared" si="29"/>
        <v>17037 KLIM Cambodge : Chinese translation of supervision views</v>
      </c>
    </row>
    <row r="298" spans="1:40" s="76" customFormat="1" ht="13" hidden="1" x14ac:dyDescent="0.3">
      <c r="A298" s="122" t="e">
        <f>HYPERLINK(#REF!)</f>
        <v>#REF!</v>
      </c>
      <c r="B298" s="116">
        <v>17038</v>
      </c>
      <c r="C298" s="143" t="s">
        <v>4</v>
      </c>
      <c r="D298" s="144">
        <v>42933</v>
      </c>
      <c r="E298" s="145" t="s">
        <v>940</v>
      </c>
      <c r="F298" s="145" t="s">
        <v>164</v>
      </c>
      <c r="G298" s="146" t="s">
        <v>925</v>
      </c>
      <c r="H298" s="146" t="s">
        <v>970</v>
      </c>
      <c r="I298" s="119" t="s">
        <v>5</v>
      </c>
      <c r="J298" s="143"/>
      <c r="K298" s="145">
        <v>2011</v>
      </c>
      <c r="L298" s="145">
        <v>10282</v>
      </c>
      <c r="M298" s="145" t="s">
        <v>7</v>
      </c>
      <c r="N298" s="146" t="s">
        <v>1153</v>
      </c>
      <c r="O298" s="146" t="s">
        <v>29</v>
      </c>
      <c r="P298" s="146" t="s">
        <v>86</v>
      </c>
      <c r="Q298" s="111" t="s">
        <v>916</v>
      </c>
      <c r="R298" s="146" t="s">
        <v>145</v>
      </c>
      <c r="S298" s="146"/>
      <c r="T298" s="145"/>
      <c r="U298" s="72"/>
      <c r="V298" s="158" t="s">
        <v>6</v>
      </c>
      <c r="W298" s="145" t="s">
        <v>1154</v>
      </c>
      <c r="X298" s="143">
        <v>42936</v>
      </c>
      <c r="Y298" s="144">
        <f t="shared" si="24"/>
        <v>43025</v>
      </c>
      <c r="Z298" s="144">
        <v>43005</v>
      </c>
      <c r="AA298" s="161" t="str">
        <f t="shared" ca="1" si="30"/>
        <v>YES</v>
      </c>
      <c r="AB298" s="113"/>
      <c r="AC298" s="144">
        <v>42936</v>
      </c>
      <c r="AD298" s="169">
        <v>43039</v>
      </c>
      <c r="AE298" s="230">
        <v>43005</v>
      </c>
      <c r="AF298" s="111" t="str">
        <f t="shared" ca="1" si="26"/>
        <v>YES</v>
      </c>
      <c r="AG298" s="162">
        <v>3825</v>
      </c>
      <c r="AH298" s="162">
        <v>337</v>
      </c>
      <c r="AI298" s="164">
        <f t="shared" si="27"/>
        <v>4162</v>
      </c>
      <c r="AJ298" s="182" t="s">
        <v>6</v>
      </c>
      <c r="AK298" s="113">
        <v>43412</v>
      </c>
      <c r="AL298" s="145"/>
      <c r="AM298" s="184" t="str">
        <f t="shared" si="28"/>
        <v>17038 Boccard/Nutribio</v>
      </c>
      <c r="AN298" s="184" t="str">
        <f t="shared" si="29"/>
        <v>17038 Boccard/Nutribio : Dysfonction ED unit</v>
      </c>
    </row>
    <row r="299" spans="1:40" s="76" customFormat="1" ht="13" hidden="1" x14ac:dyDescent="0.3">
      <c r="A299" s="122" t="e">
        <f>HYPERLINK(#REF!)</f>
        <v>#REF!</v>
      </c>
      <c r="B299" s="116">
        <v>17039</v>
      </c>
      <c r="C299" s="143" t="s">
        <v>4</v>
      </c>
      <c r="D299" s="144">
        <v>42933</v>
      </c>
      <c r="E299" s="145" t="s">
        <v>273</v>
      </c>
      <c r="F299" s="118" t="s">
        <v>658</v>
      </c>
      <c r="G299" s="146" t="s">
        <v>1155</v>
      </c>
      <c r="H299" s="146" t="s">
        <v>357</v>
      </c>
      <c r="I299" s="119" t="s">
        <v>5</v>
      </c>
      <c r="J299" s="143"/>
      <c r="K299" s="145"/>
      <c r="L299" s="118" t="s">
        <v>1119</v>
      </c>
      <c r="M299" s="145" t="s">
        <v>359</v>
      </c>
      <c r="N299" s="111" t="s">
        <v>1156</v>
      </c>
      <c r="O299" s="146" t="s">
        <v>28</v>
      </c>
      <c r="P299" s="146" t="s">
        <v>103</v>
      </c>
      <c r="Q299" s="111" t="s">
        <v>176</v>
      </c>
      <c r="R299" s="146" t="s">
        <v>145</v>
      </c>
      <c r="S299" s="146"/>
      <c r="T299" s="145"/>
      <c r="U299" s="72"/>
      <c r="V299" s="158" t="s">
        <v>6</v>
      </c>
      <c r="W299" s="145" t="s">
        <v>1157</v>
      </c>
      <c r="X299" s="143">
        <v>42933</v>
      </c>
      <c r="Y299" s="144">
        <f t="shared" si="24"/>
        <v>43025</v>
      </c>
      <c r="Z299" s="117">
        <v>43564</v>
      </c>
      <c r="AA299" s="161" t="str">
        <f t="shared" ca="1" si="30"/>
        <v>NO</v>
      </c>
      <c r="AB299" s="113"/>
      <c r="AC299" s="144">
        <v>42934</v>
      </c>
      <c r="AD299" s="144">
        <v>43039</v>
      </c>
      <c r="AE299" s="144">
        <v>43564</v>
      </c>
      <c r="AF299" s="146" t="str">
        <f t="shared" ca="1" si="26"/>
        <v>NO</v>
      </c>
      <c r="AG299" s="183">
        <v>13205</v>
      </c>
      <c r="AH299" s="183">
        <v>16350</v>
      </c>
      <c r="AI299" s="164">
        <f t="shared" si="27"/>
        <v>29555</v>
      </c>
      <c r="AJ299" s="182" t="s">
        <v>6</v>
      </c>
      <c r="AK299" s="113">
        <v>43774</v>
      </c>
      <c r="AL299" s="118"/>
      <c r="AM299" s="184" t="str">
        <f t="shared" si="28"/>
        <v>17039 Tetra Pak/ Glycom</v>
      </c>
      <c r="AN299" s="184" t="str">
        <f t="shared" si="29"/>
        <v>17039 Tetra Pak/ Glycom : Breakage of BE Kerasep membranes</v>
      </c>
    </row>
    <row r="300" spans="1:40" s="76" customFormat="1" ht="13" hidden="1" x14ac:dyDescent="0.3">
      <c r="A300" s="122" t="e">
        <f>HYPERLINK(#REF!)</f>
        <v>#REF!</v>
      </c>
      <c r="B300" s="116">
        <v>17040</v>
      </c>
      <c r="C300" s="113" t="s">
        <v>8</v>
      </c>
      <c r="D300" s="144">
        <v>42951</v>
      </c>
      <c r="E300" s="118" t="s">
        <v>1140</v>
      </c>
      <c r="F300" s="145" t="s">
        <v>164</v>
      </c>
      <c r="G300" s="111" t="s">
        <v>1158</v>
      </c>
      <c r="H300" s="111" t="s">
        <v>1159</v>
      </c>
      <c r="I300" s="119" t="s">
        <v>2056</v>
      </c>
      <c r="J300" s="113"/>
      <c r="K300" s="118">
        <v>2008</v>
      </c>
      <c r="L300" s="118">
        <v>11482</v>
      </c>
      <c r="M300" s="118" t="s">
        <v>1160</v>
      </c>
      <c r="N300" s="111" t="s">
        <v>1161</v>
      </c>
      <c r="O300" s="111" t="s">
        <v>29</v>
      </c>
      <c r="P300" s="146" t="s">
        <v>86</v>
      </c>
      <c r="Q300" s="111"/>
      <c r="R300" s="111" t="s">
        <v>145</v>
      </c>
      <c r="S300" s="111"/>
      <c r="T300" s="118"/>
      <c r="U300" s="64"/>
      <c r="V300" s="158" t="s">
        <v>6</v>
      </c>
      <c r="W300" s="118" t="s">
        <v>1140</v>
      </c>
      <c r="X300" s="113">
        <v>42947</v>
      </c>
      <c r="Y300" s="117">
        <f t="shared" si="24"/>
        <v>43043</v>
      </c>
      <c r="Z300" s="117">
        <v>43040</v>
      </c>
      <c r="AA300" s="161" t="str">
        <f t="shared" ca="1" si="30"/>
        <v>YES</v>
      </c>
      <c r="AB300" s="113"/>
      <c r="AC300" s="117"/>
      <c r="AD300" s="144"/>
      <c r="AE300" s="144"/>
      <c r="AF300" s="111" t="str">
        <f t="shared" ca="1" si="26"/>
        <v>N/A</v>
      </c>
      <c r="AG300" s="162">
        <v>0</v>
      </c>
      <c r="AH300" s="162">
        <v>0</v>
      </c>
      <c r="AI300" s="164">
        <f t="shared" si="27"/>
        <v>0</v>
      </c>
      <c r="AJ300" s="118"/>
      <c r="AK300" s="113"/>
      <c r="AL300" s="118"/>
      <c r="AM300" s="165" t="str">
        <f t="shared" si="28"/>
        <v>17040 SBC</v>
      </c>
      <c r="AN300" s="165" t="str">
        <f t="shared" si="29"/>
        <v>17040 SBC : goods packing issue</v>
      </c>
    </row>
    <row r="301" spans="1:40" s="76" customFormat="1" ht="13" hidden="1" x14ac:dyDescent="0.3">
      <c r="A301" s="122" t="e">
        <f>HYPERLINK(#REF!)</f>
        <v>#REF!</v>
      </c>
      <c r="B301" s="116">
        <v>17041</v>
      </c>
      <c r="C301" s="113" t="s">
        <v>8</v>
      </c>
      <c r="D301" s="144">
        <v>42957</v>
      </c>
      <c r="E301" s="118" t="s">
        <v>1162</v>
      </c>
      <c r="F301" s="145" t="s">
        <v>164</v>
      </c>
      <c r="G301" s="111" t="s">
        <v>1163</v>
      </c>
      <c r="H301" s="111" t="s">
        <v>1159</v>
      </c>
      <c r="I301" s="119" t="s">
        <v>2056</v>
      </c>
      <c r="J301" s="113"/>
      <c r="K301" s="118">
        <v>1996</v>
      </c>
      <c r="L301" s="118">
        <v>8759</v>
      </c>
      <c r="M301" s="118" t="s">
        <v>1164</v>
      </c>
      <c r="N301" s="111" t="s">
        <v>1165</v>
      </c>
      <c r="O301" s="111" t="s">
        <v>29</v>
      </c>
      <c r="P301" s="146" t="s">
        <v>86</v>
      </c>
      <c r="Q301" s="111"/>
      <c r="R301" s="111" t="s">
        <v>145</v>
      </c>
      <c r="S301" s="111"/>
      <c r="T301" s="118"/>
      <c r="U301" s="64"/>
      <c r="V301" s="158" t="s">
        <v>6</v>
      </c>
      <c r="W301" s="118" t="s">
        <v>1162</v>
      </c>
      <c r="X301" s="113">
        <v>42957</v>
      </c>
      <c r="Y301" s="117">
        <f t="shared" si="24"/>
        <v>43049</v>
      </c>
      <c r="Z301" s="117">
        <v>43047</v>
      </c>
      <c r="AA301" s="161" t="str">
        <f t="shared" ca="1" si="30"/>
        <v>YES</v>
      </c>
      <c r="AB301" s="113"/>
      <c r="AC301" s="117"/>
      <c r="AD301" s="144"/>
      <c r="AE301" s="144"/>
      <c r="AF301" s="111" t="str">
        <f t="shared" ca="1" si="26"/>
        <v>N/A</v>
      </c>
      <c r="AG301" s="162">
        <v>328.20512820512823</v>
      </c>
      <c r="AH301" s="162">
        <v>33.333333333333314</v>
      </c>
      <c r="AI301" s="164">
        <f t="shared" si="27"/>
        <v>361.53846153846155</v>
      </c>
      <c r="AJ301" s="118"/>
      <c r="AK301" s="113"/>
      <c r="AL301" s="118"/>
      <c r="AM301" s="165" t="str">
        <f t="shared" si="28"/>
        <v>17041 HUATANG</v>
      </c>
      <c r="AN301" s="165" t="str">
        <f t="shared" si="29"/>
        <v>17041 HUATANG : piping issue</v>
      </c>
    </row>
    <row r="302" spans="1:40" s="76" customFormat="1" ht="13" hidden="1" x14ac:dyDescent="0.3">
      <c r="A302" s="122" t="e">
        <f>HYPERLINK(#REF!)</f>
        <v>#REF!</v>
      </c>
      <c r="B302" s="116">
        <v>17042</v>
      </c>
      <c r="C302" s="113" t="s">
        <v>8</v>
      </c>
      <c r="D302" s="144">
        <v>42957</v>
      </c>
      <c r="E302" s="118" t="s">
        <v>1162</v>
      </c>
      <c r="F302" s="145" t="s">
        <v>164</v>
      </c>
      <c r="G302" s="111" t="s">
        <v>1163</v>
      </c>
      <c r="H302" s="111" t="s">
        <v>1159</v>
      </c>
      <c r="I302" s="119" t="s">
        <v>2056</v>
      </c>
      <c r="J302" s="113"/>
      <c r="K302" s="118">
        <v>1996</v>
      </c>
      <c r="L302" s="118">
        <v>8759</v>
      </c>
      <c r="M302" s="118" t="s">
        <v>1164</v>
      </c>
      <c r="N302" s="111" t="s">
        <v>1166</v>
      </c>
      <c r="O302" s="111" t="s">
        <v>29</v>
      </c>
      <c r="P302" s="146" t="s">
        <v>86</v>
      </c>
      <c r="Q302" s="111"/>
      <c r="R302" s="111" t="s">
        <v>145</v>
      </c>
      <c r="S302" s="111"/>
      <c r="T302" s="118"/>
      <c r="U302" s="64"/>
      <c r="V302" s="158" t="s">
        <v>6</v>
      </c>
      <c r="W302" s="118" t="s">
        <v>1162</v>
      </c>
      <c r="X302" s="113">
        <v>42957</v>
      </c>
      <c r="Y302" s="117">
        <f t="shared" si="24"/>
        <v>43049</v>
      </c>
      <c r="Z302" s="117">
        <v>43047</v>
      </c>
      <c r="AA302" s="161" t="str">
        <f t="shared" ca="1" si="30"/>
        <v>YES</v>
      </c>
      <c r="AB302" s="113"/>
      <c r="AC302" s="117"/>
      <c r="AD302" s="144"/>
      <c r="AE302" s="144"/>
      <c r="AF302" s="111" t="str">
        <f t="shared" ca="1" si="26"/>
        <v>N/A</v>
      </c>
      <c r="AG302" s="162">
        <v>492.30769230769232</v>
      </c>
      <c r="AH302" s="162">
        <v>0</v>
      </c>
      <c r="AI302" s="164">
        <f t="shared" si="27"/>
        <v>492.30769230769232</v>
      </c>
      <c r="AJ302" s="118"/>
      <c r="AK302" s="113"/>
      <c r="AL302" s="118"/>
      <c r="AM302" s="165" t="str">
        <f t="shared" si="28"/>
        <v>17042 HUATANG</v>
      </c>
      <c r="AN302" s="165" t="str">
        <f t="shared" si="29"/>
        <v>17042 HUATANG : IEX position and backwashing nozzle issues</v>
      </c>
    </row>
    <row r="303" spans="1:40" s="76" customFormat="1" ht="13" hidden="1" x14ac:dyDescent="0.3">
      <c r="A303" s="122" t="e">
        <f>HYPERLINK(#REF!)</f>
        <v>#REF!</v>
      </c>
      <c r="B303" s="116">
        <v>17043</v>
      </c>
      <c r="C303" s="113" t="s">
        <v>8</v>
      </c>
      <c r="D303" s="144">
        <v>42962</v>
      </c>
      <c r="E303" s="118" t="s">
        <v>1167</v>
      </c>
      <c r="F303" s="145" t="s">
        <v>164</v>
      </c>
      <c r="G303" s="111" t="s">
        <v>1163</v>
      </c>
      <c r="H303" s="111" t="s">
        <v>1168</v>
      </c>
      <c r="I303" s="119" t="s">
        <v>14</v>
      </c>
      <c r="J303" s="113"/>
      <c r="K303" s="118">
        <v>1996</v>
      </c>
      <c r="L303" s="118">
        <v>8759</v>
      </c>
      <c r="M303" s="118" t="s">
        <v>1164</v>
      </c>
      <c r="N303" s="111" t="s">
        <v>1169</v>
      </c>
      <c r="O303" s="111" t="s">
        <v>29</v>
      </c>
      <c r="P303" s="146" t="s">
        <v>86</v>
      </c>
      <c r="Q303" s="111"/>
      <c r="R303" s="111" t="s">
        <v>15</v>
      </c>
      <c r="S303" s="111"/>
      <c r="T303" s="118"/>
      <c r="U303" s="64"/>
      <c r="V303" s="158" t="s">
        <v>6</v>
      </c>
      <c r="W303" s="118" t="s">
        <v>1167</v>
      </c>
      <c r="X303" s="113">
        <v>42962</v>
      </c>
      <c r="Y303" s="117">
        <f t="shared" si="24"/>
        <v>43054</v>
      </c>
      <c r="Z303" s="117">
        <v>43047</v>
      </c>
      <c r="AA303" s="161" t="str">
        <f t="shared" ca="1" si="30"/>
        <v>YES</v>
      </c>
      <c r="AB303" s="113"/>
      <c r="AC303" s="117"/>
      <c r="AD303" s="144"/>
      <c r="AE303" s="144"/>
      <c r="AF303" s="111" t="str">
        <f t="shared" ca="1" si="26"/>
        <v>N/A</v>
      </c>
      <c r="AG303" s="162">
        <v>1148.7179487179487</v>
      </c>
      <c r="AH303" s="162">
        <v>986.15384615384619</v>
      </c>
      <c r="AI303" s="164">
        <f t="shared" si="27"/>
        <v>2134.8717948717949</v>
      </c>
      <c r="AJ303" s="118"/>
      <c r="AK303" s="113"/>
      <c r="AL303" s="118"/>
      <c r="AM303" s="165" t="str">
        <f t="shared" si="28"/>
        <v>17043 HUATANG</v>
      </c>
      <c r="AN303" s="165" t="str">
        <f t="shared" si="29"/>
        <v>17043 HUATANG : MB manhole height issue</v>
      </c>
    </row>
    <row r="304" spans="1:40" s="76" customFormat="1" ht="13" hidden="1" x14ac:dyDescent="0.3">
      <c r="A304" s="122" t="e">
        <f>HYPERLINK(#REF!)</f>
        <v>#REF!</v>
      </c>
      <c r="B304" s="116">
        <v>17044</v>
      </c>
      <c r="C304" s="143" t="s">
        <v>4</v>
      </c>
      <c r="D304" s="144">
        <v>42976</v>
      </c>
      <c r="E304" s="145" t="s">
        <v>1019</v>
      </c>
      <c r="F304" s="145" t="s">
        <v>658</v>
      </c>
      <c r="G304" s="146" t="s">
        <v>1170</v>
      </c>
      <c r="H304" s="146" t="s">
        <v>357</v>
      </c>
      <c r="I304" s="119" t="s">
        <v>5</v>
      </c>
      <c r="J304" s="143"/>
      <c r="K304" s="145"/>
      <c r="L304" s="145" t="s">
        <v>1171</v>
      </c>
      <c r="M304" s="145" t="s">
        <v>359</v>
      </c>
      <c r="N304" s="146" t="s">
        <v>1172</v>
      </c>
      <c r="O304" s="146" t="s">
        <v>28</v>
      </c>
      <c r="P304" s="146" t="s">
        <v>103</v>
      </c>
      <c r="Q304" s="111" t="s">
        <v>176</v>
      </c>
      <c r="R304" s="146" t="s">
        <v>145</v>
      </c>
      <c r="S304" s="146"/>
      <c r="T304" s="145"/>
      <c r="U304" s="72"/>
      <c r="V304" s="158" t="s">
        <v>6</v>
      </c>
      <c r="W304" s="118" t="s">
        <v>1019</v>
      </c>
      <c r="X304" s="143">
        <v>42982</v>
      </c>
      <c r="Y304" s="144">
        <f t="shared" si="24"/>
        <v>43068</v>
      </c>
      <c r="Z304" s="144">
        <v>43144</v>
      </c>
      <c r="AA304" s="161" t="str">
        <f t="shared" ca="1" si="30"/>
        <v>NO</v>
      </c>
      <c r="AB304" s="113"/>
      <c r="AC304" s="144">
        <v>42888</v>
      </c>
      <c r="AD304" s="117">
        <v>43069</v>
      </c>
      <c r="AE304" s="144">
        <v>43144</v>
      </c>
      <c r="AF304" s="146" t="str">
        <f t="shared" ca="1" si="26"/>
        <v>NO</v>
      </c>
      <c r="AG304" s="183">
        <v>10642</v>
      </c>
      <c r="AH304" s="183">
        <v>2600</v>
      </c>
      <c r="AI304" s="164">
        <f t="shared" si="27"/>
        <v>13242</v>
      </c>
      <c r="AJ304" s="182" t="s">
        <v>6</v>
      </c>
      <c r="AK304" s="113">
        <v>43411</v>
      </c>
      <c r="AL304" s="145"/>
      <c r="AM304" s="184" t="str">
        <f t="shared" si="28"/>
        <v>17044 ARIAS</v>
      </c>
      <c r="AN304" s="184" t="str">
        <f t="shared" si="29"/>
        <v>17044 ARIAS : proteins loss higher than our guarantees</v>
      </c>
    </row>
    <row r="305" spans="1:40" s="76" customFormat="1" ht="13" hidden="1" x14ac:dyDescent="0.3">
      <c r="A305" s="122" t="e">
        <f>HYPERLINK(#REF!)</f>
        <v>#REF!</v>
      </c>
      <c r="B305" s="116">
        <v>17045</v>
      </c>
      <c r="C305" s="143" t="s">
        <v>4</v>
      </c>
      <c r="D305" s="144">
        <v>42984</v>
      </c>
      <c r="E305" s="145" t="s">
        <v>577</v>
      </c>
      <c r="F305" s="145" t="s">
        <v>691</v>
      </c>
      <c r="G305" s="146" t="s">
        <v>340</v>
      </c>
      <c r="H305" s="146"/>
      <c r="I305" s="119" t="s">
        <v>2058</v>
      </c>
      <c r="J305" s="143"/>
      <c r="K305" s="145">
        <v>2014</v>
      </c>
      <c r="L305" s="145">
        <v>10416</v>
      </c>
      <c r="M305" s="118" t="s">
        <v>454</v>
      </c>
      <c r="N305" s="146" t="s">
        <v>1173</v>
      </c>
      <c r="O305" s="146" t="s">
        <v>691</v>
      </c>
      <c r="P305" s="111" t="s">
        <v>86</v>
      </c>
      <c r="Q305" s="146"/>
      <c r="R305" s="111" t="s">
        <v>15</v>
      </c>
      <c r="S305" s="111"/>
      <c r="T305" s="145"/>
      <c r="U305" s="72"/>
      <c r="V305" s="158" t="s">
        <v>6</v>
      </c>
      <c r="W305" s="118" t="s">
        <v>153</v>
      </c>
      <c r="X305" s="143">
        <v>43026</v>
      </c>
      <c r="Y305" s="144">
        <f t="shared" si="24"/>
        <v>43075</v>
      </c>
      <c r="Z305" s="144">
        <v>43671</v>
      </c>
      <c r="AA305" s="161" t="str">
        <f t="shared" ca="1" si="30"/>
        <v>NO</v>
      </c>
      <c r="AB305" s="113"/>
      <c r="AC305" s="144"/>
      <c r="AD305" s="144"/>
      <c r="AE305" s="144"/>
      <c r="AF305" s="146" t="str">
        <f t="shared" ca="1" si="26"/>
        <v>N/A</v>
      </c>
      <c r="AG305" s="183">
        <v>595</v>
      </c>
      <c r="AH305" s="183">
        <v>0</v>
      </c>
      <c r="AI305" s="164">
        <f t="shared" si="27"/>
        <v>595</v>
      </c>
      <c r="AJ305" s="182" t="s">
        <v>454</v>
      </c>
      <c r="AK305" s="113" t="s">
        <v>454</v>
      </c>
      <c r="AL305" s="145"/>
      <c r="AM305" s="184" t="str">
        <f t="shared" si="28"/>
        <v>17045 AGRANA</v>
      </c>
      <c r="AN305" s="184" t="str">
        <f t="shared" si="29"/>
        <v>17045 AGRANA : discomfort on customer site</v>
      </c>
    </row>
    <row r="306" spans="1:40" s="76" customFormat="1" ht="13" hidden="1" x14ac:dyDescent="0.3">
      <c r="A306" s="122" t="e">
        <f>HYPERLINK(#REF!)</f>
        <v>#REF!</v>
      </c>
      <c r="B306" s="116">
        <v>17046</v>
      </c>
      <c r="C306" s="143" t="s">
        <v>4</v>
      </c>
      <c r="D306" s="144">
        <v>42985</v>
      </c>
      <c r="E306" s="145" t="s">
        <v>116</v>
      </c>
      <c r="F306" s="145" t="s">
        <v>164</v>
      </c>
      <c r="G306" s="146" t="s">
        <v>1014</v>
      </c>
      <c r="H306" s="146" t="s">
        <v>357</v>
      </c>
      <c r="I306" s="119" t="s">
        <v>5</v>
      </c>
      <c r="J306" s="143"/>
      <c r="K306" s="145">
        <v>2026</v>
      </c>
      <c r="L306" s="145">
        <v>11244</v>
      </c>
      <c r="M306" s="145" t="s">
        <v>338</v>
      </c>
      <c r="N306" s="146" t="s">
        <v>1174</v>
      </c>
      <c r="O306" s="146" t="s">
        <v>29</v>
      </c>
      <c r="P306" s="146" t="s">
        <v>86</v>
      </c>
      <c r="Q306" s="111" t="s">
        <v>916</v>
      </c>
      <c r="R306" s="146" t="s">
        <v>145</v>
      </c>
      <c r="S306" s="231"/>
      <c r="T306" s="122" t="s">
        <v>357</v>
      </c>
      <c r="U306" s="72"/>
      <c r="V306" s="158" t="s">
        <v>6</v>
      </c>
      <c r="W306" s="145" t="s">
        <v>82</v>
      </c>
      <c r="X306" s="143">
        <v>42989</v>
      </c>
      <c r="Y306" s="144">
        <f t="shared" si="24"/>
        <v>43076</v>
      </c>
      <c r="Z306" s="144">
        <v>43091</v>
      </c>
      <c r="AA306" s="161" t="str">
        <f t="shared" ref="AA306:AA337" ca="1" si="31">IF(Z306="",IF(TODAY()&gt;Y306,"NO","YES"),IF(Z306&gt;Y306,"NO",IF(Z306&lt;Y306,"YES",IF(Y306=Z306,"YES","N/A"))))</f>
        <v>NO</v>
      </c>
      <c r="AB306" s="113"/>
      <c r="AC306" s="144">
        <v>42989</v>
      </c>
      <c r="AD306" s="144">
        <v>43100</v>
      </c>
      <c r="AE306" s="144">
        <v>43091</v>
      </c>
      <c r="AF306" s="111" t="str">
        <f t="shared" ca="1" si="26"/>
        <v>YES</v>
      </c>
      <c r="AG306" s="162">
        <v>21590</v>
      </c>
      <c r="AH306" s="162">
        <v>96313</v>
      </c>
      <c r="AI306" s="164">
        <f t="shared" si="27"/>
        <v>117903</v>
      </c>
      <c r="AJ306" s="182" t="s">
        <v>10</v>
      </c>
      <c r="AK306" s="113">
        <v>43164</v>
      </c>
      <c r="AL306" s="118" t="s">
        <v>1175</v>
      </c>
      <c r="AM306" s="184" t="str">
        <f t="shared" si="28"/>
        <v>17046 Biospringer</v>
      </c>
      <c r="AN306" s="184" t="str">
        <f t="shared" si="29"/>
        <v>17046 Biospringer : Breakage of Kerasep membranes</v>
      </c>
    </row>
    <row r="307" spans="1:40" s="76" customFormat="1" ht="13" hidden="1" x14ac:dyDescent="0.3">
      <c r="A307" s="122" t="e">
        <f>HYPERLINK(#REF!)</f>
        <v>#REF!</v>
      </c>
      <c r="B307" s="116">
        <v>17047</v>
      </c>
      <c r="C307" s="143" t="s">
        <v>4</v>
      </c>
      <c r="D307" s="144">
        <v>42985</v>
      </c>
      <c r="E307" s="145" t="s">
        <v>116</v>
      </c>
      <c r="F307" s="145" t="s">
        <v>164</v>
      </c>
      <c r="G307" s="146" t="s">
        <v>1014</v>
      </c>
      <c r="H307" s="146"/>
      <c r="I307" s="119" t="s">
        <v>2057</v>
      </c>
      <c r="J307" s="143"/>
      <c r="K307" s="145">
        <v>2026</v>
      </c>
      <c r="L307" s="145">
        <v>11244</v>
      </c>
      <c r="M307" s="145" t="s">
        <v>338</v>
      </c>
      <c r="N307" s="111" t="s">
        <v>1176</v>
      </c>
      <c r="O307" s="146" t="s">
        <v>29</v>
      </c>
      <c r="P307" s="146" t="s">
        <v>86</v>
      </c>
      <c r="Q307" s="111" t="s">
        <v>916</v>
      </c>
      <c r="R307" s="111" t="s">
        <v>12</v>
      </c>
      <c r="S307" s="111"/>
      <c r="T307" s="145"/>
      <c r="U307" s="72"/>
      <c r="V307" s="158" t="s">
        <v>10</v>
      </c>
      <c r="W307" s="145"/>
      <c r="X307" s="143"/>
      <c r="Y307" s="144">
        <f t="shared" si="24"/>
        <v>43076</v>
      </c>
      <c r="Z307" s="144">
        <v>43056</v>
      </c>
      <c r="AA307" s="161" t="str">
        <f t="shared" ca="1" si="31"/>
        <v>YES</v>
      </c>
      <c r="AB307" s="113"/>
      <c r="AC307" s="144"/>
      <c r="AD307" s="144"/>
      <c r="AE307" s="144"/>
      <c r="AF307" s="146" t="str">
        <f t="shared" ca="1" si="26"/>
        <v>N/A</v>
      </c>
      <c r="AG307" s="183">
        <v>850</v>
      </c>
      <c r="AH307" s="183">
        <v>585</v>
      </c>
      <c r="AI307" s="164">
        <f t="shared" si="27"/>
        <v>1435</v>
      </c>
      <c r="AJ307" s="182" t="s">
        <v>6</v>
      </c>
      <c r="AK307" s="113">
        <v>43412</v>
      </c>
      <c r="AL307" s="145"/>
      <c r="AM307" s="184" t="str">
        <f t="shared" si="28"/>
        <v>17047 Biospringer</v>
      </c>
      <c r="AN307" s="184" t="str">
        <f t="shared" si="29"/>
        <v>17047 Biospringer : CIP Filter damaged by tartar</v>
      </c>
    </row>
    <row r="308" spans="1:40" s="76" customFormat="1" ht="13" hidden="1" x14ac:dyDescent="0.3">
      <c r="A308" s="122" t="e">
        <f>HYPERLINK(#REF!)</f>
        <v>#REF!</v>
      </c>
      <c r="B308" s="116">
        <v>17048</v>
      </c>
      <c r="C308" s="113" t="s">
        <v>8</v>
      </c>
      <c r="D308" s="144">
        <v>42983</v>
      </c>
      <c r="E308" s="118" t="s">
        <v>1177</v>
      </c>
      <c r="F308" s="145" t="s">
        <v>164</v>
      </c>
      <c r="G308" s="111" t="s">
        <v>1178</v>
      </c>
      <c r="H308" s="111" t="s">
        <v>1179</v>
      </c>
      <c r="I308" s="119" t="s">
        <v>14</v>
      </c>
      <c r="J308" s="113"/>
      <c r="K308" s="118" t="s">
        <v>1180</v>
      </c>
      <c r="L308" s="118">
        <v>7838</v>
      </c>
      <c r="M308" s="118" t="s">
        <v>1181</v>
      </c>
      <c r="N308" s="111" t="s">
        <v>1182</v>
      </c>
      <c r="O308" s="146" t="s">
        <v>29</v>
      </c>
      <c r="P308" s="111" t="s">
        <v>103</v>
      </c>
      <c r="Q308" s="111"/>
      <c r="R308" s="146" t="s">
        <v>145</v>
      </c>
      <c r="S308" s="146"/>
      <c r="T308" s="118"/>
      <c r="U308" s="64"/>
      <c r="V308" s="158" t="s">
        <v>6</v>
      </c>
      <c r="W308" s="118" t="s">
        <v>1177</v>
      </c>
      <c r="X308" s="113">
        <v>42983</v>
      </c>
      <c r="Y308" s="117">
        <f t="shared" si="24"/>
        <v>43074</v>
      </c>
      <c r="Z308" s="117">
        <v>43140</v>
      </c>
      <c r="AA308" s="161" t="str">
        <f t="shared" ca="1" si="31"/>
        <v>NO</v>
      </c>
      <c r="AB308" s="113"/>
      <c r="AC308" s="117"/>
      <c r="AD308" s="144"/>
      <c r="AE308" s="144"/>
      <c r="AF308" s="111" t="str">
        <f t="shared" ca="1" si="26"/>
        <v>N/A</v>
      </c>
      <c r="AG308" s="162">
        <v>0</v>
      </c>
      <c r="AH308" s="162">
        <v>0</v>
      </c>
      <c r="AI308" s="164">
        <f t="shared" si="27"/>
        <v>0</v>
      </c>
      <c r="AJ308" s="118"/>
      <c r="AK308" s="113"/>
      <c r="AL308" s="118"/>
      <c r="AM308" s="165" t="str">
        <f t="shared" si="28"/>
        <v>17048 YIXING</v>
      </c>
      <c r="AN308" s="165" t="str">
        <f t="shared" si="29"/>
        <v>17048 YIXING : strainer material is wrong</v>
      </c>
    </row>
    <row r="309" spans="1:40" s="76" customFormat="1" ht="13" hidden="1" x14ac:dyDescent="0.3">
      <c r="A309" s="122" t="e">
        <f>HYPERLINK(#REF!)</f>
        <v>#REF!</v>
      </c>
      <c r="B309" s="116">
        <v>17049</v>
      </c>
      <c r="C309" s="113" t="s">
        <v>8</v>
      </c>
      <c r="D309" s="144">
        <v>42992</v>
      </c>
      <c r="E309" s="118" t="s">
        <v>1140</v>
      </c>
      <c r="F309" s="145" t="s">
        <v>164</v>
      </c>
      <c r="G309" s="111" t="s">
        <v>1183</v>
      </c>
      <c r="H309" s="111" t="s">
        <v>1184</v>
      </c>
      <c r="I309" s="119" t="s">
        <v>2056</v>
      </c>
      <c r="J309" s="113"/>
      <c r="K309" s="118">
        <v>2015</v>
      </c>
      <c r="L309" s="118">
        <v>11722</v>
      </c>
      <c r="M309" s="118" t="s">
        <v>1185</v>
      </c>
      <c r="N309" s="111" t="s">
        <v>1186</v>
      </c>
      <c r="O309" s="146" t="s">
        <v>29</v>
      </c>
      <c r="P309" s="146" t="s">
        <v>86</v>
      </c>
      <c r="Q309" s="111"/>
      <c r="R309" s="146" t="s">
        <v>145</v>
      </c>
      <c r="S309" s="146"/>
      <c r="T309" s="118"/>
      <c r="U309" s="64"/>
      <c r="V309" s="158" t="s">
        <v>6</v>
      </c>
      <c r="W309" s="118" t="s">
        <v>621</v>
      </c>
      <c r="X309" s="113">
        <v>42992</v>
      </c>
      <c r="Y309" s="117">
        <f t="shared" si="24"/>
        <v>43083</v>
      </c>
      <c r="Z309" s="117">
        <v>43056</v>
      </c>
      <c r="AA309" s="161" t="str">
        <f t="shared" ca="1" si="31"/>
        <v>YES</v>
      </c>
      <c r="AB309" s="113"/>
      <c r="AC309" s="117"/>
      <c r="AD309" s="144"/>
      <c r="AE309" s="144"/>
      <c r="AF309" s="111" t="str">
        <f t="shared" ca="1" si="26"/>
        <v>N/A</v>
      </c>
      <c r="AG309" s="162">
        <v>1641.0256410256411</v>
      </c>
      <c r="AH309" s="162">
        <v>512.82051282051282</v>
      </c>
      <c r="AI309" s="164">
        <f t="shared" si="27"/>
        <v>2153.8461538461538</v>
      </c>
      <c r="AJ309" s="118"/>
      <c r="AK309" s="113"/>
      <c r="AL309" s="118"/>
      <c r="AM309" s="165" t="str">
        <f t="shared" si="28"/>
        <v>17049 RZBC2</v>
      </c>
      <c r="AN309" s="165" t="str">
        <f t="shared" si="29"/>
        <v>17049 RZBC2 : The program is not completed</v>
      </c>
    </row>
    <row r="310" spans="1:40" s="76" customFormat="1" ht="13" hidden="1" x14ac:dyDescent="0.3">
      <c r="A310" s="122" t="e">
        <f>HYPERLINK(#REF!)</f>
        <v>#REF!</v>
      </c>
      <c r="B310" s="116">
        <v>17050</v>
      </c>
      <c r="C310" s="143" t="s">
        <v>4</v>
      </c>
      <c r="D310" s="144">
        <v>43010</v>
      </c>
      <c r="E310" s="145" t="s">
        <v>1009</v>
      </c>
      <c r="F310" s="145" t="s">
        <v>164</v>
      </c>
      <c r="G310" s="146" t="s">
        <v>1187</v>
      </c>
      <c r="H310" s="146" t="s">
        <v>1041</v>
      </c>
      <c r="I310" s="119" t="s">
        <v>2057</v>
      </c>
      <c r="J310" s="143"/>
      <c r="K310" s="145">
        <v>2032</v>
      </c>
      <c r="L310" s="145">
        <v>12519</v>
      </c>
      <c r="M310" s="145" t="s">
        <v>13</v>
      </c>
      <c r="N310" s="111" t="s">
        <v>1188</v>
      </c>
      <c r="O310" s="146" t="s">
        <v>29</v>
      </c>
      <c r="P310" s="146" t="s">
        <v>86</v>
      </c>
      <c r="Q310" s="111" t="s">
        <v>510</v>
      </c>
      <c r="R310" s="146" t="s">
        <v>9</v>
      </c>
      <c r="S310" s="146"/>
      <c r="T310" s="145"/>
      <c r="U310" s="72"/>
      <c r="V310" s="158" t="s">
        <v>10</v>
      </c>
      <c r="W310" s="145"/>
      <c r="X310" s="143"/>
      <c r="Y310" s="117">
        <f t="shared" si="24"/>
        <v>43102</v>
      </c>
      <c r="Z310" s="144">
        <v>43083</v>
      </c>
      <c r="AA310" s="161" t="str">
        <f t="shared" ca="1" si="31"/>
        <v>YES</v>
      </c>
      <c r="AB310" s="113"/>
      <c r="AC310" s="144"/>
      <c r="AD310" s="144"/>
      <c r="AE310" s="144"/>
      <c r="AF310" s="146" t="str">
        <f t="shared" ca="1" si="26"/>
        <v>N/A</v>
      </c>
      <c r="AG310" s="183">
        <v>255</v>
      </c>
      <c r="AH310" s="183">
        <v>0</v>
      </c>
      <c r="AI310" s="164">
        <f t="shared" si="27"/>
        <v>255</v>
      </c>
      <c r="AJ310" s="182" t="s">
        <v>10</v>
      </c>
      <c r="AK310" s="113">
        <v>43530</v>
      </c>
      <c r="AL310" s="118" t="s">
        <v>1189</v>
      </c>
      <c r="AM310" s="184" t="str">
        <f t="shared" si="28"/>
        <v>17050 Cargill Manchester</v>
      </c>
      <c r="AN310" s="184" t="str">
        <f t="shared" si="29"/>
        <v>17050 Cargill Manchester : Management of gravel supply</v>
      </c>
    </row>
    <row r="311" spans="1:40" s="76" customFormat="1" ht="13" hidden="1" x14ac:dyDescent="0.3">
      <c r="A311" s="122" t="e">
        <f>HYPERLINK(#REF!)</f>
        <v>#REF!</v>
      </c>
      <c r="B311" s="116">
        <v>17051</v>
      </c>
      <c r="C311" s="113" t="s">
        <v>8</v>
      </c>
      <c r="D311" s="144">
        <v>43017</v>
      </c>
      <c r="E311" s="118" t="s">
        <v>1190</v>
      </c>
      <c r="F311" s="145" t="s">
        <v>164</v>
      </c>
      <c r="G311" s="111" t="s">
        <v>1191</v>
      </c>
      <c r="H311" s="111"/>
      <c r="I311" s="119" t="s">
        <v>2058</v>
      </c>
      <c r="J311" s="70"/>
      <c r="K311" s="118">
        <v>2027</v>
      </c>
      <c r="L311" s="118">
        <v>11432</v>
      </c>
      <c r="M311" s="118" t="s">
        <v>1181</v>
      </c>
      <c r="N311" s="111" t="s">
        <v>1192</v>
      </c>
      <c r="O311" s="146" t="s">
        <v>29</v>
      </c>
      <c r="P311" s="146" t="s">
        <v>86</v>
      </c>
      <c r="Q311" s="70"/>
      <c r="R311" s="146" t="s">
        <v>145</v>
      </c>
      <c r="S311" s="146"/>
      <c r="T311" s="70"/>
      <c r="U311" s="70"/>
      <c r="V311" s="158" t="s">
        <v>6</v>
      </c>
      <c r="W311" s="118" t="s">
        <v>1190</v>
      </c>
      <c r="X311" s="113">
        <v>43023</v>
      </c>
      <c r="Y311" s="117">
        <f t="shared" si="24"/>
        <v>43109</v>
      </c>
      <c r="Z311" s="144">
        <v>43118</v>
      </c>
      <c r="AA311" s="161" t="str">
        <f t="shared" ca="1" si="31"/>
        <v>NO</v>
      </c>
      <c r="AB311" s="113"/>
      <c r="AC311" s="70"/>
      <c r="AD311" s="144"/>
      <c r="AE311" s="144"/>
      <c r="AF311" s="70" t="str">
        <f t="shared" ca="1" si="26"/>
        <v>N/A</v>
      </c>
      <c r="AG311" s="185">
        <v>0</v>
      </c>
      <c r="AH311" s="185">
        <v>0</v>
      </c>
      <c r="AI311" s="186">
        <f t="shared" si="27"/>
        <v>0</v>
      </c>
      <c r="AJ311" s="70"/>
      <c r="AK311" s="70"/>
      <c r="AL311" s="70"/>
      <c r="AM311" s="184" t="str">
        <f t="shared" si="28"/>
        <v>17051 Fufeng</v>
      </c>
      <c r="AN311" s="184" t="str">
        <f t="shared" si="29"/>
        <v>17051 Fufeng : Hose broken,  Jeff burn by hot water and resin</v>
      </c>
    </row>
    <row r="312" spans="1:40" s="76" customFormat="1" ht="14.5" hidden="1" x14ac:dyDescent="0.35">
      <c r="A312" s="122" t="e">
        <f>HYPERLINK(#REF!)</f>
        <v>#REF!</v>
      </c>
      <c r="B312" s="116">
        <v>17052</v>
      </c>
      <c r="C312" s="113" t="s">
        <v>1193</v>
      </c>
      <c r="D312" s="144">
        <v>43027</v>
      </c>
      <c r="E312" s="118" t="s">
        <v>1162</v>
      </c>
      <c r="F312" s="145" t="s">
        <v>164</v>
      </c>
      <c r="G312" s="111" t="s">
        <v>1194</v>
      </c>
      <c r="H312" s="147" t="s">
        <v>1195</v>
      </c>
      <c r="I312" s="119" t="s">
        <v>14</v>
      </c>
      <c r="J312" s="70"/>
      <c r="K312" s="118">
        <v>2029</v>
      </c>
      <c r="L312" s="118">
        <v>9801</v>
      </c>
      <c r="M312" s="118" t="s">
        <v>1164</v>
      </c>
      <c r="N312" s="147" t="s">
        <v>1196</v>
      </c>
      <c r="O312" s="146" t="s">
        <v>29</v>
      </c>
      <c r="P312" s="146" t="s">
        <v>86</v>
      </c>
      <c r="Q312" s="70"/>
      <c r="R312" s="146" t="s">
        <v>9</v>
      </c>
      <c r="S312" s="146"/>
      <c r="T312" s="70"/>
      <c r="U312" s="70"/>
      <c r="V312" s="158" t="s">
        <v>6</v>
      </c>
      <c r="W312" s="118" t="s">
        <v>1162</v>
      </c>
      <c r="X312" s="113">
        <v>43056</v>
      </c>
      <c r="Y312" s="117">
        <f t="shared" si="24"/>
        <v>43119</v>
      </c>
      <c r="Z312" s="144">
        <v>43105</v>
      </c>
      <c r="AA312" s="161" t="str">
        <f t="shared" ca="1" si="31"/>
        <v>YES</v>
      </c>
      <c r="AB312" s="113"/>
      <c r="AC312" s="70"/>
      <c r="AD312" s="144"/>
      <c r="AE312" s="144"/>
      <c r="AF312" s="70" t="str">
        <f t="shared" ca="1" si="26"/>
        <v>N/A</v>
      </c>
      <c r="AG312" s="185">
        <v>0</v>
      </c>
      <c r="AH312" s="185">
        <v>0</v>
      </c>
      <c r="AI312" s="186">
        <f t="shared" si="27"/>
        <v>0</v>
      </c>
      <c r="AJ312" s="70"/>
      <c r="AK312" s="70"/>
      <c r="AL312" s="70"/>
      <c r="AM312" s="184" t="str">
        <f t="shared" si="28"/>
        <v>17052 YINMORE</v>
      </c>
      <c r="AN312" s="184" t="str">
        <f t="shared" si="29"/>
        <v>17052 YINMORE : The nozzle plate was not oriented at the right angle</v>
      </c>
    </row>
    <row r="313" spans="1:40" s="76" customFormat="1" ht="14.5" hidden="1" x14ac:dyDescent="0.35">
      <c r="A313" s="122" t="e">
        <f>HYPERLINK(#REF!)</f>
        <v>#REF!</v>
      </c>
      <c r="B313" s="116">
        <v>17053</v>
      </c>
      <c r="C313" s="113" t="s">
        <v>1193</v>
      </c>
      <c r="D313" s="144">
        <v>43039</v>
      </c>
      <c r="E313" s="118" t="s">
        <v>1197</v>
      </c>
      <c r="F313" s="145" t="s">
        <v>164</v>
      </c>
      <c r="G313" s="111" t="s">
        <v>1136</v>
      </c>
      <c r="H313" s="111" t="s">
        <v>1198</v>
      </c>
      <c r="I313" s="119" t="s">
        <v>14</v>
      </c>
      <c r="J313" s="70"/>
      <c r="K313" s="118">
        <v>2046</v>
      </c>
      <c r="L313" s="118">
        <v>13011</v>
      </c>
      <c r="M313" s="147" t="s">
        <v>1199</v>
      </c>
      <c r="N313" s="111" t="s">
        <v>1200</v>
      </c>
      <c r="O313" s="146" t="s">
        <v>29</v>
      </c>
      <c r="P313" s="146" t="s">
        <v>86</v>
      </c>
      <c r="Q313" s="70"/>
      <c r="R313" s="111" t="s">
        <v>15</v>
      </c>
      <c r="S313" s="111"/>
      <c r="T313" s="70"/>
      <c r="U313" s="70"/>
      <c r="V313" s="158" t="s">
        <v>6</v>
      </c>
      <c r="W313" s="118" t="s">
        <v>1197</v>
      </c>
      <c r="X313" s="113">
        <v>43054</v>
      </c>
      <c r="Y313" s="117">
        <f t="shared" si="24"/>
        <v>43131</v>
      </c>
      <c r="Z313" s="117">
        <v>43069</v>
      </c>
      <c r="AA313" s="161" t="str">
        <f t="shared" ca="1" si="31"/>
        <v>YES</v>
      </c>
      <c r="AB313" s="113"/>
      <c r="AC313" s="70"/>
      <c r="AD313" s="144"/>
      <c r="AE313" s="144"/>
      <c r="AF313" s="70" t="str">
        <f t="shared" ca="1" si="26"/>
        <v>N/A</v>
      </c>
      <c r="AG313" s="185">
        <v>0</v>
      </c>
      <c r="AH313" s="185">
        <v>0</v>
      </c>
      <c r="AI313" s="186">
        <f t="shared" si="27"/>
        <v>0</v>
      </c>
      <c r="AJ313" s="70"/>
      <c r="AK313" s="70"/>
      <c r="AL313" s="70"/>
      <c r="AM313" s="165" t="str">
        <f t="shared" si="28"/>
        <v>17053 FUFENG</v>
      </c>
      <c r="AN313" s="165" t="str">
        <f t="shared" si="29"/>
        <v>17053 FUFENG : The name plate of HE is wrong</v>
      </c>
    </row>
    <row r="314" spans="1:40" s="76" customFormat="1" ht="14.5" hidden="1" x14ac:dyDescent="0.35">
      <c r="A314" s="122" t="e">
        <f>HYPERLINK(#REF!)</f>
        <v>#REF!</v>
      </c>
      <c r="B314" s="116">
        <v>17054</v>
      </c>
      <c r="C314" s="113" t="s">
        <v>4</v>
      </c>
      <c r="D314" s="144">
        <v>43041</v>
      </c>
      <c r="E314" s="118" t="s">
        <v>82</v>
      </c>
      <c r="F314" s="145" t="s">
        <v>658</v>
      </c>
      <c r="G314" s="111" t="s">
        <v>1201</v>
      </c>
      <c r="H314" s="111" t="s">
        <v>1202</v>
      </c>
      <c r="I314" s="119" t="s">
        <v>2056</v>
      </c>
      <c r="J314" s="70" t="s">
        <v>6</v>
      </c>
      <c r="K314" s="118">
        <v>2044</v>
      </c>
      <c r="L314" s="118">
        <v>13042</v>
      </c>
      <c r="M314" s="147" t="s">
        <v>11</v>
      </c>
      <c r="N314" s="111" t="s">
        <v>1092</v>
      </c>
      <c r="O314" s="146" t="s">
        <v>28</v>
      </c>
      <c r="P314" s="146" t="s">
        <v>103</v>
      </c>
      <c r="Q314" s="70" t="s">
        <v>1093</v>
      </c>
      <c r="R314" s="111" t="s">
        <v>145</v>
      </c>
      <c r="S314" s="140"/>
      <c r="T314" s="148" t="s">
        <v>1203</v>
      </c>
      <c r="U314" s="70"/>
      <c r="V314" s="158" t="s">
        <v>10</v>
      </c>
      <c r="W314" s="118"/>
      <c r="X314" s="113"/>
      <c r="Y314" s="117">
        <f t="shared" si="24"/>
        <v>43133</v>
      </c>
      <c r="Z314" s="187">
        <v>43214</v>
      </c>
      <c r="AA314" s="161" t="str">
        <f t="shared" ca="1" si="31"/>
        <v>NO</v>
      </c>
      <c r="AB314" s="113"/>
      <c r="AC314" s="70"/>
      <c r="AD314" s="144"/>
      <c r="AE314" s="144"/>
      <c r="AF314" s="70" t="str">
        <f t="shared" ca="1" si="26"/>
        <v>N/A</v>
      </c>
      <c r="AG314" s="185">
        <v>7712</v>
      </c>
      <c r="AH314" s="185">
        <v>7014</v>
      </c>
      <c r="AI314" s="186">
        <f t="shared" si="27"/>
        <v>14726</v>
      </c>
      <c r="AJ314" s="182" t="s">
        <v>6</v>
      </c>
      <c r="AK314" s="113">
        <v>43413</v>
      </c>
      <c r="AL314" s="70"/>
      <c r="AM314" s="165" t="str">
        <f t="shared" si="28"/>
        <v>17054 TAT Nisasta</v>
      </c>
      <c r="AN314" s="165" t="str">
        <f t="shared" si="29"/>
        <v>17054 TAT Nisasta : resin delivery delay</v>
      </c>
    </row>
    <row r="315" spans="1:40" s="76" customFormat="1" ht="14.5" hidden="1" x14ac:dyDescent="0.35">
      <c r="A315" s="122" t="e">
        <f>HYPERLINK(#REF!)</f>
        <v>#REF!</v>
      </c>
      <c r="B315" s="116">
        <v>17055</v>
      </c>
      <c r="C315" s="113" t="s">
        <v>4</v>
      </c>
      <c r="D315" s="144">
        <v>43045</v>
      </c>
      <c r="E315" s="118" t="s">
        <v>951</v>
      </c>
      <c r="F315" s="145" t="s">
        <v>420</v>
      </c>
      <c r="G315" s="111" t="s">
        <v>416</v>
      </c>
      <c r="H315" s="111" t="s">
        <v>309</v>
      </c>
      <c r="I315" s="119" t="s">
        <v>2056</v>
      </c>
      <c r="J315" s="70" t="s">
        <v>6</v>
      </c>
      <c r="K315" s="118">
        <v>2024</v>
      </c>
      <c r="L315" s="118">
        <v>10065</v>
      </c>
      <c r="M315" s="147" t="s">
        <v>11</v>
      </c>
      <c r="N315" s="111" t="s">
        <v>1101</v>
      </c>
      <c r="O315" s="146" t="s">
        <v>28</v>
      </c>
      <c r="P315" s="146" t="s">
        <v>103</v>
      </c>
      <c r="Q315" s="70" t="s">
        <v>1093</v>
      </c>
      <c r="R315" s="111" t="s">
        <v>145</v>
      </c>
      <c r="S315" s="111"/>
      <c r="T315" s="112" t="s">
        <v>309</v>
      </c>
      <c r="U315" s="70"/>
      <c r="V315" s="158" t="s">
        <v>10</v>
      </c>
      <c r="W315" s="118"/>
      <c r="X315" s="113"/>
      <c r="Y315" s="117">
        <f t="shared" si="24"/>
        <v>43137</v>
      </c>
      <c r="Z315" s="187">
        <v>43185</v>
      </c>
      <c r="AA315" s="161" t="str">
        <f t="shared" ca="1" si="31"/>
        <v>NO</v>
      </c>
      <c r="AB315" s="113"/>
      <c r="AC315" s="70"/>
      <c r="AD315" s="144"/>
      <c r="AE315" s="144"/>
      <c r="AF315" s="70" t="str">
        <f t="shared" ca="1" si="26"/>
        <v>N/A</v>
      </c>
      <c r="AG315" s="185">
        <v>28634</v>
      </c>
      <c r="AH315" s="185">
        <v>29419</v>
      </c>
      <c r="AI315" s="186">
        <f t="shared" si="27"/>
        <v>58053</v>
      </c>
      <c r="AJ315" s="182" t="s">
        <v>6</v>
      </c>
      <c r="AK315" s="187">
        <v>43411</v>
      </c>
      <c r="AL315" s="70"/>
      <c r="AM315" s="165" t="str">
        <f t="shared" si="28"/>
        <v>17055 VITALUS</v>
      </c>
      <c r="AN315" s="165" t="str">
        <f t="shared" si="29"/>
        <v>17055 VITALUS : resin doesn't in accordance with FDA requirements</v>
      </c>
    </row>
    <row r="316" spans="1:40" s="76" customFormat="1" ht="14.5" hidden="1" x14ac:dyDescent="0.35">
      <c r="A316" s="122" t="e">
        <f>HYPERLINK(#REF!)</f>
        <v>#REF!</v>
      </c>
      <c r="B316" s="116">
        <v>17056</v>
      </c>
      <c r="C316" s="113" t="s">
        <v>1193</v>
      </c>
      <c r="D316" s="117">
        <v>43069</v>
      </c>
      <c r="E316" s="118" t="s">
        <v>1167</v>
      </c>
      <c r="F316" s="145" t="s">
        <v>164</v>
      </c>
      <c r="G316" s="111" t="s">
        <v>1136</v>
      </c>
      <c r="H316" s="111" t="s">
        <v>1204</v>
      </c>
      <c r="I316" s="119" t="s">
        <v>5</v>
      </c>
      <c r="J316" s="70"/>
      <c r="K316" s="118">
        <v>2025</v>
      </c>
      <c r="L316" s="118">
        <v>11291</v>
      </c>
      <c r="M316" s="147" t="s">
        <v>1181</v>
      </c>
      <c r="N316" s="111" t="s">
        <v>1205</v>
      </c>
      <c r="O316" s="111" t="s">
        <v>29</v>
      </c>
      <c r="P316" s="146" t="s">
        <v>86</v>
      </c>
      <c r="Q316" s="70"/>
      <c r="R316" s="111" t="s">
        <v>145</v>
      </c>
      <c r="S316" s="111"/>
      <c r="T316" s="70"/>
      <c r="U316" s="70"/>
      <c r="V316" s="158" t="s">
        <v>6</v>
      </c>
      <c r="W316" s="118" t="s">
        <v>1135</v>
      </c>
      <c r="X316" s="113">
        <v>43054</v>
      </c>
      <c r="Y316" s="117">
        <f t="shared" si="24"/>
        <v>43159</v>
      </c>
      <c r="Z316" s="144">
        <v>43133</v>
      </c>
      <c r="AA316" s="161" t="str">
        <f t="shared" ca="1" si="31"/>
        <v>YES</v>
      </c>
      <c r="AB316" s="113"/>
      <c r="AC316" s="117">
        <v>43046</v>
      </c>
      <c r="AD316" s="144">
        <v>43159</v>
      </c>
      <c r="AE316" s="144">
        <v>43133</v>
      </c>
      <c r="AF316" s="70" t="str">
        <f t="shared" ca="1" si="26"/>
        <v>YES</v>
      </c>
      <c r="AG316" s="185">
        <v>1230.7692307692307</v>
      </c>
      <c r="AH316" s="185">
        <v>769.23076923076928</v>
      </c>
      <c r="AI316" s="186">
        <f t="shared" si="27"/>
        <v>2000</v>
      </c>
      <c r="AJ316" s="70"/>
      <c r="AK316" s="70"/>
      <c r="AL316" s="70"/>
      <c r="AM316" s="165" t="str">
        <f t="shared" si="28"/>
        <v>17056 FUFENG</v>
      </c>
      <c r="AN316" s="165" t="str">
        <f t="shared" si="29"/>
        <v>17056 FUFENG : Valve malfunction and recovery rate low</v>
      </c>
    </row>
    <row r="317" spans="1:40" s="76" customFormat="1" ht="14.5" hidden="1" x14ac:dyDescent="0.35">
      <c r="A317" s="122" t="e">
        <f>HYPERLINK(#REF!)</f>
        <v>#REF!</v>
      </c>
      <c r="B317" s="116">
        <v>17057</v>
      </c>
      <c r="C317" s="143" t="s">
        <v>4</v>
      </c>
      <c r="D317" s="144">
        <v>43070</v>
      </c>
      <c r="E317" s="145" t="s">
        <v>1206</v>
      </c>
      <c r="F317" s="145" t="s">
        <v>164</v>
      </c>
      <c r="G317" s="146" t="s">
        <v>454</v>
      </c>
      <c r="H317" s="146" t="s">
        <v>1207</v>
      </c>
      <c r="I317" s="119" t="s">
        <v>2057</v>
      </c>
      <c r="J317" s="232"/>
      <c r="K317" s="145" t="s">
        <v>454</v>
      </c>
      <c r="L317" s="145" t="s">
        <v>454</v>
      </c>
      <c r="M317" s="147" t="s">
        <v>454</v>
      </c>
      <c r="N317" s="146" t="s">
        <v>1208</v>
      </c>
      <c r="O317" s="146" t="s">
        <v>29</v>
      </c>
      <c r="P317" s="146" t="s">
        <v>176</v>
      </c>
      <c r="Q317" s="232"/>
      <c r="R317" s="146" t="s">
        <v>9</v>
      </c>
      <c r="S317" s="146"/>
      <c r="T317" s="232"/>
      <c r="U317" s="232"/>
      <c r="V317" s="158" t="s">
        <v>6</v>
      </c>
      <c r="W317" s="145" t="s">
        <v>224</v>
      </c>
      <c r="X317" s="143">
        <v>43083</v>
      </c>
      <c r="Y317" s="144">
        <f t="shared" si="24"/>
        <v>43160</v>
      </c>
      <c r="Z317" s="187">
        <v>43157</v>
      </c>
      <c r="AA317" s="161" t="str">
        <f t="shared" ca="1" si="31"/>
        <v>YES</v>
      </c>
      <c r="AB317" s="113"/>
      <c r="AC317" s="232"/>
      <c r="AD317" s="144"/>
      <c r="AE317" s="144"/>
      <c r="AF317" s="232" t="str">
        <f t="shared" ca="1" si="26"/>
        <v>N/A</v>
      </c>
      <c r="AG317" s="188">
        <v>431</v>
      </c>
      <c r="AH317" s="188">
        <v>0</v>
      </c>
      <c r="AI317" s="186">
        <f t="shared" si="27"/>
        <v>431</v>
      </c>
      <c r="AJ317" s="182" t="s">
        <v>6</v>
      </c>
      <c r="AK317" s="113">
        <v>43773</v>
      </c>
      <c r="AL317" s="232"/>
      <c r="AM317" s="184" t="str">
        <f t="shared" si="28"/>
        <v>17057 NA</v>
      </c>
      <c r="AN317" s="233" t="str">
        <f t="shared" si="29"/>
        <v>17057 NA : Difficulty in making the down payment</v>
      </c>
    </row>
    <row r="318" spans="1:40" s="76" customFormat="1" ht="14.5" hidden="1" x14ac:dyDescent="0.3">
      <c r="A318" s="122" t="s">
        <v>1209</v>
      </c>
      <c r="B318" s="116">
        <v>18001</v>
      </c>
      <c r="C318" s="143" t="s">
        <v>4</v>
      </c>
      <c r="D318" s="144">
        <v>43112</v>
      </c>
      <c r="E318" s="145" t="s">
        <v>99</v>
      </c>
      <c r="F318" s="145" t="s">
        <v>658</v>
      </c>
      <c r="G318" s="146" t="s">
        <v>664</v>
      </c>
      <c r="H318" s="146" t="s">
        <v>460</v>
      </c>
      <c r="I318" s="119" t="s">
        <v>5</v>
      </c>
      <c r="J318" s="232"/>
      <c r="K318" s="145"/>
      <c r="L318" s="145" t="s">
        <v>1210</v>
      </c>
      <c r="M318" s="234" t="s">
        <v>18</v>
      </c>
      <c r="N318" s="146" t="s">
        <v>1211</v>
      </c>
      <c r="O318" s="146" t="s">
        <v>28</v>
      </c>
      <c r="P318" s="146" t="s">
        <v>103</v>
      </c>
      <c r="Q318" s="232" t="s">
        <v>176</v>
      </c>
      <c r="R318" s="146" t="s">
        <v>145</v>
      </c>
      <c r="S318" s="146"/>
      <c r="T318" s="145" t="s">
        <v>460</v>
      </c>
      <c r="U318" s="232"/>
      <c r="V318" s="158" t="s">
        <v>6</v>
      </c>
      <c r="W318" s="118" t="s">
        <v>99</v>
      </c>
      <c r="X318" s="143">
        <v>42751</v>
      </c>
      <c r="Y318" s="144">
        <f t="shared" si="24"/>
        <v>43202</v>
      </c>
      <c r="Z318" s="235">
        <v>43172</v>
      </c>
      <c r="AA318" s="161" t="str">
        <f t="shared" ca="1" si="31"/>
        <v>YES</v>
      </c>
      <c r="AB318" s="113"/>
      <c r="AC318" s="144">
        <v>43112</v>
      </c>
      <c r="AD318" s="144">
        <v>43220</v>
      </c>
      <c r="AE318" s="144">
        <v>43172</v>
      </c>
      <c r="AF318" s="232" t="str">
        <f t="shared" ca="1" si="26"/>
        <v>YES</v>
      </c>
      <c r="AG318" s="188">
        <v>572</v>
      </c>
      <c r="AH318" s="188">
        <v>0</v>
      </c>
      <c r="AI318" s="186">
        <f t="shared" si="27"/>
        <v>572</v>
      </c>
      <c r="AJ318" s="182" t="s">
        <v>6</v>
      </c>
      <c r="AK318" s="113">
        <v>43411</v>
      </c>
      <c r="AL318" s="232"/>
      <c r="AM318" s="184" t="str">
        <f t="shared" si="28"/>
        <v xml:space="preserve">18001 TEREOS NESLE </v>
      </c>
      <c r="AN318" s="184" t="str">
        <f t="shared" si="29"/>
        <v>18001 TEREOS NESLE  : breaking gaskets NF membrane</v>
      </c>
    </row>
    <row r="319" spans="1:40" s="76" customFormat="1" ht="14.5" hidden="1" x14ac:dyDescent="0.35">
      <c r="A319" s="122" t="s">
        <v>1212</v>
      </c>
      <c r="B319" s="116">
        <v>18002</v>
      </c>
      <c r="C319" s="143" t="s">
        <v>4</v>
      </c>
      <c r="D319" s="144">
        <v>43119</v>
      </c>
      <c r="E319" s="145" t="s">
        <v>95</v>
      </c>
      <c r="F319" s="145" t="s">
        <v>164</v>
      </c>
      <c r="G319" s="146" t="s">
        <v>854</v>
      </c>
      <c r="H319" s="146"/>
      <c r="I319" s="119" t="s">
        <v>2057</v>
      </c>
      <c r="J319" s="118" t="s">
        <v>1213</v>
      </c>
      <c r="K319" s="145">
        <v>1974</v>
      </c>
      <c r="L319" s="145">
        <v>9876</v>
      </c>
      <c r="M319" s="147" t="s">
        <v>13</v>
      </c>
      <c r="N319" s="146" t="s">
        <v>1214</v>
      </c>
      <c r="O319" s="146" t="s">
        <v>29</v>
      </c>
      <c r="P319" s="146" t="s">
        <v>86</v>
      </c>
      <c r="Q319" s="232" t="s">
        <v>916</v>
      </c>
      <c r="R319" s="146" t="s">
        <v>9</v>
      </c>
      <c r="S319" s="146"/>
      <c r="T319" s="232"/>
      <c r="U319" s="232"/>
      <c r="V319" s="158" t="s">
        <v>6</v>
      </c>
      <c r="W319" s="145" t="s">
        <v>1215</v>
      </c>
      <c r="X319" s="143">
        <v>42766</v>
      </c>
      <c r="Y319" s="144">
        <f t="shared" si="24"/>
        <v>43209</v>
      </c>
      <c r="Z319" s="235">
        <v>43196</v>
      </c>
      <c r="AA319" s="161" t="str">
        <f t="shared" ca="1" si="31"/>
        <v>YES</v>
      </c>
      <c r="AB319" s="113"/>
      <c r="AC319" s="232"/>
      <c r="AD319" s="144"/>
      <c r="AE319" s="232"/>
      <c r="AF319" s="232" t="str">
        <f t="shared" ca="1" si="26"/>
        <v>N/A</v>
      </c>
      <c r="AG319" s="188">
        <v>17600</v>
      </c>
      <c r="AH319" s="188">
        <v>0</v>
      </c>
      <c r="AI319" s="186">
        <f t="shared" si="27"/>
        <v>17600</v>
      </c>
      <c r="AJ319" s="182" t="s">
        <v>6</v>
      </c>
      <c r="AK319" s="113">
        <v>43411</v>
      </c>
      <c r="AL319" s="232"/>
      <c r="AM319" s="184" t="str">
        <f t="shared" si="28"/>
        <v>18002 MEFSCO</v>
      </c>
      <c r="AN319" s="184" t="str">
        <f t="shared" si="29"/>
        <v>18002 MEFSCO : Hydraulic issues during cation/anion regeneration</v>
      </c>
    </row>
    <row r="320" spans="1:40" s="76" customFormat="1" ht="14.5" hidden="1" x14ac:dyDescent="0.35">
      <c r="A320" s="122" t="s">
        <v>1216</v>
      </c>
      <c r="B320" s="116">
        <v>18003</v>
      </c>
      <c r="C320" s="143" t="s">
        <v>4</v>
      </c>
      <c r="D320" s="144">
        <v>43129</v>
      </c>
      <c r="E320" s="145" t="s">
        <v>82</v>
      </c>
      <c r="F320" s="145" t="s">
        <v>658</v>
      </c>
      <c r="G320" s="146" t="s">
        <v>1217</v>
      </c>
      <c r="H320" s="146" t="s">
        <v>1218</v>
      </c>
      <c r="I320" s="119" t="s">
        <v>2057</v>
      </c>
      <c r="J320" s="232"/>
      <c r="K320" s="145"/>
      <c r="L320" s="145" t="s">
        <v>1219</v>
      </c>
      <c r="M320" s="147"/>
      <c r="N320" s="146" t="s">
        <v>1220</v>
      </c>
      <c r="O320" s="146" t="s">
        <v>28</v>
      </c>
      <c r="P320" s="146" t="s">
        <v>103</v>
      </c>
      <c r="Q320" s="232" t="s">
        <v>176</v>
      </c>
      <c r="R320" s="146" t="s">
        <v>15</v>
      </c>
      <c r="S320" s="146"/>
      <c r="T320" s="232"/>
      <c r="U320" s="232"/>
      <c r="V320" s="158" t="s">
        <v>6</v>
      </c>
      <c r="W320" s="145" t="s">
        <v>82</v>
      </c>
      <c r="X320" s="143">
        <v>42773</v>
      </c>
      <c r="Y320" s="144">
        <f t="shared" si="24"/>
        <v>43219</v>
      </c>
      <c r="Z320" s="235">
        <v>43175</v>
      </c>
      <c r="AA320" s="161" t="str">
        <f t="shared" ca="1" si="31"/>
        <v>YES</v>
      </c>
      <c r="AB320" s="113"/>
      <c r="AC320" s="232"/>
      <c r="AD320" s="232"/>
      <c r="AE320" s="232"/>
      <c r="AF320" s="232" t="str">
        <f t="shared" ca="1" si="26"/>
        <v>N/A</v>
      </c>
      <c r="AG320" s="188">
        <v>632</v>
      </c>
      <c r="AH320" s="188">
        <v>0</v>
      </c>
      <c r="AI320" s="186">
        <f t="shared" si="27"/>
        <v>632</v>
      </c>
      <c r="AJ320" s="182" t="s">
        <v>6</v>
      </c>
      <c r="AK320" s="187">
        <v>43413</v>
      </c>
      <c r="AL320" s="235"/>
      <c r="AM320" s="184" t="str">
        <f t="shared" si="28"/>
        <v>18003 Hilmar Cheese</v>
      </c>
      <c r="AN320" s="184" t="str">
        <f t="shared" si="29"/>
        <v>18003 Hilmar Cheese : Supplier purchase order oversight</v>
      </c>
    </row>
    <row r="321" spans="1:40" s="76" customFormat="1" ht="14.5" hidden="1" x14ac:dyDescent="0.35">
      <c r="A321" s="122" t="s">
        <v>1221</v>
      </c>
      <c r="B321" s="116">
        <v>18004</v>
      </c>
      <c r="C321" s="113" t="s">
        <v>1193</v>
      </c>
      <c r="D321" s="117">
        <v>43133</v>
      </c>
      <c r="E321" s="118" t="s">
        <v>1162</v>
      </c>
      <c r="F321" s="118" t="s">
        <v>1222</v>
      </c>
      <c r="G321" s="146" t="s">
        <v>1223</v>
      </c>
      <c r="H321" s="111" t="s">
        <v>1168</v>
      </c>
      <c r="I321" s="119" t="s">
        <v>1224</v>
      </c>
      <c r="J321" s="70"/>
      <c r="K321" s="118">
        <v>2034</v>
      </c>
      <c r="L321" s="118">
        <v>11864</v>
      </c>
      <c r="M321" s="147" t="s">
        <v>1181</v>
      </c>
      <c r="N321" s="146" t="s">
        <v>1225</v>
      </c>
      <c r="O321" s="111" t="s">
        <v>29</v>
      </c>
      <c r="P321" s="111" t="s">
        <v>1226</v>
      </c>
      <c r="Q321" s="70" t="s">
        <v>885</v>
      </c>
      <c r="R321" s="111" t="s">
        <v>1227</v>
      </c>
      <c r="S321" s="111"/>
      <c r="T321" s="70"/>
      <c r="U321" s="73"/>
      <c r="V321" s="158" t="s">
        <v>6</v>
      </c>
      <c r="W321" s="118" t="s">
        <v>441</v>
      </c>
      <c r="X321" s="113">
        <v>42994</v>
      </c>
      <c r="Y321" s="117">
        <f t="shared" si="24"/>
        <v>43222</v>
      </c>
      <c r="Z321" s="187">
        <v>43175</v>
      </c>
      <c r="AA321" s="161" t="str">
        <f t="shared" ca="1" si="31"/>
        <v>YES</v>
      </c>
      <c r="AB321" s="113"/>
      <c r="AC321" s="70"/>
      <c r="AD321" s="70"/>
      <c r="AE321" s="70"/>
      <c r="AF321" s="70" t="str">
        <f t="shared" ca="1" si="26"/>
        <v>N/A</v>
      </c>
      <c r="AG321" s="185">
        <v>2424</v>
      </c>
      <c r="AH321" s="185">
        <v>9814</v>
      </c>
      <c r="AI321" s="186">
        <f t="shared" si="27"/>
        <v>12238</v>
      </c>
      <c r="AJ321" s="70"/>
      <c r="AK321" s="70"/>
      <c r="AL321" s="70"/>
      <c r="AM321" s="165" t="str">
        <f t="shared" si="28"/>
        <v>18004 Canlac Abbott</v>
      </c>
      <c r="AN321" s="165" t="str">
        <f t="shared" si="29"/>
        <v>18004 Canlac Abbott : The anchoring bolts too close to insulation  hinder couter drilling on concrete</v>
      </c>
    </row>
    <row r="322" spans="1:40" s="76" customFormat="1" ht="14.5" hidden="1" x14ac:dyDescent="0.35">
      <c r="A322" s="122" t="s">
        <v>1228</v>
      </c>
      <c r="B322" s="116">
        <v>18005</v>
      </c>
      <c r="C322" s="113" t="s">
        <v>1193</v>
      </c>
      <c r="D322" s="117">
        <v>43133</v>
      </c>
      <c r="E322" s="118" t="s">
        <v>1162</v>
      </c>
      <c r="F322" s="118" t="s">
        <v>1222</v>
      </c>
      <c r="G322" s="146" t="s">
        <v>1067</v>
      </c>
      <c r="H322" s="111" t="s">
        <v>1229</v>
      </c>
      <c r="I322" s="119" t="s">
        <v>1230</v>
      </c>
      <c r="J322" s="70"/>
      <c r="K322" s="118">
        <v>2032</v>
      </c>
      <c r="L322" s="118">
        <v>12519</v>
      </c>
      <c r="M322" s="149" t="s">
        <v>1231</v>
      </c>
      <c r="N322" s="146" t="s">
        <v>1232</v>
      </c>
      <c r="O322" s="111" t="s">
        <v>29</v>
      </c>
      <c r="P322" s="121" t="s">
        <v>1226</v>
      </c>
      <c r="Q322" s="70" t="s">
        <v>522</v>
      </c>
      <c r="R322" s="111" t="s">
        <v>1233</v>
      </c>
      <c r="S322" s="111"/>
      <c r="T322" s="70"/>
      <c r="U322" s="73"/>
      <c r="V322" s="158" t="s">
        <v>10</v>
      </c>
      <c r="W322" s="118"/>
      <c r="X322" s="113"/>
      <c r="Y322" s="117">
        <f t="shared" si="24"/>
        <v>43222</v>
      </c>
      <c r="Z322" s="187">
        <v>43175</v>
      </c>
      <c r="AA322" s="161" t="str">
        <f t="shared" ca="1" si="31"/>
        <v>YES</v>
      </c>
      <c r="AB322" s="113"/>
      <c r="AC322" s="70"/>
      <c r="AD322" s="75"/>
      <c r="AE322" s="75"/>
      <c r="AF322" s="70" t="str">
        <f t="shared" ca="1" si="26"/>
        <v>N/A</v>
      </c>
      <c r="AG322" s="185">
        <v>0</v>
      </c>
      <c r="AH322" s="185">
        <v>0</v>
      </c>
      <c r="AI322" s="186">
        <f t="shared" si="27"/>
        <v>0</v>
      </c>
      <c r="AJ322" s="70"/>
      <c r="AK322" s="75"/>
      <c r="AL322" s="75"/>
      <c r="AM322" s="165" t="str">
        <f t="shared" si="28"/>
        <v>18005 Cargill</v>
      </c>
      <c r="AN322" s="189" t="str">
        <f t="shared" si="29"/>
        <v>18005 Cargill : The top manhole on anionic IEX column FEA calculation can't pass</v>
      </c>
    </row>
    <row r="323" spans="1:40" s="76" customFormat="1" ht="14.5" hidden="1" x14ac:dyDescent="0.35">
      <c r="A323" s="122" t="s">
        <v>1234</v>
      </c>
      <c r="B323" s="116">
        <v>18006</v>
      </c>
      <c r="C323" s="143" t="s">
        <v>4</v>
      </c>
      <c r="D323" s="144">
        <v>43133</v>
      </c>
      <c r="E323" s="145" t="s">
        <v>1083</v>
      </c>
      <c r="F323" s="145" t="s">
        <v>164</v>
      </c>
      <c r="G323" s="146" t="s">
        <v>1235</v>
      </c>
      <c r="H323" s="146" t="s">
        <v>1236</v>
      </c>
      <c r="I323" s="119" t="s">
        <v>2057</v>
      </c>
      <c r="J323" s="232"/>
      <c r="K323" s="145">
        <v>2053</v>
      </c>
      <c r="L323" s="145">
        <v>13174</v>
      </c>
      <c r="M323" s="147"/>
      <c r="N323" s="146" t="s">
        <v>1237</v>
      </c>
      <c r="O323" s="146" t="s">
        <v>29</v>
      </c>
      <c r="P323" s="146" t="s">
        <v>1148</v>
      </c>
      <c r="Q323" s="232" t="s">
        <v>1149</v>
      </c>
      <c r="R323" s="146" t="s">
        <v>15</v>
      </c>
      <c r="S323" s="146"/>
      <c r="T323" s="232"/>
      <c r="U323" s="232"/>
      <c r="V323" s="158" t="s">
        <v>10</v>
      </c>
      <c r="W323" s="145"/>
      <c r="X323" s="143"/>
      <c r="Y323" s="144">
        <f t="shared" si="24"/>
        <v>43222</v>
      </c>
      <c r="Z323" s="235">
        <v>43181</v>
      </c>
      <c r="AA323" s="161" t="str">
        <f t="shared" ca="1" si="31"/>
        <v>YES</v>
      </c>
      <c r="AB323" s="113"/>
      <c r="AC323" s="232"/>
      <c r="AD323" s="232"/>
      <c r="AE323" s="232"/>
      <c r="AF323" s="232" t="str">
        <f t="shared" ca="1" si="26"/>
        <v>N/A</v>
      </c>
      <c r="AG323" s="188">
        <v>176</v>
      </c>
      <c r="AH323" s="188">
        <v>4000</v>
      </c>
      <c r="AI323" s="186">
        <f t="shared" si="27"/>
        <v>4176</v>
      </c>
      <c r="AJ323" s="182" t="s">
        <v>6</v>
      </c>
      <c r="AK323" s="187">
        <v>43781</v>
      </c>
      <c r="AL323" s="70"/>
      <c r="AM323" s="184" t="str">
        <f t="shared" si="28"/>
        <v>18006 Pfeifer and Langen</v>
      </c>
      <c r="AN323" s="184" t="str">
        <f t="shared" si="29"/>
        <v>18006 Pfeifer and Langen : Supplier quotation not updated in PkPv</v>
      </c>
    </row>
    <row r="324" spans="1:40" s="76" customFormat="1" ht="14.5" hidden="1" x14ac:dyDescent="0.35">
      <c r="A324" s="122" t="s">
        <v>1238</v>
      </c>
      <c r="B324" s="116">
        <v>18007</v>
      </c>
      <c r="C324" s="143" t="s">
        <v>4</v>
      </c>
      <c r="D324" s="144">
        <v>43158</v>
      </c>
      <c r="E324" s="145" t="s">
        <v>1009</v>
      </c>
      <c r="F324" s="145" t="s">
        <v>164</v>
      </c>
      <c r="G324" s="146" t="s">
        <v>1239</v>
      </c>
      <c r="H324" s="146" t="s">
        <v>1240</v>
      </c>
      <c r="I324" s="119" t="s">
        <v>2057</v>
      </c>
      <c r="J324" s="232"/>
      <c r="K324" s="145">
        <v>2049</v>
      </c>
      <c r="L324" s="145">
        <v>13198</v>
      </c>
      <c r="M324" s="147" t="s">
        <v>359</v>
      </c>
      <c r="N324" s="111" t="s">
        <v>1241</v>
      </c>
      <c r="O324" s="146" t="s">
        <v>29</v>
      </c>
      <c r="P324" s="146" t="s">
        <v>86</v>
      </c>
      <c r="Q324" s="232" t="s">
        <v>634</v>
      </c>
      <c r="R324" s="146" t="s">
        <v>9</v>
      </c>
      <c r="S324" s="146"/>
      <c r="T324" s="232"/>
      <c r="U324" s="232"/>
      <c r="V324" s="158" t="s">
        <v>6</v>
      </c>
      <c r="W324" s="145" t="s">
        <v>1009</v>
      </c>
      <c r="X324" s="143">
        <v>43167</v>
      </c>
      <c r="Y324" s="144">
        <f t="shared" si="24"/>
        <v>43247</v>
      </c>
      <c r="Z324" s="235">
        <v>43361</v>
      </c>
      <c r="AA324" s="161" t="str">
        <f t="shared" ca="1" si="31"/>
        <v>NO</v>
      </c>
      <c r="AB324" s="113"/>
      <c r="AC324" s="232"/>
      <c r="AD324" s="232"/>
      <c r="AE324" s="232"/>
      <c r="AF324" s="232" t="str">
        <f t="shared" ca="1" si="26"/>
        <v>N/A</v>
      </c>
      <c r="AG324" s="188">
        <v>6688</v>
      </c>
      <c r="AH324" s="188">
        <v>1895</v>
      </c>
      <c r="AI324" s="186">
        <f t="shared" si="27"/>
        <v>8583</v>
      </c>
      <c r="AJ324" s="182" t="s">
        <v>6</v>
      </c>
      <c r="AK324" s="187">
        <v>43496</v>
      </c>
      <c r="AL324" s="232"/>
      <c r="AM324" s="184" t="str">
        <f t="shared" si="28"/>
        <v>18007 CEVA</v>
      </c>
      <c r="AN324" s="184" t="str">
        <f t="shared" si="29"/>
        <v>18007 CEVA : Carbosep modules mounting issues</v>
      </c>
    </row>
    <row r="325" spans="1:40" s="76" customFormat="1" ht="14.5" hidden="1" x14ac:dyDescent="0.35">
      <c r="A325" s="122" t="s">
        <v>1242</v>
      </c>
      <c r="B325" s="116">
        <v>18008</v>
      </c>
      <c r="C325" s="143" t="s">
        <v>4</v>
      </c>
      <c r="D325" s="144">
        <v>43164</v>
      </c>
      <c r="E325" s="145" t="s">
        <v>221</v>
      </c>
      <c r="F325" s="145" t="s">
        <v>164</v>
      </c>
      <c r="G325" s="146" t="s">
        <v>1243</v>
      </c>
      <c r="H325" s="146" t="s">
        <v>357</v>
      </c>
      <c r="I325" s="119" t="s">
        <v>5</v>
      </c>
      <c r="J325" s="232" t="s">
        <v>6</v>
      </c>
      <c r="K325" s="145">
        <v>2040</v>
      </c>
      <c r="L325" s="145">
        <v>12585</v>
      </c>
      <c r="M325" s="147" t="s">
        <v>359</v>
      </c>
      <c r="N325" s="111" t="s">
        <v>1156</v>
      </c>
      <c r="O325" s="146" t="s">
        <v>29</v>
      </c>
      <c r="P325" s="146" t="s">
        <v>86</v>
      </c>
      <c r="Q325" s="232" t="s">
        <v>176</v>
      </c>
      <c r="R325" s="146" t="s">
        <v>145</v>
      </c>
      <c r="S325" s="146"/>
      <c r="T325" s="112" t="s">
        <v>357</v>
      </c>
      <c r="U325" s="232"/>
      <c r="V325" s="158" t="s">
        <v>6</v>
      </c>
      <c r="W325" s="118" t="s">
        <v>1244</v>
      </c>
      <c r="X325" s="143">
        <v>43171</v>
      </c>
      <c r="Y325" s="144">
        <f t="shared" si="24"/>
        <v>43256</v>
      </c>
      <c r="Z325" s="235">
        <v>43307</v>
      </c>
      <c r="AA325" s="161" t="str">
        <f t="shared" ca="1" si="31"/>
        <v>NO</v>
      </c>
      <c r="AB325" s="113"/>
      <c r="AC325" s="113">
        <v>43167</v>
      </c>
      <c r="AD325" s="187">
        <v>43343</v>
      </c>
      <c r="AE325" s="235">
        <v>43307</v>
      </c>
      <c r="AF325" s="232" t="str">
        <f t="shared" ca="1" si="26"/>
        <v>YES</v>
      </c>
      <c r="AG325" s="188">
        <v>7964.25</v>
      </c>
      <c r="AH325" s="188">
        <v>10547.5</v>
      </c>
      <c r="AI325" s="186">
        <f t="shared" si="27"/>
        <v>18511.75</v>
      </c>
      <c r="AJ325" s="182" t="s">
        <v>6</v>
      </c>
      <c r="AK325" s="187">
        <v>43774</v>
      </c>
      <c r="AL325" s="232"/>
      <c r="AM325" s="184" t="str">
        <f t="shared" si="28"/>
        <v>18008 CJ Malaisie</v>
      </c>
      <c r="AN325" s="184" t="str">
        <f t="shared" si="29"/>
        <v>18008 CJ Malaisie : Breakage of BE Kerasep membranes</v>
      </c>
    </row>
    <row r="326" spans="1:40" s="76" customFormat="1" ht="14.5" hidden="1" x14ac:dyDescent="0.35">
      <c r="A326" s="122" t="s">
        <v>1245</v>
      </c>
      <c r="B326" s="116">
        <v>18009</v>
      </c>
      <c r="C326" s="143" t="s">
        <v>4</v>
      </c>
      <c r="D326" s="144">
        <v>43166</v>
      </c>
      <c r="E326" s="145" t="s">
        <v>413</v>
      </c>
      <c r="F326" s="145" t="s">
        <v>691</v>
      </c>
      <c r="G326" s="146" t="s">
        <v>454</v>
      </c>
      <c r="H326" s="146"/>
      <c r="I326" s="119" t="s">
        <v>2058</v>
      </c>
      <c r="J326" s="232"/>
      <c r="K326" s="145" t="s">
        <v>454</v>
      </c>
      <c r="L326" s="145" t="s">
        <v>454</v>
      </c>
      <c r="M326" s="147" t="s">
        <v>454</v>
      </c>
      <c r="N326" s="146" t="s">
        <v>1246</v>
      </c>
      <c r="O326" s="146" t="s">
        <v>691</v>
      </c>
      <c r="P326" s="146" t="s">
        <v>454</v>
      </c>
      <c r="Q326" s="232" t="s">
        <v>454</v>
      </c>
      <c r="R326" s="146" t="s">
        <v>15</v>
      </c>
      <c r="S326" s="146"/>
      <c r="T326" s="232"/>
      <c r="U326" s="232"/>
      <c r="V326" s="158" t="s">
        <v>6</v>
      </c>
      <c r="W326" s="145" t="s">
        <v>577</v>
      </c>
      <c r="X326" s="143">
        <v>43166</v>
      </c>
      <c r="Y326" s="144">
        <f t="shared" si="24"/>
        <v>43258</v>
      </c>
      <c r="Z326" s="235">
        <v>43222</v>
      </c>
      <c r="AA326" s="161" t="str">
        <f t="shared" ca="1" si="31"/>
        <v>YES</v>
      </c>
      <c r="AB326" s="113"/>
      <c r="AC326" s="232"/>
      <c r="AD326" s="232"/>
      <c r="AE326" s="232"/>
      <c r="AF326" s="70" t="str">
        <f t="shared" ca="1" si="26"/>
        <v>N/A</v>
      </c>
      <c r="AG326" s="185">
        <v>352</v>
      </c>
      <c r="AH326" s="185">
        <v>0</v>
      </c>
      <c r="AI326" s="186">
        <f t="shared" si="27"/>
        <v>352</v>
      </c>
      <c r="AJ326" s="182" t="s">
        <v>6</v>
      </c>
      <c r="AK326" s="187">
        <v>43411</v>
      </c>
      <c r="AL326" s="232"/>
      <c r="AM326" s="184" t="str">
        <f t="shared" si="28"/>
        <v>18009 NA</v>
      </c>
      <c r="AN326" s="184" t="str">
        <f t="shared" si="29"/>
        <v>18009 NA : Fall of an employee outside staircase</v>
      </c>
    </row>
    <row r="327" spans="1:40" s="76" customFormat="1" ht="14.5" hidden="1" x14ac:dyDescent="0.35">
      <c r="A327" s="122" t="s">
        <v>1247</v>
      </c>
      <c r="B327" s="116">
        <v>18010</v>
      </c>
      <c r="C327" s="113" t="s">
        <v>1193</v>
      </c>
      <c r="D327" s="144">
        <v>43172</v>
      </c>
      <c r="E327" s="118" t="s">
        <v>1140</v>
      </c>
      <c r="F327" s="118" t="s">
        <v>1222</v>
      </c>
      <c r="G327" s="111" t="s">
        <v>1248</v>
      </c>
      <c r="H327" s="111" t="s">
        <v>1249</v>
      </c>
      <c r="I327" s="119" t="s">
        <v>1224</v>
      </c>
      <c r="J327" s="70"/>
      <c r="K327" s="118">
        <v>2045</v>
      </c>
      <c r="L327" s="118">
        <v>13010</v>
      </c>
      <c r="M327" s="147" t="s">
        <v>1137</v>
      </c>
      <c r="N327" s="111" t="s">
        <v>1250</v>
      </c>
      <c r="O327" s="146" t="s">
        <v>29</v>
      </c>
      <c r="P327" s="111" t="s">
        <v>1226</v>
      </c>
      <c r="Q327" s="70" t="s">
        <v>916</v>
      </c>
      <c r="R327" s="111" t="s">
        <v>145</v>
      </c>
      <c r="S327" s="111"/>
      <c r="T327" s="70"/>
      <c r="U327" s="70"/>
      <c r="V327" s="158" t="s">
        <v>6</v>
      </c>
      <c r="W327" s="118" t="s">
        <v>1140</v>
      </c>
      <c r="X327" s="113">
        <v>43262</v>
      </c>
      <c r="Y327" s="117">
        <f t="shared" ref="Y327:Y390" si="32">EDATE(D327,3)</f>
        <v>43264</v>
      </c>
      <c r="Z327" s="187">
        <v>43263</v>
      </c>
      <c r="AA327" s="161" t="str">
        <f t="shared" ca="1" si="31"/>
        <v>YES</v>
      </c>
      <c r="AB327" s="113"/>
      <c r="AC327" s="70"/>
      <c r="AD327" s="70"/>
      <c r="AE327" s="70"/>
      <c r="AF327" s="70" t="str">
        <f t="shared" ca="1" si="26"/>
        <v>N/A</v>
      </c>
      <c r="AG327" s="185">
        <v>0</v>
      </c>
      <c r="AH327" s="185">
        <v>0</v>
      </c>
      <c r="AI327" s="186">
        <f t="shared" si="27"/>
        <v>0</v>
      </c>
      <c r="AJ327" s="70"/>
      <c r="AK327" s="70"/>
      <c r="AL327" s="70"/>
      <c r="AM327" s="165" t="str">
        <f t="shared" si="28"/>
        <v>18010 FUFENG 7</v>
      </c>
      <c r="AN327" s="165" t="str">
        <f t="shared" si="29"/>
        <v>18010 FUFENG 7 : The membranes were damaged by SS scraps in manifolds</v>
      </c>
    </row>
    <row r="328" spans="1:40" s="76" customFormat="1" ht="14.5" hidden="1" x14ac:dyDescent="0.35">
      <c r="A328" s="122" t="s">
        <v>1251</v>
      </c>
      <c r="B328" s="116">
        <v>18011</v>
      </c>
      <c r="C328" s="143" t="s">
        <v>4</v>
      </c>
      <c r="D328" s="144">
        <v>43187</v>
      </c>
      <c r="E328" s="145" t="s">
        <v>1009</v>
      </c>
      <c r="F328" s="145" t="s">
        <v>164</v>
      </c>
      <c r="G328" s="146" t="s">
        <v>1252</v>
      </c>
      <c r="H328" s="146" t="s">
        <v>1253</v>
      </c>
      <c r="I328" s="119" t="s">
        <v>5</v>
      </c>
      <c r="J328" s="232"/>
      <c r="K328" s="145">
        <v>2038</v>
      </c>
      <c r="L328" s="145">
        <v>12573</v>
      </c>
      <c r="M328" s="147" t="s">
        <v>338</v>
      </c>
      <c r="N328" s="111" t="s">
        <v>1254</v>
      </c>
      <c r="O328" s="146" t="s">
        <v>29</v>
      </c>
      <c r="P328" s="146" t="s">
        <v>86</v>
      </c>
      <c r="Q328" s="232"/>
      <c r="R328" s="146" t="s">
        <v>9</v>
      </c>
      <c r="S328" s="146"/>
      <c r="T328" s="232"/>
      <c r="U328" s="232"/>
      <c r="V328" s="158" t="s">
        <v>6</v>
      </c>
      <c r="W328" s="145" t="s">
        <v>1009</v>
      </c>
      <c r="X328" s="143">
        <v>43187</v>
      </c>
      <c r="Y328" s="144">
        <f t="shared" si="32"/>
        <v>43279</v>
      </c>
      <c r="Z328" s="235">
        <v>43371</v>
      </c>
      <c r="AA328" s="161" t="str">
        <f t="shared" ca="1" si="31"/>
        <v>NO</v>
      </c>
      <c r="AB328" s="113"/>
      <c r="AC328" s="143">
        <v>43194</v>
      </c>
      <c r="AD328" s="235">
        <v>43343</v>
      </c>
      <c r="AE328" s="235">
        <v>43371</v>
      </c>
      <c r="AF328" s="70" t="str">
        <f t="shared" ref="AF328:AF391" ca="1" si="33">IF(I328="Claim",IF(AD328="","",IF(AE328="",IF(TODAY()&gt;AD328,"NO","YES"),IF(AE328&gt;AD328,"NO",IF(AE328&lt;AD328,"YES",IF(AD328=AE328,"YES","N/A"))))),"N/A")</f>
        <v>NO</v>
      </c>
      <c r="AG328" s="185">
        <v>15400</v>
      </c>
      <c r="AH328" s="185">
        <v>28875</v>
      </c>
      <c r="AI328" s="186">
        <f t="shared" ref="AI328:AI391" si="34">AH328+AG328</f>
        <v>44275</v>
      </c>
      <c r="AJ328" s="182" t="s">
        <v>6</v>
      </c>
      <c r="AK328" s="187">
        <v>43726</v>
      </c>
      <c r="AL328" s="232"/>
      <c r="AM328" s="184" t="str">
        <f t="shared" ref="AM328:AM391" si="35">CONCATENATE(B328," ",G328)</f>
        <v>18011 Friesland Campina</v>
      </c>
      <c r="AN328" s="184" t="str">
        <f t="shared" ref="AN328:AN391" si="36">CONCATENATE(B328," ",G328," : ",N328)</f>
        <v>18011 Friesland Campina : delay in units delivery, welding quality issue</v>
      </c>
    </row>
    <row r="329" spans="1:40" s="76" customFormat="1" ht="14.5" hidden="1" x14ac:dyDescent="0.35">
      <c r="A329" s="122" t="s">
        <v>1255</v>
      </c>
      <c r="B329" s="116">
        <v>18012</v>
      </c>
      <c r="C329" s="113" t="s">
        <v>1193</v>
      </c>
      <c r="D329" s="117">
        <v>43216</v>
      </c>
      <c r="E329" s="118" t="s">
        <v>1167</v>
      </c>
      <c r="F329" s="145" t="s">
        <v>164</v>
      </c>
      <c r="G329" s="111" t="s">
        <v>1256</v>
      </c>
      <c r="H329" s="111"/>
      <c r="I329" s="119" t="s">
        <v>2057</v>
      </c>
      <c r="J329" s="70"/>
      <c r="K329" s="118">
        <v>2055</v>
      </c>
      <c r="L329" s="118">
        <v>12578</v>
      </c>
      <c r="M329" s="147" t="s">
        <v>1181</v>
      </c>
      <c r="N329" s="147" t="s">
        <v>1257</v>
      </c>
      <c r="O329" s="146" t="s">
        <v>29</v>
      </c>
      <c r="P329" s="146" t="s">
        <v>86</v>
      </c>
      <c r="Q329" s="70"/>
      <c r="R329" s="146" t="s">
        <v>9</v>
      </c>
      <c r="S329" s="146"/>
      <c r="T329" s="70"/>
      <c r="U329" s="73"/>
      <c r="V329" s="158" t="s">
        <v>6</v>
      </c>
      <c r="W329" s="118" t="s">
        <v>1167</v>
      </c>
      <c r="X329" s="113">
        <v>43216</v>
      </c>
      <c r="Y329" s="117">
        <f t="shared" si="32"/>
        <v>43307</v>
      </c>
      <c r="Z329" s="187">
        <v>43283</v>
      </c>
      <c r="AA329" s="161" t="str">
        <f t="shared" ca="1" si="31"/>
        <v>YES</v>
      </c>
      <c r="AB329" s="113"/>
      <c r="AC329" s="70"/>
      <c r="AD329" s="70"/>
      <c r="AE329" s="70"/>
      <c r="AF329" s="70" t="str">
        <f t="shared" ca="1" si="33"/>
        <v>N/A</v>
      </c>
      <c r="AG329" s="185">
        <v>1230.7692307692307</v>
      </c>
      <c r="AH329" s="185">
        <v>4641.0256410256416</v>
      </c>
      <c r="AI329" s="186">
        <f t="shared" si="34"/>
        <v>5871.7948717948721</v>
      </c>
      <c r="AJ329" s="70"/>
      <c r="AK329" s="70"/>
      <c r="AL329" s="70"/>
      <c r="AM329" s="165" t="str">
        <f t="shared" si="35"/>
        <v>18012 Xiangyu</v>
      </c>
      <c r="AN329" s="165" t="str">
        <f t="shared" si="36"/>
        <v>18012 Xiangyu : Column bottom and top board deformation</v>
      </c>
    </row>
    <row r="330" spans="1:40" s="76" customFormat="1" ht="14.5" hidden="1" x14ac:dyDescent="0.35">
      <c r="A330" s="122" t="s">
        <v>1258</v>
      </c>
      <c r="B330" s="116">
        <v>18013</v>
      </c>
      <c r="C330" s="143" t="s">
        <v>4</v>
      </c>
      <c r="D330" s="144">
        <v>43222</v>
      </c>
      <c r="E330" s="145" t="s">
        <v>177</v>
      </c>
      <c r="F330" s="145" t="s">
        <v>1103</v>
      </c>
      <c r="G330" s="146" t="s">
        <v>1252</v>
      </c>
      <c r="H330" s="146" t="s">
        <v>597</v>
      </c>
      <c r="I330" s="119" t="s">
        <v>2056</v>
      </c>
      <c r="J330" s="232"/>
      <c r="K330" s="145">
        <v>2038</v>
      </c>
      <c r="L330" s="145">
        <v>12573</v>
      </c>
      <c r="M330" s="147" t="s">
        <v>338</v>
      </c>
      <c r="N330" s="146" t="s">
        <v>1259</v>
      </c>
      <c r="O330" s="146" t="s">
        <v>29</v>
      </c>
      <c r="P330" s="146" t="s">
        <v>86</v>
      </c>
      <c r="Q330" s="232" t="s">
        <v>1260</v>
      </c>
      <c r="R330" s="146" t="s">
        <v>145</v>
      </c>
      <c r="S330" s="146"/>
      <c r="T330" s="70" t="s">
        <v>597</v>
      </c>
      <c r="U330" s="232"/>
      <c r="V330" s="158" t="s">
        <v>6</v>
      </c>
      <c r="W330" s="145" t="s">
        <v>1261</v>
      </c>
      <c r="X330" s="143">
        <v>43222</v>
      </c>
      <c r="Y330" s="144">
        <f t="shared" si="32"/>
        <v>43314</v>
      </c>
      <c r="Z330" s="235">
        <v>43292</v>
      </c>
      <c r="AA330" s="161" t="str">
        <f t="shared" ca="1" si="31"/>
        <v>YES</v>
      </c>
      <c r="AB330" s="113"/>
      <c r="AC330" s="232"/>
      <c r="AD330" s="232"/>
      <c r="AE330" s="232"/>
      <c r="AF330" s="70" t="str">
        <f t="shared" ca="1" si="33"/>
        <v>N/A</v>
      </c>
      <c r="AG330" s="185">
        <v>8272</v>
      </c>
      <c r="AH330" s="185">
        <v>13639</v>
      </c>
      <c r="AI330" s="186">
        <f t="shared" si="34"/>
        <v>21911</v>
      </c>
      <c r="AJ330" s="182" t="s">
        <v>10</v>
      </c>
      <c r="AK330" s="187">
        <v>43514</v>
      </c>
      <c r="AL330" s="70" t="s">
        <v>1262</v>
      </c>
      <c r="AM330" s="184" t="str">
        <f t="shared" si="35"/>
        <v>18013 Friesland Campina</v>
      </c>
      <c r="AN330" s="184" t="str">
        <f t="shared" si="36"/>
        <v>18013 Friesland Campina : Welding quality issue MF skid</v>
      </c>
    </row>
    <row r="331" spans="1:40" s="76" customFormat="1" ht="14.5" hidden="1" x14ac:dyDescent="0.35">
      <c r="A331" s="122">
        <v>14</v>
      </c>
      <c r="B331" s="116">
        <v>18014</v>
      </c>
      <c r="C331" s="143" t="s">
        <v>4</v>
      </c>
      <c r="D331" s="144">
        <v>43223</v>
      </c>
      <c r="E331" s="145" t="s">
        <v>82</v>
      </c>
      <c r="F331" s="145" t="s">
        <v>658</v>
      </c>
      <c r="G331" s="146" t="s">
        <v>388</v>
      </c>
      <c r="H331" s="111" t="s">
        <v>1041</v>
      </c>
      <c r="I331" s="119" t="s">
        <v>5</v>
      </c>
      <c r="J331" s="232"/>
      <c r="K331" s="145"/>
      <c r="L331" s="145" t="s">
        <v>1263</v>
      </c>
      <c r="M331" s="147" t="s">
        <v>13</v>
      </c>
      <c r="N331" s="111" t="s">
        <v>1264</v>
      </c>
      <c r="O331" s="146" t="s">
        <v>28</v>
      </c>
      <c r="P331" s="146" t="s">
        <v>103</v>
      </c>
      <c r="Q331" s="70" t="s">
        <v>510</v>
      </c>
      <c r="R331" s="111" t="s">
        <v>9</v>
      </c>
      <c r="S331" s="111"/>
      <c r="T331" s="70"/>
      <c r="U331" s="232"/>
      <c r="V331" s="158" t="s">
        <v>6</v>
      </c>
      <c r="W331" s="145" t="s">
        <v>82</v>
      </c>
      <c r="X331" s="143">
        <v>43234</v>
      </c>
      <c r="Y331" s="144">
        <f t="shared" si="32"/>
        <v>43315</v>
      </c>
      <c r="Z331" s="235">
        <v>43304</v>
      </c>
      <c r="AA331" s="161" t="str">
        <f t="shared" ca="1" si="31"/>
        <v>YES</v>
      </c>
      <c r="AB331" s="113"/>
      <c r="AC331" s="143">
        <v>43235</v>
      </c>
      <c r="AD331" s="187">
        <v>43343</v>
      </c>
      <c r="AE331" s="235">
        <v>43304</v>
      </c>
      <c r="AF331" s="70" t="str">
        <f t="shared" ca="1" si="33"/>
        <v>YES</v>
      </c>
      <c r="AG331" s="185">
        <v>7744</v>
      </c>
      <c r="AH331" s="185">
        <v>4100</v>
      </c>
      <c r="AI331" s="186">
        <f t="shared" si="34"/>
        <v>11844</v>
      </c>
      <c r="AJ331" s="182" t="s">
        <v>6</v>
      </c>
      <c r="AK331" s="187">
        <v>43510</v>
      </c>
      <c r="AL331" s="232"/>
      <c r="AM331" s="184" t="str">
        <f t="shared" si="35"/>
        <v>18014 GOI</v>
      </c>
      <c r="AN331" s="184" t="str">
        <f t="shared" si="36"/>
        <v>18014 GOI : Resins tagging error</v>
      </c>
    </row>
    <row r="332" spans="1:40" s="76" customFormat="1" ht="14.5" hidden="1" x14ac:dyDescent="0.35">
      <c r="A332" s="122" t="s">
        <v>1265</v>
      </c>
      <c r="B332" s="116">
        <v>18015</v>
      </c>
      <c r="C332" s="143" t="s">
        <v>4</v>
      </c>
      <c r="D332" s="144">
        <v>43227</v>
      </c>
      <c r="E332" s="145" t="s">
        <v>82</v>
      </c>
      <c r="F332" s="145" t="s">
        <v>658</v>
      </c>
      <c r="G332" s="146" t="s">
        <v>1266</v>
      </c>
      <c r="H332" s="146" t="s">
        <v>1267</v>
      </c>
      <c r="I332" s="119" t="s">
        <v>2056</v>
      </c>
      <c r="J332" s="232"/>
      <c r="K332" s="145"/>
      <c r="L332" s="145" t="s">
        <v>1268</v>
      </c>
      <c r="M332" s="147" t="s">
        <v>13</v>
      </c>
      <c r="N332" s="146" t="s">
        <v>1269</v>
      </c>
      <c r="O332" s="146" t="s">
        <v>28</v>
      </c>
      <c r="P332" s="146" t="s">
        <v>103</v>
      </c>
      <c r="Q332" s="232" t="s">
        <v>176</v>
      </c>
      <c r="R332" s="146" t="s">
        <v>145</v>
      </c>
      <c r="S332" s="146"/>
      <c r="T332" s="112" t="s">
        <v>1270</v>
      </c>
      <c r="U332" s="232"/>
      <c r="V332" s="158" t="s">
        <v>10</v>
      </c>
      <c r="W332" s="145"/>
      <c r="X332" s="143"/>
      <c r="Y332" s="144">
        <f t="shared" si="32"/>
        <v>43319</v>
      </c>
      <c r="Z332" s="235">
        <v>43273</v>
      </c>
      <c r="AA332" s="161" t="str">
        <f t="shared" ca="1" si="31"/>
        <v>YES</v>
      </c>
      <c r="AB332" s="113"/>
      <c r="AC332" s="232"/>
      <c r="AD332" s="232"/>
      <c r="AE332" s="232"/>
      <c r="AF332" s="70" t="str">
        <f t="shared" ca="1" si="33"/>
        <v>N/A</v>
      </c>
      <c r="AG332" s="185">
        <v>440</v>
      </c>
      <c r="AH332" s="185">
        <v>300</v>
      </c>
      <c r="AI332" s="186">
        <f t="shared" si="34"/>
        <v>740</v>
      </c>
      <c r="AJ332" s="182" t="s">
        <v>6</v>
      </c>
      <c r="AK332" s="187">
        <v>43413</v>
      </c>
      <c r="AL332" s="232"/>
      <c r="AM332" s="184" t="str">
        <f t="shared" si="35"/>
        <v>18015 YCSR</v>
      </c>
      <c r="AN332" s="184" t="str">
        <f t="shared" si="36"/>
        <v>18015 YCSR : Defective nozzles</v>
      </c>
    </row>
    <row r="333" spans="1:40" s="76" customFormat="1" ht="14.5" hidden="1" x14ac:dyDescent="0.35">
      <c r="A333" s="122" t="s">
        <v>1271</v>
      </c>
      <c r="B333" s="116">
        <v>18016</v>
      </c>
      <c r="C333" s="113" t="s">
        <v>1193</v>
      </c>
      <c r="D333" s="144">
        <v>43228</v>
      </c>
      <c r="E333" s="118" t="s">
        <v>1272</v>
      </c>
      <c r="F333" s="145" t="s">
        <v>164</v>
      </c>
      <c r="G333" s="111" t="s">
        <v>1273</v>
      </c>
      <c r="H333" s="111"/>
      <c r="I333" s="119" t="s">
        <v>2058</v>
      </c>
      <c r="J333" s="232"/>
      <c r="K333" s="118" t="s">
        <v>1274</v>
      </c>
      <c r="L333" s="118"/>
      <c r="M333" s="147"/>
      <c r="N333" s="111" t="s">
        <v>1275</v>
      </c>
      <c r="O333" s="111" t="s">
        <v>1276</v>
      </c>
      <c r="P333" s="111"/>
      <c r="Q333" s="70"/>
      <c r="R333" s="146" t="s">
        <v>9</v>
      </c>
      <c r="S333" s="146"/>
      <c r="T333" s="70"/>
      <c r="U333" s="232"/>
      <c r="V333" s="158" t="s">
        <v>6</v>
      </c>
      <c r="W333" s="118" t="s">
        <v>1272</v>
      </c>
      <c r="X333" s="113">
        <v>43250</v>
      </c>
      <c r="Y333" s="117">
        <f t="shared" si="32"/>
        <v>43320</v>
      </c>
      <c r="Z333" s="187">
        <v>43584</v>
      </c>
      <c r="AA333" s="161" t="str">
        <f t="shared" ca="1" si="31"/>
        <v>NO</v>
      </c>
      <c r="AB333" s="113"/>
      <c r="AC333" s="70"/>
      <c r="AD333" s="70"/>
      <c r="AE333" s="70"/>
      <c r="AF333" s="70" t="str">
        <f t="shared" ca="1" si="33"/>
        <v>N/A</v>
      </c>
      <c r="AG333" s="185">
        <v>0</v>
      </c>
      <c r="AH333" s="185">
        <v>0</v>
      </c>
      <c r="AI333" s="186">
        <f t="shared" si="34"/>
        <v>0</v>
      </c>
      <c r="AJ333" s="70"/>
      <c r="AK333" s="70"/>
      <c r="AL333" s="70"/>
      <c r="AM333" s="165" t="str">
        <f t="shared" si="35"/>
        <v>18016 WANBANG</v>
      </c>
      <c r="AN333" s="165" t="str">
        <f t="shared" si="36"/>
        <v>18016 WANBANG : Archer Zhang site accident - broken foot</v>
      </c>
    </row>
    <row r="334" spans="1:40" s="76" customFormat="1" ht="14.5" hidden="1" x14ac:dyDescent="0.35">
      <c r="A334" s="122" t="s">
        <v>1277</v>
      </c>
      <c r="B334" s="116">
        <v>18017</v>
      </c>
      <c r="C334" s="143" t="s">
        <v>4</v>
      </c>
      <c r="D334" s="144">
        <v>43234</v>
      </c>
      <c r="E334" s="145" t="s">
        <v>160</v>
      </c>
      <c r="F334" s="145" t="s">
        <v>658</v>
      </c>
      <c r="G334" s="146" t="s">
        <v>1278</v>
      </c>
      <c r="H334" s="146" t="s">
        <v>1267</v>
      </c>
      <c r="I334" s="119" t="s">
        <v>2057</v>
      </c>
      <c r="J334" s="232"/>
      <c r="K334" s="145"/>
      <c r="L334" s="145" t="s">
        <v>1279</v>
      </c>
      <c r="M334" s="147"/>
      <c r="N334" s="146" t="s">
        <v>1280</v>
      </c>
      <c r="O334" s="146" t="s">
        <v>28</v>
      </c>
      <c r="P334" s="146" t="s">
        <v>103</v>
      </c>
      <c r="Q334" s="232" t="s">
        <v>176</v>
      </c>
      <c r="R334" s="146" t="s">
        <v>15</v>
      </c>
      <c r="S334" s="146"/>
      <c r="T334" s="232"/>
      <c r="U334" s="232"/>
      <c r="V334" s="158" t="s">
        <v>10</v>
      </c>
      <c r="W334" s="145"/>
      <c r="X334" s="143">
        <v>43234</v>
      </c>
      <c r="Y334" s="144">
        <f t="shared" si="32"/>
        <v>43326</v>
      </c>
      <c r="Z334" s="235">
        <v>43287</v>
      </c>
      <c r="AA334" s="161" t="str">
        <f t="shared" ca="1" si="31"/>
        <v>YES</v>
      </c>
      <c r="AB334" s="113"/>
      <c r="AC334" s="232"/>
      <c r="AD334" s="232"/>
      <c r="AE334" s="232"/>
      <c r="AF334" s="70" t="str">
        <f t="shared" ca="1" si="33"/>
        <v>N/A</v>
      </c>
      <c r="AG334" s="185">
        <v>528</v>
      </c>
      <c r="AH334" s="185">
        <v>9055</v>
      </c>
      <c r="AI334" s="186">
        <f t="shared" si="34"/>
        <v>9583</v>
      </c>
      <c r="AJ334" s="182" t="s">
        <v>6</v>
      </c>
      <c r="AK334" s="187">
        <v>43774</v>
      </c>
      <c r="AL334" s="232"/>
      <c r="AM334" s="184" t="str">
        <f t="shared" si="35"/>
        <v>18017 Vale Inco</v>
      </c>
      <c r="AN334" s="184" t="str">
        <f t="shared" si="36"/>
        <v>18017 Vale Inco : Error of purchased nozzle references</v>
      </c>
    </row>
    <row r="335" spans="1:40" s="76" customFormat="1" ht="14.5" hidden="1" x14ac:dyDescent="0.35">
      <c r="A335" s="122" t="s">
        <v>1281</v>
      </c>
      <c r="B335" s="116">
        <v>18018</v>
      </c>
      <c r="C335" s="143" t="s">
        <v>4</v>
      </c>
      <c r="D335" s="144">
        <v>43245</v>
      </c>
      <c r="E335" s="145" t="s">
        <v>1009</v>
      </c>
      <c r="F335" s="145" t="s">
        <v>164</v>
      </c>
      <c r="G335" s="146" t="s">
        <v>1252</v>
      </c>
      <c r="H335" s="146" t="s">
        <v>1282</v>
      </c>
      <c r="I335" s="119" t="s">
        <v>2057</v>
      </c>
      <c r="J335" s="232"/>
      <c r="K335" s="145">
        <v>2038</v>
      </c>
      <c r="L335" s="145">
        <v>12573</v>
      </c>
      <c r="M335" s="147" t="s">
        <v>1283</v>
      </c>
      <c r="N335" s="146" t="s">
        <v>1284</v>
      </c>
      <c r="O335" s="146" t="s">
        <v>29</v>
      </c>
      <c r="P335" s="146" t="s">
        <v>86</v>
      </c>
      <c r="Q335" s="70" t="s">
        <v>1285</v>
      </c>
      <c r="R335" s="146" t="s">
        <v>9</v>
      </c>
      <c r="S335" s="146"/>
      <c r="T335" s="232"/>
      <c r="U335" s="232"/>
      <c r="V335" s="158" t="s">
        <v>6</v>
      </c>
      <c r="W335" s="145" t="s">
        <v>1009</v>
      </c>
      <c r="X335" s="143">
        <v>43243</v>
      </c>
      <c r="Y335" s="144">
        <f t="shared" si="32"/>
        <v>43337</v>
      </c>
      <c r="Z335" s="235">
        <v>43333</v>
      </c>
      <c r="AA335" s="161" t="str">
        <f t="shared" ca="1" si="31"/>
        <v>YES</v>
      </c>
      <c r="AB335" s="113"/>
      <c r="AC335" s="232"/>
      <c r="AD335" s="232"/>
      <c r="AE335" s="232"/>
      <c r="AF335" s="70" t="str">
        <f t="shared" ca="1" si="33"/>
        <v>N/A</v>
      </c>
      <c r="AG335" s="185">
        <v>2552</v>
      </c>
      <c r="AH335" s="185">
        <v>0</v>
      </c>
      <c r="AI335" s="186">
        <f t="shared" si="34"/>
        <v>2552</v>
      </c>
      <c r="AJ335" s="182" t="s">
        <v>6</v>
      </c>
      <c r="AK335" s="187">
        <v>43726</v>
      </c>
      <c r="AL335" s="232"/>
      <c r="AM335" s="184" t="str">
        <f t="shared" si="35"/>
        <v>18018 Friesland Campina</v>
      </c>
      <c r="AN335" s="184" t="str">
        <f t="shared" si="36"/>
        <v>18018 Friesland Campina : Delay UF RO skids delivery</v>
      </c>
    </row>
    <row r="336" spans="1:40" s="76" customFormat="1" ht="14.5" hidden="1" x14ac:dyDescent="0.35">
      <c r="A336" s="122" t="s">
        <v>1286</v>
      </c>
      <c r="B336" s="116">
        <v>18019</v>
      </c>
      <c r="C336" s="143" t="s">
        <v>4</v>
      </c>
      <c r="D336" s="144">
        <v>43259</v>
      </c>
      <c r="E336" s="145" t="s">
        <v>335</v>
      </c>
      <c r="F336" s="145" t="s">
        <v>164</v>
      </c>
      <c r="G336" s="146" t="s">
        <v>1125</v>
      </c>
      <c r="H336" s="146" t="s">
        <v>1287</v>
      </c>
      <c r="I336" s="119" t="s">
        <v>2056</v>
      </c>
      <c r="J336" s="232"/>
      <c r="K336" s="145">
        <v>2048</v>
      </c>
      <c r="L336" s="145">
        <v>12194</v>
      </c>
      <c r="M336" s="147"/>
      <c r="N336" s="111" t="s">
        <v>1288</v>
      </c>
      <c r="O336" s="146" t="s">
        <v>29</v>
      </c>
      <c r="P336" s="146" t="s">
        <v>86</v>
      </c>
      <c r="Q336" s="232" t="s">
        <v>1289</v>
      </c>
      <c r="R336" s="146" t="s">
        <v>145</v>
      </c>
      <c r="S336" s="146"/>
      <c r="T336" s="232"/>
      <c r="U336" s="232"/>
      <c r="V336" s="158" t="s">
        <v>10</v>
      </c>
      <c r="W336" s="145"/>
      <c r="X336" s="143"/>
      <c r="Y336" s="144">
        <f t="shared" si="32"/>
        <v>43351</v>
      </c>
      <c r="Z336" s="235">
        <v>43334</v>
      </c>
      <c r="AA336" s="161" t="str">
        <f t="shared" ca="1" si="31"/>
        <v>YES</v>
      </c>
      <c r="AB336" s="113"/>
      <c r="AC336" s="232"/>
      <c r="AD336" s="232"/>
      <c r="AE336" s="232"/>
      <c r="AF336" s="70" t="str">
        <f t="shared" ca="1" si="33"/>
        <v>N/A</v>
      </c>
      <c r="AG336" s="185">
        <v>616</v>
      </c>
      <c r="AH336" s="185">
        <v>0</v>
      </c>
      <c r="AI336" s="186">
        <f t="shared" si="34"/>
        <v>616</v>
      </c>
      <c r="AJ336" s="182" t="s">
        <v>6</v>
      </c>
      <c r="AK336" s="187">
        <v>43773</v>
      </c>
      <c r="AL336" s="232"/>
      <c r="AM336" s="184" t="str">
        <f t="shared" si="35"/>
        <v>18019 ADM US</v>
      </c>
      <c r="AN336" s="184" t="str">
        <f t="shared" si="36"/>
        <v>18019 ADM US : Error in the choice of electrical terminal blocks</v>
      </c>
    </row>
    <row r="337" spans="1:40" s="76" customFormat="1" ht="14.5" hidden="1" x14ac:dyDescent="0.35">
      <c r="A337" s="122" t="s">
        <v>1290</v>
      </c>
      <c r="B337" s="116">
        <v>18020</v>
      </c>
      <c r="C337" s="143" t="s">
        <v>4</v>
      </c>
      <c r="D337" s="144">
        <v>43266</v>
      </c>
      <c r="E337" s="145" t="s">
        <v>1046</v>
      </c>
      <c r="F337" s="145" t="s">
        <v>420</v>
      </c>
      <c r="G337" s="146" t="s">
        <v>1291</v>
      </c>
      <c r="H337" s="146"/>
      <c r="I337" s="119" t="s">
        <v>2057</v>
      </c>
      <c r="J337" s="232"/>
      <c r="K337" s="145"/>
      <c r="L337" s="145" t="s">
        <v>1292</v>
      </c>
      <c r="M337" s="147" t="s">
        <v>1293</v>
      </c>
      <c r="N337" s="146" t="s">
        <v>1294</v>
      </c>
      <c r="O337" s="111" t="s">
        <v>420</v>
      </c>
      <c r="P337" s="146" t="s">
        <v>80</v>
      </c>
      <c r="Q337" s="70" t="s">
        <v>1295</v>
      </c>
      <c r="R337" s="146" t="s">
        <v>87</v>
      </c>
      <c r="S337" s="146"/>
      <c r="T337" s="232"/>
      <c r="U337" s="232"/>
      <c r="V337" s="158" t="s">
        <v>6</v>
      </c>
      <c r="W337" s="145" t="s">
        <v>1046</v>
      </c>
      <c r="X337" s="143">
        <v>43284</v>
      </c>
      <c r="Y337" s="144">
        <f t="shared" si="32"/>
        <v>43358</v>
      </c>
      <c r="Z337" s="235">
        <v>43354</v>
      </c>
      <c r="AA337" s="161" t="str">
        <f t="shared" ca="1" si="31"/>
        <v>YES</v>
      </c>
      <c r="AB337" s="113"/>
      <c r="AC337" s="232"/>
      <c r="AD337" s="232"/>
      <c r="AE337" s="232"/>
      <c r="AF337" s="70" t="str">
        <f t="shared" ca="1" si="33"/>
        <v>N/A</v>
      </c>
      <c r="AG337" s="185">
        <v>12936</v>
      </c>
      <c r="AH337" s="185">
        <v>1930</v>
      </c>
      <c r="AI337" s="186">
        <f t="shared" si="34"/>
        <v>14866</v>
      </c>
      <c r="AJ337" s="182" t="s">
        <v>6</v>
      </c>
      <c r="AK337" s="187">
        <v>43768</v>
      </c>
      <c r="AL337" s="232"/>
      <c r="AM337" s="184" t="str">
        <f t="shared" si="35"/>
        <v>18020 BENEO Chili</v>
      </c>
      <c r="AN337" s="184" t="str">
        <f t="shared" si="36"/>
        <v>18020 BENEO Chili : Regeneration protocol pb and not adapted pilot</v>
      </c>
    </row>
    <row r="338" spans="1:40" s="76" customFormat="1" ht="14.5" hidden="1" x14ac:dyDescent="0.35">
      <c r="A338" s="122" t="s">
        <v>1296</v>
      </c>
      <c r="B338" s="116">
        <v>18021</v>
      </c>
      <c r="C338" s="143" t="s">
        <v>4</v>
      </c>
      <c r="D338" s="144">
        <v>43278</v>
      </c>
      <c r="E338" s="145" t="s">
        <v>116</v>
      </c>
      <c r="F338" s="145" t="s">
        <v>164</v>
      </c>
      <c r="G338" s="146" t="s">
        <v>1014</v>
      </c>
      <c r="H338" s="111" t="s">
        <v>1297</v>
      </c>
      <c r="I338" s="119" t="s">
        <v>2056</v>
      </c>
      <c r="J338" s="232"/>
      <c r="K338" s="145">
        <v>2026</v>
      </c>
      <c r="L338" s="145">
        <v>11244</v>
      </c>
      <c r="M338" s="147" t="s">
        <v>338</v>
      </c>
      <c r="N338" s="146" t="s">
        <v>1298</v>
      </c>
      <c r="O338" s="146" t="s">
        <v>29</v>
      </c>
      <c r="P338" s="146" t="s">
        <v>176</v>
      </c>
      <c r="Q338" s="232" t="s">
        <v>634</v>
      </c>
      <c r="R338" s="146" t="s">
        <v>145</v>
      </c>
      <c r="S338" s="146"/>
      <c r="T338" s="232"/>
      <c r="U338" s="232"/>
      <c r="V338" s="158" t="s">
        <v>10</v>
      </c>
      <c r="W338" s="145"/>
      <c r="X338" s="143"/>
      <c r="Y338" s="144">
        <f t="shared" si="32"/>
        <v>43370</v>
      </c>
      <c r="Z338" s="235">
        <v>43357</v>
      </c>
      <c r="AA338" s="161" t="str">
        <f t="shared" ref="AA338:AA369" ca="1" si="37">IF(Z338="",IF(TODAY()&gt;Y338,"NO","YES"),IF(Z338&gt;Y338,"NO",IF(Z338&lt;Y338,"YES",IF(Y338=Z338,"YES","N/A"))))</f>
        <v>YES</v>
      </c>
      <c r="AB338" s="113"/>
      <c r="AC338" s="232"/>
      <c r="AD338" s="232"/>
      <c r="AE338" s="232"/>
      <c r="AF338" s="70" t="str">
        <f t="shared" ca="1" si="33"/>
        <v>N/A</v>
      </c>
      <c r="AG338" s="185">
        <v>2728</v>
      </c>
      <c r="AH338" s="185">
        <v>0</v>
      </c>
      <c r="AI338" s="186">
        <f t="shared" si="34"/>
        <v>2728</v>
      </c>
      <c r="AJ338" s="182" t="s">
        <v>6</v>
      </c>
      <c r="AK338" s="187">
        <v>43495</v>
      </c>
      <c r="AL338" s="232"/>
      <c r="AM338" s="184" t="str">
        <f t="shared" si="35"/>
        <v>18021 Biospringer</v>
      </c>
      <c r="AN338" s="184" t="str">
        <f t="shared" si="36"/>
        <v>18021 Biospringer : K99 module leakage</v>
      </c>
    </row>
    <row r="339" spans="1:40" s="76" customFormat="1" ht="14.5" hidden="1" x14ac:dyDescent="0.35">
      <c r="A339" s="122" t="s">
        <v>1299</v>
      </c>
      <c r="B339" s="116">
        <v>18022</v>
      </c>
      <c r="C339" s="113" t="s">
        <v>1300</v>
      </c>
      <c r="D339" s="117">
        <v>43286</v>
      </c>
      <c r="E339" s="118" t="s">
        <v>1301</v>
      </c>
      <c r="F339" s="118" t="s">
        <v>164</v>
      </c>
      <c r="G339" s="111" t="s">
        <v>1302</v>
      </c>
      <c r="H339" s="111" t="s">
        <v>1303</v>
      </c>
      <c r="I339" s="119" t="s">
        <v>2057</v>
      </c>
      <c r="J339" s="70"/>
      <c r="K339" s="118">
        <v>2062</v>
      </c>
      <c r="L339" s="118">
        <v>13678</v>
      </c>
      <c r="M339" s="147" t="s">
        <v>1304</v>
      </c>
      <c r="N339" s="111" t="s">
        <v>1305</v>
      </c>
      <c r="O339" s="111" t="s">
        <v>29</v>
      </c>
      <c r="P339" s="146" t="s">
        <v>86</v>
      </c>
      <c r="Q339" s="70" t="s">
        <v>522</v>
      </c>
      <c r="R339" s="146" t="s">
        <v>9</v>
      </c>
      <c r="S339" s="146"/>
      <c r="T339" s="70"/>
      <c r="U339" s="73"/>
      <c r="V339" s="158" t="s">
        <v>6</v>
      </c>
      <c r="W339" s="118" t="s">
        <v>1306</v>
      </c>
      <c r="X339" s="113">
        <v>43284</v>
      </c>
      <c r="Y339" s="117">
        <f t="shared" si="32"/>
        <v>43378</v>
      </c>
      <c r="Z339" s="187">
        <v>43307</v>
      </c>
      <c r="AA339" s="161" t="str">
        <f t="shared" ca="1" si="37"/>
        <v>YES</v>
      </c>
      <c r="AB339" s="113"/>
      <c r="AC339" s="70"/>
      <c r="AD339" s="70"/>
      <c r="AE339" s="70"/>
      <c r="AF339" s="70" t="str">
        <f t="shared" ca="1" si="33"/>
        <v>N/A</v>
      </c>
      <c r="AG339" s="185">
        <v>164.10256410256412</v>
      </c>
      <c r="AH339" s="185">
        <v>145.38461538461539</v>
      </c>
      <c r="AI339" s="186">
        <f t="shared" si="34"/>
        <v>309.4871794871795</v>
      </c>
      <c r="AJ339" s="70"/>
      <c r="AK339" s="70"/>
      <c r="AL339" s="70"/>
      <c r="AM339" s="165" t="str">
        <f t="shared" si="35"/>
        <v>18022 CJ GMP1</v>
      </c>
      <c r="AN339" s="165" t="str">
        <f t="shared" si="36"/>
        <v>18022 CJ GMP1 : The mismatch on internals parts</v>
      </c>
    </row>
    <row r="340" spans="1:40" s="76" customFormat="1" ht="14.5" hidden="1" x14ac:dyDescent="0.35">
      <c r="A340" s="122" t="s">
        <v>1307</v>
      </c>
      <c r="B340" s="116">
        <v>18023</v>
      </c>
      <c r="C340" s="113" t="s">
        <v>1300</v>
      </c>
      <c r="D340" s="117">
        <v>43286</v>
      </c>
      <c r="E340" s="118" t="s">
        <v>1301</v>
      </c>
      <c r="F340" s="118" t="s">
        <v>164</v>
      </c>
      <c r="G340" s="111" t="s">
        <v>1308</v>
      </c>
      <c r="H340" s="111"/>
      <c r="I340" s="119" t="s">
        <v>2057</v>
      </c>
      <c r="J340" s="70"/>
      <c r="K340" s="118">
        <v>2029</v>
      </c>
      <c r="L340" s="118">
        <v>9801</v>
      </c>
      <c r="M340" s="147" t="s">
        <v>1309</v>
      </c>
      <c r="N340" s="111" t="s">
        <v>1310</v>
      </c>
      <c r="O340" s="111" t="s">
        <v>29</v>
      </c>
      <c r="P340" s="146" t="s">
        <v>86</v>
      </c>
      <c r="Q340" s="70" t="s">
        <v>522</v>
      </c>
      <c r="R340" s="146" t="s">
        <v>9</v>
      </c>
      <c r="S340" s="146"/>
      <c r="T340" s="70"/>
      <c r="U340" s="73"/>
      <c r="V340" s="158" t="s">
        <v>6</v>
      </c>
      <c r="W340" s="118" t="s">
        <v>1311</v>
      </c>
      <c r="X340" s="113">
        <v>43294</v>
      </c>
      <c r="Y340" s="117">
        <f t="shared" si="32"/>
        <v>43378</v>
      </c>
      <c r="Z340" s="187">
        <v>43307</v>
      </c>
      <c r="AA340" s="161" t="str">
        <f t="shared" ca="1" si="37"/>
        <v>YES</v>
      </c>
      <c r="AB340" s="113"/>
      <c r="AC340" s="70"/>
      <c r="AD340" s="70"/>
      <c r="AE340" s="70"/>
      <c r="AF340" s="70" t="str">
        <f t="shared" ca="1" si="33"/>
        <v>N/A</v>
      </c>
      <c r="AG340" s="185">
        <v>164.10256410256412</v>
      </c>
      <c r="AH340" s="185">
        <v>46.15384615384616</v>
      </c>
      <c r="AI340" s="186">
        <f t="shared" si="34"/>
        <v>210.25641025641028</v>
      </c>
      <c r="AJ340" s="70"/>
      <c r="AK340" s="75"/>
      <c r="AL340" s="75"/>
      <c r="AM340" s="166" t="str">
        <f t="shared" si="35"/>
        <v>18023 Yinmore-Haisum</v>
      </c>
      <c r="AN340" s="166" t="str">
        <f t="shared" si="36"/>
        <v>18023 Yinmore-Haisum : The nozzle under internal backwashing flange can't be mounted</v>
      </c>
    </row>
    <row r="341" spans="1:40" s="76" customFormat="1" ht="14.5" hidden="1" x14ac:dyDescent="0.35">
      <c r="A341" s="122" t="s">
        <v>1312</v>
      </c>
      <c r="B341" s="116">
        <v>18024</v>
      </c>
      <c r="C341" s="143" t="s">
        <v>4</v>
      </c>
      <c r="D341" s="144">
        <v>43298</v>
      </c>
      <c r="E341" s="145" t="s">
        <v>370</v>
      </c>
      <c r="F341" s="145" t="s">
        <v>420</v>
      </c>
      <c r="G341" s="146" t="s">
        <v>1313</v>
      </c>
      <c r="H341" s="146"/>
      <c r="I341" s="119" t="s">
        <v>2058</v>
      </c>
      <c r="J341" s="232"/>
      <c r="K341" s="145"/>
      <c r="L341" s="145" t="s">
        <v>1314</v>
      </c>
      <c r="M341" s="147"/>
      <c r="N341" s="111" t="s">
        <v>1315</v>
      </c>
      <c r="O341" s="111" t="s">
        <v>420</v>
      </c>
      <c r="P341" s="111" t="s">
        <v>80</v>
      </c>
      <c r="Q341" s="70" t="s">
        <v>1316</v>
      </c>
      <c r="R341" s="146" t="s">
        <v>9</v>
      </c>
      <c r="S341" s="146"/>
      <c r="T341" s="232"/>
      <c r="U341" s="232"/>
      <c r="V341" s="158" t="s">
        <v>6</v>
      </c>
      <c r="W341" s="145" t="s">
        <v>577</v>
      </c>
      <c r="X341" s="143">
        <v>43298</v>
      </c>
      <c r="Y341" s="144">
        <f t="shared" si="32"/>
        <v>43390</v>
      </c>
      <c r="Z341" s="235">
        <v>43378</v>
      </c>
      <c r="AA341" s="161" t="str">
        <f t="shared" ca="1" si="37"/>
        <v>YES</v>
      </c>
      <c r="AB341" s="113"/>
      <c r="AC341" s="232"/>
      <c r="AD341" s="232"/>
      <c r="AE341" s="232"/>
      <c r="AF341" s="70" t="str">
        <f t="shared" ca="1" si="33"/>
        <v>N/A</v>
      </c>
      <c r="AG341" s="185">
        <v>176</v>
      </c>
      <c r="AH341" s="185">
        <v>418</v>
      </c>
      <c r="AI341" s="186">
        <f t="shared" si="34"/>
        <v>594</v>
      </c>
      <c r="AJ341" s="182" t="s">
        <v>6</v>
      </c>
      <c r="AK341" s="187">
        <v>43768</v>
      </c>
      <c r="AL341" s="232"/>
      <c r="AM341" s="184" t="str">
        <f t="shared" si="35"/>
        <v>18024 Sucden</v>
      </c>
      <c r="AN341" s="184" t="str">
        <f t="shared" si="36"/>
        <v>18024 Sucden : Rotavapor balloon breakage</v>
      </c>
    </row>
    <row r="342" spans="1:40" s="76" customFormat="1" ht="14.5" hidden="1" x14ac:dyDescent="0.35">
      <c r="A342" s="122" t="s">
        <v>1317</v>
      </c>
      <c r="B342" s="116">
        <v>18025</v>
      </c>
      <c r="C342" s="113" t="s">
        <v>1193</v>
      </c>
      <c r="D342" s="144">
        <v>43312</v>
      </c>
      <c r="E342" s="118" t="s">
        <v>1318</v>
      </c>
      <c r="F342" s="118" t="s">
        <v>1222</v>
      </c>
      <c r="G342" s="111" t="s">
        <v>1319</v>
      </c>
      <c r="H342" s="111" t="s">
        <v>1320</v>
      </c>
      <c r="I342" s="119" t="s">
        <v>1224</v>
      </c>
      <c r="J342" s="70"/>
      <c r="K342" s="118">
        <v>1984</v>
      </c>
      <c r="L342" s="118">
        <v>9728</v>
      </c>
      <c r="M342" s="147" t="s">
        <v>1321</v>
      </c>
      <c r="N342" s="111" t="s">
        <v>1322</v>
      </c>
      <c r="O342" s="146" t="s">
        <v>29</v>
      </c>
      <c r="P342" s="111" t="s">
        <v>1226</v>
      </c>
      <c r="Q342" s="70" t="s">
        <v>1289</v>
      </c>
      <c r="R342" s="146" t="s">
        <v>9</v>
      </c>
      <c r="S342" s="146"/>
      <c r="T342" s="70"/>
      <c r="U342" s="70"/>
      <c r="V342" s="158" t="s">
        <v>6</v>
      </c>
      <c r="W342" s="118" t="s">
        <v>1318</v>
      </c>
      <c r="X342" s="113">
        <v>43312</v>
      </c>
      <c r="Y342" s="117">
        <f t="shared" si="32"/>
        <v>43404</v>
      </c>
      <c r="Z342" s="187">
        <v>43403</v>
      </c>
      <c r="AA342" s="161" t="str">
        <f t="shared" ca="1" si="37"/>
        <v>YES</v>
      </c>
      <c r="AB342" s="113"/>
      <c r="AC342" s="70"/>
      <c r="AD342" s="70"/>
      <c r="AE342" s="70"/>
      <c r="AF342" s="70" t="str">
        <f t="shared" ca="1" si="33"/>
        <v>N/A</v>
      </c>
      <c r="AG342" s="185">
        <v>1518.2051282051282</v>
      </c>
      <c r="AH342" s="185">
        <v>25641.025641025641</v>
      </c>
      <c r="AI342" s="186">
        <f t="shared" si="34"/>
        <v>27159.23076923077</v>
      </c>
      <c r="AJ342" s="70"/>
      <c r="AK342" s="70"/>
      <c r="AL342" s="70"/>
      <c r="AM342" s="165" t="str">
        <f t="shared" si="35"/>
        <v>18025 ADM</v>
      </c>
      <c r="AN342" s="165" t="str">
        <f t="shared" si="36"/>
        <v>18025 ADM : The electromagnetic flowmeter doesn't work properly</v>
      </c>
    </row>
    <row r="343" spans="1:40" s="76" customFormat="1" ht="14.5" hidden="1" x14ac:dyDescent="0.35">
      <c r="A343" s="122" t="s">
        <v>1323</v>
      </c>
      <c r="B343" s="116">
        <v>18026</v>
      </c>
      <c r="C343" s="143" t="s">
        <v>4</v>
      </c>
      <c r="D343" s="144">
        <v>43333</v>
      </c>
      <c r="E343" s="145" t="s">
        <v>160</v>
      </c>
      <c r="F343" s="145" t="s">
        <v>658</v>
      </c>
      <c r="G343" s="146" t="s">
        <v>1324</v>
      </c>
      <c r="H343" s="146" t="s">
        <v>309</v>
      </c>
      <c r="I343" s="119" t="s">
        <v>14</v>
      </c>
      <c r="J343" s="232"/>
      <c r="K343" s="145"/>
      <c r="L343" s="145" t="s">
        <v>1325</v>
      </c>
      <c r="M343" s="150" t="s">
        <v>13</v>
      </c>
      <c r="N343" s="146" t="s">
        <v>1326</v>
      </c>
      <c r="O343" s="146" t="s">
        <v>28</v>
      </c>
      <c r="P343" s="146" t="s">
        <v>103</v>
      </c>
      <c r="Q343" s="232"/>
      <c r="R343" s="146" t="s">
        <v>9</v>
      </c>
      <c r="S343" s="146"/>
      <c r="T343" s="232"/>
      <c r="U343" s="232"/>
      <c r="V343" s="158" t="s">
        <v>6</v>
      </c>
      <c r="W343" s="145" t="s">
        <v>160</v>
      </c>
      <c r="X343" s="143">
        <v>43333</v>
      </c>
      <c r="Y343" s="144">
        <f t="shared" si="32"/>
        <v>43425</v>
      </c>
      <c r="Z343" s="235">
        <v>43507</v>
      </c>
      <c r="AA343" s="161" t="str">
        <f t="shared" ca="1" si="37"/>
        <v>NO</v>
      </c>
      <c r="AB343" s="113"/>
      <c r="AC343" s="232"/>
      <c r="AD343" s="232"/>
      <c r="AE343" s="232"/>
      <c r="AF343" s="70" t="str">
        <f t="shared" ca="1" si="33"/>
        <v>N/A</v>
      </c>
      <c r="AG343" s="185">
        <v>1408</v>
      </c>
      <c r="AH343" s="185">
        <v>100</v>
      </c>
      <c r="AI343" s="186">
        <f t="shared" si="34"/>
        <v>1508</v>
      </c>
      <c r="AJ343" s="182" t="s">
        <v>6</v>
      </c>
      <c r="AK343" s="187">
        <v>43781</v>
      </c>
      <c r="AL343" s="232"/>
      <c r="AM343" s="184" t="str">
        <f t="shared" si="35"/>
        <v>18026 Téréos Chevrières</v>
      </c>
      <c r="AN343" s="184" t="str">
        <f t="shared" si="36"/>
        <v>18026 Téréos Chevrières : Amine taste of liquid sugar</v>
      </c>
    </row>
    <row r="344" spans="1:40" s="76" customFormat="1" ht="14.5" hidden="1" x14ac:dyDescent="0.35">
      <c r="A344" s="122" t="s">
        <v>1327</v>
      </c>
      <c r="B344" s="116">
        <v>18027</v>
      </c>
      <c r="C344" s="143" t="s">
        <v>4</v>
      </c>
      <c r="D344" s="144">
        <v>43334</v>
      </c>
      <c r="E344" s="145" t="s">
        <v>99</v>
      </c>
      <c r="F344" s="145" t="s">
        <v>658</v>
      </c>
      <c r="G344" s="146" t="s">
        <v>1095</v>
      </c>
      <c r="H344" s="146" t="s">
        <v>901</v>
      </c>
      <c r="I344" s="119" t="s">
        <v>5</v>
      </c>
      <c r="J344" s="232"/>
      <c r="K344" s="145"/>
      <c r="L344" s="145" t="s">
        <v>1328</v>
      </c>
      <c r="M344" s="150" t="s">
        <v>359</v>
      </c>
      <c r="N344" s="146" t="s">
        <v>1329</v>
      </c>
      <c r="O344" s="146" t="s">
        <v>28</v>
      </c>
      <c r="P344" s="146" t="s">
        <v>103</v>
      </c>
      <c r="Q344" s="232"/>
      <c r="R344" s="146" t="s">
        <v>145</v>
      </c>
      <c r="S344" s="146"/>
      <c r="T344" s="232"/>
      <c r="U344" s="232"/>
      <c r="V344" s="158" t="s">
        <v>6</v>
      </c>
      <c r="W344" s="145" t="s">
        <v>99</v>
      </c>
      <c r="X344" s="143">
        <v>43339</v>
      </c>
      <c r="Y344" s="144">
        <f t="shared" si="32"/>
        <v>43426</v>
      </c>
      <c r="Z344" s="235">
        <v>43490</v>
      </c>
      <c r="AA344" s="161" t="str">
        <f t="shared" ca="1" si="37"/>
        <v>NO</v>
      </c>
      <c r="AB344" s="113"/>
      <c r="AC344" s="190">
        <v>43325</v>
      </c>
      <c r="AD344" s="235">
        <v>43496</v>
      </c>
      <c r="AE344" s="235">
        <v>43490</v>
      </c>
      <c r="AF344" s="70" t="str">
        <f t="shared" ca="1" si="33"/>
        <v>YES</v>
      </c>
      <c r="AG344" s="185">
        <v>616</v>
      </c>
      <c r="AH344" s="185">
        <v>0</v>
      </c>
      <c r="AI344" s="186">
        <f t="shared" si="34"/>
        <v>616</v>
      </c>
      <c r="AJ344" s="182" t="s">
        <v>6</v>
      </c>
      <c r="AK344" s="187">
        <v>43773</v>
      </c>
      <c r="AL344" s="232"/>
      <c r="AM344" s="184" t="str">
        <f t="shared" si="35"/>
        <v>18027 Mérial</v>
      </c>
      <c r="AN344" s="184" t="str">
        <f t="shared" si="36"/>
        <v xml:space="preserve">18027 Mérial : Leakage and broken Carbosep mbres </v>
      </c>
    </row>
    <row r="345" spans="1:40" s="76" customFormat="1" ht="14.5" hidden="1" x14ac:dyDescent="0.35">
      <c r="A345" s="122" t="s">
        <v>1330</v>
      </c>
      <c r="B345" s="116">
        <v>18028</v>
      </c>
      <c r="C345" s="143" t="s">
        <v>4</v>
      </c>
      <c r="D345" s="144">
        <v>43346</v>
      </c>
      <c r="E345" s="145" t="s">
        <v>877</v>
      </c>
      <c r="F345" s="145" t="s">
        <v>691</v>
      </c>
      <c r="G345" s="146" t="s">
        <v>1331</v>
      </c>
      <c r="H345" s="146"/>
      <c r="I345" s="119" t="s">
        <v>2057</v>
      </c>
      <c r="J345" s="232" t="s">
        <v>1332</v>
      </c>
      <c r="K345" s="145">
        <v>2070</v>
      </c>
      <c r="L345" s="145">
        <v>13599</v>
      </c>
      <c r="M345" s="147" t="s">
        <v>1333</v>
      </c>
      <c r="N345" s="146" t="s">
        <v>1334</v>
      </c>
      <c r="O345" s="146" t="s">
        <v>29</v>
      </c>
      <c r="P345" s="146" t="s">
        <v>86</v>
      </c>
      <c r="Q345" s="70" t="s">
        <v>885</v>
      </c>
      <c r="R345" s="146" t="s">
        <v>15</v>
      </c>
      <c r="S345" s="146"/>
      <c r="T345" s="232"/>
      <c r="U345" s="232"/>
      <c r="V345" s="158" t="s">
        <v>6</v>
      </c>
      <c r="W345" s="118" t="s">
        <v>913</v>
      </c>
      <c r="X345" s="143">
        <v>43368</v>
      </c>
      <c r="Y345" s="144">
        <f t="shared" si="32"/>
        <v>43437</v>
      </c>
      <c r="Z345" s="235">
        <v>43488</v>
      </c>
      <c r="AA345" s="161" t="str">
        <f t="shared" ca="1" si="37"/>
        <v>NO</v>
      </c>
      <c r="AB345" s="113"/>
      <c r="AC345" s="232"/>
      <c r="AD345" s="232"/>
      <c r="AE345" s="232"/>
      <c r="AF345" s="70" t="str">
        <f t="shared" ca="1" si="33"/>
        <v>N/A</v>
      </c>
      <c r="AG345" s="185">
        <v>1533</v>
      </c>
      <c r="AH345" s="185">
        <v>0</v>
      </c>
      <c r="AI345" s="186">
        <f t="shared" si="34"/>
        <v>1533</v>
      </c>
      <c r="AJ345" s="182" t="s">
        <v>6</v>
      </c>
      <c r="AK345" s="187">
        <v>43773</v>
      </c>
      <c r="AL345" s="232"/>
      <c r="AM345" s="184" t="str">
        <f t="shared" si="35"/>
        <v>18028 QNS</v>
      </c>
      <c r="AN345" s="184" t="str">
        <f t="shared" si="36"/>
        <v>18028 QNS : PID Tags coding error</v>
      </c>
    </row>
    <row r="346" spans="1:40" s="76" customFormat="1" ht="14.5" hidden="1" x14ac:dyDescent="0.35">
      <c r="A346" s="122" t="s">
        <v>1335</v>
      </c>
      <c r="B346" s="116">
        <v>18029</v>
      </c>
      <c r="C346" s="143" t="s">
        <v>4</v>
      </c>
      <c r="D346" s="144">
        <v>43364</v>
      </c>
      <c r="E346" s="118" t="s">
        <v>1336</v>
      </c>
      <c r="F346" s="145" t="s">
        <v>164</v>
      </c>
      <c r="G346" s="146" t="s">
        <v>1239</v>
      </c>
      <c r="H346" s="146" t="s">
        <v>1096</v>
      </c>
      <c r="I346" s="119" t="s">
        <v>2056</v>
      </c>
      <c r="J346" s="232"/>
      <c r="K346" s="145">
        <v>2050</v>
      </c>
      <c r="L346" s="145">
        <v>13191</v>
      </c>
      <c r="M346" s="147" t="s">
        <v>359</v>
      </c>
      <c r="N346" s="146" t="s">
        <v>1337</v>
      </c>
      <c r="O346" s="146" t="s">
        <v>29</v>
      </c>
      <c r="P346" s="146" t="s">
        <v>86</v>
      </c>
      <c r="Q346" s="232" t="s">
        <v>634</v>
      </c>
      <c r="R346" s="146" t="s">
        <v>145</v>
      </c>
      <c r="S346" s="146"/>
      <c r="T346" s="232"/>
      <c r="U346" s="232"/>
      <c r="V346" s="158" t="s">
        <v>10</v>
      </c>
      <c r="W346" s="145"/>
      <c r="X346" s="143"/>
      <c r="Y346" s="144">
        <f t="shared" si="32"/>
        <v>43455</v>
      </c>
      <c r="Z346" s="235">
        <v>43396</v>
      </c>
      <c r="AA346" s="161" t="str">
        <f t="shared" ca="1" si="37"/>
        <v>YES</v>
      </c>
      <c r="AB346" s="113"/>
      <c r="AC346" s="232"/>
      <c r="AD346" s="232"/>
      <c r="AE346" s="232"/>
      <c r="AF346" s="70" t="str">
        <f t="shared" ca="1" si="33"/>
        <v>N/A</v>
      </c>
      <c r="AG346" s="185">
        <v>0</v>
      </c>
      <c r="AH346" s="185">
        <v>0</v>
      </c>
      <c r="AI346" s="186">
        <f t="shared" si="34"/>
        <v>0</v>
      </c>
      <c r="AJ346" s="182" t="s">
        <v>6</v>
      </c>
      <c r="AK346" s="187">
        <v>43496</v>
      </c>
      <c r="AL346" s="232"/>
      <c r="AM346" s="184" t="str">
        <f t="shared" si="35"/>
        <v>18029 CEVA</v>
      </c>
      <c r="AN346" s="184" t="str">
        <f t="shared" si="36"/>
        <v>18029 CEVA : flatness defect on permeate output module S52</v>
      </c>
    </row>
    <row r="347" spans="1:40" s="76" customFormat="1" ht="14.5" hidden="1" x14ac:dyDescent="0.35">
      <c r="A347" s="122" t="s">
        <v>1338</v>
      </c>
      <c r="B347" s="116">
        <v>18030</v>
      </c>
      <c r="C347" s="143" t="s">
        <v>4</v>
      </c>
      <c r="D347" s="144">
        <v>43371</v>
      </c>
      <c r="E347" s="145" t="s">
        <v>224</v>
      </c>
      <c r="F347" s="145" t="s">
        <v>1103</v>
      </c>
      <c r="G347" s="146" t="s">
        <v>1339</v>
      </c>
      <c r="H347" s="146" t="s">
        <v>1041</v>
      </c>
      <c r="I347" s="119" t="s">
        <v>2057</v>
      </c>
      <c r="J347" s="232"/>
      <c r="K347" s="145">
        <v>2051</v>
      </c>
      <c r="L347" s="145">
        <v>10154</v>
      </c>
      <c r="M347" s="147" t="s">
        <v>18</v>
      </c>
      <c r="N347" s="111" t="s">
        <v>1340</v>
      </c>
      <c r="O347" s="146" t="s">
        <v>29</v>
      </c>
      <c r="P347" s="146" t="s">
        <v>176</v>
      </c>
      <c r="Q347" s="232" t="s">
        <v>510</v>
      </c>
      <c r="R347" s="146" t="s">
        <v>9</v>
      </c>
      <c r="S347" s="146"/>
      <c r="T347" s="232"/>
      <c r="U347" s="232"/>
      <c r="V347" s="158" t="s">
        <v>6</v>
      </c>
      <c r="W347" s="145" t="s">
        <v>224</v>
      </c>
      <c r="X347" s="143">
        <v>43355</v>
      </c>
      <c r="Y347" s="144">
        <f t="shared" si="32"/>
        <v>43462</v>
      </c>
      <c r="Z347" s="235">
        <v>43440</v>
      </c>
      <c r="AA347" s="161" t="str">
        <f t="shared" ca="1" si="37"/>
        <v>YES</v>
      </c>
      <c r="AB347" s="113"/>
      <c r="AC347" s="232"/>
      <c r="AD347" s="232"/>
      <c r="AE347" s="232"/>
      <c r="AF347" s="70" t="str">
        <f t="shared" ca="1" si="33"/>
        <v>N/A</v>
      </c>
      <c r="AG347" s="185">
        <v>704</v>
      </c>
      <c r="AH347" s="185">
        <v>0</v>
      </c>
      <c r="AI347" s="186">
        <f t="shared" si="34"/>
        <v>704</v>
      </c>
      <c r="AJ347" s="182" t="s">
        <v>6</v>
      </c>
      <c r="AK347" s="187">
        <v>43768</v>
      </c>
      <c r="AL347" s="232"/>
      <c r="AM347" s="184" t="str">
        <f t="shared" si="35"/>
        <v>18030 KLIM 3</v>
      </c>
      <c r="AN347" s="184" t="str">
        <f t="shared" si="36"/>
        <v>18030 KLIM 3 : Shipment of material subject to export license without license</v>
      </c>
    </row>
    <row r="348" spans="1:40" s="76" customFormat="1" ht="14.5" hidden="1" x14ac:dyDescent="0.35">
      <c r="A348" s="122" t="s">
        <v>1341</v>
      </c>
      <c r="B348" s="116">
        <v>18031</v>
      </c>
      <c r="C348" s="143" t="s">
        <v>4</v>
      </c>
      <c r="D348" s="144">
        <v>43383</v>
      </c>
      <c r="E348" s="145" t="s">
        <v>1342</v>
      </c>
      <c r="F348" s="116" t="s">
        <v>164</v>
      </c>
      <c r="G348" s="146" t="s">
        <v>1252</v>
      </c>
      <c r="H348" s="146" t="s">
        <v>1104</v>
      </c>
      <c r="I348" s="119" t="s">
        <v>2057</v>
      </c>
      <c r="J348" s="232"/>
      <c r="K348" s="145">
        <v>2038</v>
      </c>
      <c r="L348" s="145">
        <v>12573</v>
      </c>
      <c r="M348" s="147" t="s">
        <v>19</v>
      </c>
      <c r="N348" s="146" t="s">
        <v>1343</v>
      </c>
      <c r="O348" s="146" t="s">
        <v>29</v>
      </c>
      <c r="P348" s="146" t="s">
        <v>86</v>
      </c>
      <c r="Q348" s="232" t="s">
        <v>1026</v>
      </c>
      <c r="R348" s="146" t="s">
        <v>9</v>
      </c>
      <c r="S348" s="111" t="s">
        <v>1344</v>
      </c>
      <c r="T348" s="232"/>
      <c r="U348" s="232"/>
      <c r="V348" s="158" t="s">
        <v>6</v>
      </c>
      <c r="W348" s="145" t="s">
        <v>319</v>
      </c>
      <c r="X348" s="143">
        <v>43378</v>
      </c>
      <c r="Y348" s="144">
        <f t="shared" si="32"/>
        <v>43475</v>
      </c>
      <c r="Z348" s="235">
        <v>43474</v>
      </c>
      <c r="AA348" s="161" t="str">
        <f t="shared" ca="1" si="37"/>
        <v>YES</v>
      </c>
      <c r="AB348" s="113"/>
      <c r="AC348" s="232"/>
      <c r="AD348" s="232"/>
      <c r="AE348" s="232"/>
      <c r="AF348" s="70" t="str">
        <f t="shared" ca="1" si="33"/>
        <v>N/A</v>
      </c>
      <c r="AG348" s="185">
        <v>5720</v>
      </c>
      <c r="AH348" s="185">
        <v>1999.4700000000012</v>
      </c>
      <c r="AI348" s="186">
        <f t="shared" si="34"/>
        <v>7719.4700000000012</v>
      </c>
      <c r="AJ348" s="182" t="s">
        <v>6</v>
      </c>
      <c r="AK348" s="187">
        <v>43726</v>
      </c>
      <c r="AL348" s="232"/>
      <c r="AM348" s="184" t="str">
        <f t="shared" si="35"/>
        <v>18031 Friesland Campina</v>
      </c>
      <c r="AN348" s="184" t="str">
        <f t="shared" si="36"/>
        <v>18031 Friesland Campina : Broken booster pump</v>
      </c>
    </row>
    <row r="349" spans="1:40" s="76" customFormat="1" ht="14.5" hidden="1" x14ac:dyDescent="0.35">
      <c r="A349" s="122" t="s">
        <v>1345</v>
      </c>
      <c r="B349" s="116">
        <v>18032</v>
      </c>
      <c r="C349" s="143" t="s">
        <v>4</v>
      </c>
      <c r="D349" s="144">
        <v>43383</v>
      </c>
      <c r="E349" s="145" t="s">
        <v>146</v>
      </c>
      <c r="F349" s="145" t="s">
        <v>164</v>
      </c>
      <c r="G349" s="146" t="s">
        <v>1346</v>
      </c>
      <c r="H349" s="111" t="s">
        <v>1347</v>
      </c>
      <c r="I349" s="119" t="s">
        <v>5</v>
      </c>
      <c r="J349" s="232"/>
      <c r="K349" s="145">
        <v>1961</v>
      </c>
      <c r="L349" s="145">
        <v>9310</v>
      </c>
      <c r="M349" s="147" t="s">
        <v>13</v>
      </c>
      <c r="N349" s="111" t="s">
        <v>1348</v>
      </c>
      <c r="O349" s="111" t="s">
        <v>29</v>
      </c>
      <c r="P349" s="111" t="s">
        <v>86</v>
      </c>
      <c r="Q349" s="232"/>
      <c r="R349" s="111" t="s">
        <v>145</v>
      </c>
      <c r="S349" s="111"/>
      <c r="T349" s="232"/>
      <c r="U349" s="232"/>
      <c r="V349" s="158" t="s">
        <v>6</v>
      </c>
      <c r="W349" s="118" t="s">
        <v>146</v>
      </c>
      <c r="X349" s="143">
        <v>43390</v>
      </c>
      <c r="Y349" s="144">
        <f t="shared" si="32"/>
        <v>43475</v>
      </c>
      <c r="Z349" s="235">
        <v>43495</v>
      </c>
      <c r="AA349" s="161" t="str">
        <f t="shared" ca="1" si="37"/>
        <v>NO</v>
      </c>
      <c r="AB349" s="113"/>
      <c r="AC349" s="190">
        <v>43384</v>
      </c>
      <c r="AD349" s="235">
        <v>43496</v>
      </c>
      <c r="AE349" s="235">
        <v>43495</v>
      </c>
      <c r="AF349" s="70" t="str">
        <f t="shared" ca="1" si="33"/>
        <v>YES</v>
      </c>
      <c r="AG349" s="185">
        <v>1496</v>
      </c>
      <c r="AH349" s="185">
        <v>0</v>
      </c>
      <c r="AI349" s="186">
        <f t="shared" si="34"/>
        <v>1496</v>
      </c>
      <c r="AJ349" s="182" t="s">
        <v>6</v>
      </c>
      <c r="AK349" s="113">
        <v>43773</v>
      </c>
      <c r="AL349" s="232"/>
      <c r="AM349" s="184" t="str">
        <f t="shared" si="35"/>
        <v>18032 Cargill Spain</v>
      </c>
      <c r="AN349" s="184" t="str">
        <f t="shared" si="36"/>
        <v>18032 Cargill Spain : Leak on cationic column</v>
      </c>
    </row>
    <row r="350" spans="1:40" s="76" customFormat="1" ht="14.5" hidden="1" x14ac:dyDescent="0.35">
      <c r="A350" s="122" t="s">
        <v>1349</v>
      </c>
      <c r="B350" s="116">
        <v>18033</v>
      </c>
      <c r="C350" s="143" t="s">
        <v>4</v>
      </c>
      <c r="D350" s="144">
        <v>43395</v>
      </c>
      <c r="E350" s="145" t="s">
        <v>1336</v>
      </c>
      <c r="F350" s="145" t="s">
        <v>164</v>
      </c>
      <c r="G350" s="146" t="s">
        <v>1187</v>
      </c>
      <c r="H350" s="146" t="s">
        <v>1350</v>
      </c>
      <c r="I350" s="119" t="s">
        <v>5</v>
      </c>
      <c r="J350" s="232"/>
      <c r="K350" s="145">
        <v>2031</v>
      </c>
      <c r="L350" s="145">
        <v>10376</v>
      </c>
      <c r="M350" s="147" t="s">
        <v>13</v>
      </c>
      <c r="N350" s="111" t="s">
        <v>1351</v>
      </c>
      <c r="O350" s="146" t="s">
        <v>29</v>
      </c>
      <c r="P350" s="146" t="s">
        <v>86</v>
      </c>
      <c r="Q350" s="232"/>
      <c r="R350" s="146" t="s">
        <v>9</v>
      </c>
      <c r="S350" s="146"/>
      <c r="T350" s="232"/>
      <c r="U350" s="232"/>
      <c r="V350" s="158" t="s">
        <v>6</v>
      </c>
      <c r="W350" s="145" t="s">
        <v>1336</v>
      </c>
      <c r="X350" s="143">
        <v>43396</v>
      </c>
      <c r="Y350" s="144">
        <f t="shared" si="32"/>
        <v>43487</v>
      </c>
      <c r="Z350" s="235">
        <v>43553</v>
      </c>
      <c r="AA350" s="161" t="str">
        <f t="shared" ca="1" si="37"/>
        <v>NO</v>
      </c>
      <c r="AB350" s="113"/>
      <c r="AC350" s="190">
        <v>43357</v>
      </c>
      <c r="AD350" s="235">
        <v>43555</v>
      </c>
      <c r="AE350" s="235">
        <v>43553</v>
      </c>
      <c r="AF350" s="70" t="str">
        <f t="shared" ca="1" si="33"/>
        <v>YES</v>
      </c>
      <c r="AG350" s="185">
        <v>6792</v>
      </c>
      <c r="AH350" s="185">
        <v>1000</v>
      </c>
      <c r="AI350" s="186">
        <f t="shared" si="34"/>
        <v>7792</v>
      </c>
      <c r="AJ350" s="182" t="s">
        <v>6</v>
      </c>
      <c r="AK350" s="187">
        <v>43782</v>
      </c>
      <c r="AL350" s="232"/>
      <c r="AM350" s="184" t="str">
        <f t="shared" si="35"/>
        <v>18033 Cargill Manchester</v>
      </c>
      <c r="AN350" s="184" t="str">
        <f t="shared" si="36"/>
        <v>18033 Cargill Manchester : Resin leakage on sight glass column</v>
      </c>
    </row>
    <row r="351" spans="1:40" s="76" customFormat="1" ht="14.5" hidden="1" x14ac:dyDescent="0.35">
      <c r="A351" s="122" t="s">
        <v>1352</v>
      </c>
      <c r="B351" s="116">
        <v>18034</v>
      </c>
      <c r="C351" s="113" t="s">
        <v>4</v>
      </c>
      <c r="D351" s="117">
        <v>43399</v>
      </c>
      <c r="E351" s="118" t="s">
        <v>120</v>
      </c>
      <c r="F351" s="116" t="s">
        <v>164</v>
      </c>
      <c r="G351" s="111" t="s">
        <v>340</v>
      </c>
      <c r="H351" s="111"/>
      <c r="I351" s="119" t="s">
        <v>2057</v>
      </c>
      <c r="J351" s="70"/>
      <c r="K351" s="118">
        <v>2014</v>
      </c>
      <c r="L351" s="118">
        <v>10416</v>
      </c>
      <c r="M351" s="147" t="s">
        <v>11</v>
      </c>
      <c r="N351" s="111" t="s">
        <v>1353</v>
      </c>
      <c r="O351" s="111" t="s">
        <v>29</v>
      </c>
      <c r="P351" s="111" t="s">
        <v>86</v>
      </c>
      <c r="Q351" s="70" t="s">
        <v>1026</v>
      </c>
      <c r="R351" s="111" t="s">
        <v>9</v>
      </c>
      <c r="S351" s="111" t="s">
        <v>1344</v>
      </c>
      <c r="T351" s="70"/>
      <c r="U351" s="232"/>
      <c r="V351" s="158" t="s">
        <v>6</v>
      </c>
      <c r="W351" s="118" t="s">
        <v>120</v>
      </c>
      <c r="X351" s="113">
        <v>43399</v>
      </c>
      <c r="Y351" s="117">
        <f t="shared" si="32"/>
        <v>43491</v>
      </c>
      <c r="Z351" s="187">
        <v>43487</v>
      </c>
      <c r="AA351" s="161" t="str">
        <f t="shared" ca="1" si="37"/>
        <v>YES</v>
      </c>
      <c r="AB351" s="113"/>
      <c r="AC351" s="70"/>
      <c r="AD351" s="70"/>
      <c r="AE351" s="70"/>
      <c r="AF351" s="70" t="str">
        <f t="shared" ca="1" si="33"/>
        <v>N/A</v>
      </c>
      <c r="AG351" s="185">
        <v>27896</v>
      </c>
      <c r="AH351" s="185">
        <v>38680</v>
      </c>
      <c r="AI351" s="186">
        <f t="shared" si="34"/>
        <v>66576</v>
      </c>
      <c r="AJ351" s="182"/>
      <c r="AK351" s="70" t="s">
        <v>1354</v>
      </c>
      <c r="AL351" s="70" t="s">
        <v>1355</v>
      </c>
      <c r="AM351" s="165" t="str">
        <f t="shared" si="35"/>
        <v>18034 AGRANA</v>
      </c>
      <c r="AN351" s="165" t="str">
        <f t="shared" si="36"/>
        <v>18034 AGRANA : Resin leakage on SSMB column</v>
      </c>
    </row>
    <row r="352" spans="1:40" s="76" customFormat="1" ht="14.5" hidden="1" x14ac:dyDescent="0.35">
      <c r="A352" s="122" t="s">
        <v>1356</v>
      </c>
      <c r="B352" s="116">
        <v>18035</v>
      </c>
      <c r="C352" s="143" t="s">
        <v>4</v>
      </c>
      <c r="D352" s="144">
        <v>43409</v>
      </c>
      <c r="E352" s="145" t="s">
        <v>177</v>
      </c>
      <c r="F352" s="145" t="s">
        <v>1103</v>
      </c>
      <c r="G352" s="146" t="s">
        <v>1252</v>
      </c>
      <c r="H352" s="146" t="s">
        <v>1041</v>
      </c>
      <c r="I352" s="119" t="s">
        <v>2057</v>
      </c>
      <c r="J352" s="232"/>
      <c r="K352" s="145">
        <v>2038</v>
      </c>
      <c r="L352" s="145">
        <v>12573</v>
      </c>
      <c r="M352" s="147" t="s">
        <v>19</v>
      </c>
      <c r="N352" s="146" t="s">
        <v>1357</v>
      </c>
      <c r="O352" s="146" t="s">
        <v>29</v>
      </c>
      <c r="P352" s="146" t="s">
        <v>176</v>
      </c>
      <c r="Q352" s="232" t="s">
        <v>1358</v>
      </c>
      <c r="R352" s="146" t="s">
        <v>9</v>
      </c>
      <c r="S352" s="146"/>
      <c r="T352" s="232"/>
      <c r="U352" s="232"/>
      <c r="V352" s="158" t="s">
        <v>6</v>
      </c>
      <c r="W352" s="145" t="s">
        <v>177</v>
      </c>
      <c r="X352" s="143">
        <v>43412</v>
      </c>
      <c r="Y352" s="144">
        <f t="shared" si="32"/>
        <v>43501</v>
      </c>
      <c r="Z352" s="235">
        <v>43497</v>
      </c>
      <c r="AA352" s="161" t="str">
        <f t="shared" ca="1" si="37"/>
        <v>YES</v>
      </c>
      <c r="AB352" s="113"/>
      <c r="AC352" s="232"/>
      <c r="AD352" s="232"/>
      <c r="AE352" s="232"/>
      <c r="AF352" s="70" t="str">
        <f t="shared" ca="1" si="33"/>
        <v>N/A</v>
      </c>
      <c r="AG352" s="185">
        <v>528</v>
      </c>
      <c r="AH352" s="185">
        <v>2026</v>
      </c>
      <c r="AI352" s="186">
        <f t="shared" si="34"/>
        <v>2554</v>
      </c>
      <c r="AJ352" s="182" t="s">
        <v>6</v>
      </c>
      <c r="AK352" s="187">
        <v>43773</v>
      </c>
      <c r="AL352" s="232"/>
      <c r="AM352" s="184" t="str">
        <f t="shared" si="35"/>
        <v>18035 Friesland Campina</v>
      </c>
      <c r="AN352" s="184" t="str">
        <f t="shared" si="36"/>
        <v>18035 Friesland Campina : Missing organic membranes</v>
      </c>
    </row>
    <row r="353" spans="1:40" s="76" customFormat="1" ht="14.5" hidden="1" x14ac:dyDescent="0.35">
      <c r="A353" s="122" t="s">
        <v>1359</v>
      </c>
      <c r="B353" s="116">
        <v>18036</v>
      </c>
      <c r="C353" s="113" t="s">
        <v>1193</v>
      </c>
      <c r="D353" s="117">
        <v>43453</v>
      </c>
      <c r="E353" s="118" t="s">
        <v>1318</v>
      </c>
      <c r="F353" s="118" t="s">
        <v>1222</v>
      </c>
      <c r="G353" s="111" t="s">
        <v>1136</v>
      </c>
      <c r="H353" s="111" t="s">
        <v>1360</v>
      </c>
      <c r="I353" s="119" t="s">
        <v>1224</v>
      </c>
      <c r="J353" s="70"/>
      <c r="K353" s="118">
        <v>2060</v>
      </c>
      <c r="L353" s="118">
        <v>13653</v>
      </c>
      <c r="M353" s="147" t="s">
        <v>1185</v>
      </c>
      <c r="N353" s="111" t="s">
        <v>1361</v>
      </c>
      <c r="O353" s="146" t="s">
        <v>29</v>
      </c>
      <c r="P353" s="111" t="s">
        <v>1226</v>
      </c>
      <c r="Q353" s="148" t="s">
        <v>522</v>
      </c>
      <c r="R353" s="146" t="s">
        <v>9</v>
      </c>
      <c r="S353" s="146"/>
      <c r="T353" s="70"/>
      <c r="U353" s="232"/>
      <c r="V353" s="158" t="s">
        <v>6</v>
      </c>
      <c r="W353" s="118" t="s">
        <v>1318</v>
      </c>
      <c r="X353" s="113">
        <v>43465</v>
      </c>
      <c r="Y353" s="117">
        <f t="shared" si="32"/>
        <v>43543</v>
      </c>
      <c r="Z353" s="187">
        <v>43472</v>
      </c>
      <c r="AA353" s="161" t="str">
        <f t="shared" ca="1" si="37"/>
        <v>YES</v>
      </c>
      <c r="AB353" s="113"/>
      <c r="AC353" s="70"/>
      <c r="AD353" s="70"/>
      <c r="AE353" s="70"/>
      <c r="AF353" s="70" t="str">
        <f t="shared" ca="1" si="33"/>
        <v>N/A</v>
      </c>
      <c r="AG353" s="185">
        <v>0</v>
      </c>
      <c r="AH353" s="185">
        <v>350</v>
      </c>
      <c r="AI353" s="186">
        <f t="shared" si="34"/>
        <v>350</v>
      </c>
      <c r="AJ353" s="70"/>
      <c r="AK353" s="70"/>
      <c r="AL353" s="70"/>
      <c r="AM353" s="165" t="str">
        <f t="shared" si="35"/>
        <v>18036 FUFENG</v>
      </c>
      <c r="AN353" s="165" t="str">
        <f t="shared" si="36"/>
        <v>18036 FUFENG : Gaskets of front piping leakage</v>
      </c>
    </row>
    <row r="354" spans="1:40" s="76" customFormat="1" ht="14.5" hidden="1" x14ac:dyDescent="0.35">
      <c r="A354" s="122" t="s">
        <v>1362</v>
      </c>
      <c r="B354" s="116">
        <v>18037</v>
      </c>
      <c r="C354" s="143" t="s">
        <v>4</v>
      </c>
      <c r="D354" s="144">
        <v>43455</v>
      </c>
      <c r="E354" s="145" t="s">
        <v>82</v>
      </c>
      <c r="F354" s="145" t="s">
        <v>658</v>
      </c>
      <c r="G354" s="146" t="s">
        <v>388</v>
      </c>
      <c r="H354" s="146" t="s">
        <v>1041</v>
      </c>
      <c r="I354" s="119" t="s">
        <v>5</v>
      </c>
      <c r="J354" s="232"/>
      <c r="K354" s="145"/>
      <c r="L354" s="145" t="s">
        <v>1363</v>
      </c>
      <c r="M354" s="147" t="s">
        <v>13</v>
      </c>
      <c r="N354" s="146" t="s">
        <v>1364</v>
      </c>
      <c r="O354" s="146" t="s">
        <v>28</v>
      </c>
      <c r="P354" s="146" t="s">
        <v>103</v>
      </c>
      <c r="Q354" s="70" t="s">
        <v>1358</v>
      </c>
      <c r="R354" s="146" t="s">
        <v>145</v>
      </c>
      <c r="S354" s="146"/>
      <c r="T354" s="232"/>
      <c r="U354" s="232"/>
      <c r="V354" s="158" t="s">
        <v>6</v>
      </c>
      <c r="W354" s="118" t="s">
        <v>82</v>
      </c>
      <c r="X354" s="143">
        <v>43473</v>
      </c>
      <c r="Y354" s="144">
        <f t="shared" si="32"/>
        <v>43545</v>
      </c>
      <c r="Z354" s="235">
        <v>43510</v>
      </c>
      <c r="AA354" s="161" t="str">
        <f t="shared" ca="1" si="37"/>
        <v>YES</v>
      </c>
      <c r="AB354" s="113"/>
      <c r="AC354" s="235">
        <v>43442</v>
      </c>
      <c r="AD354" s="187">
        <v>43555</v>
      </c>
      <c r="AE354" s="235">
        <v>43510</v>
      </c>
      <c r="AF354" s="70" t="str">
        <f t="shared" ca="1" si="33"/>
        <v>YES</v>
      </c>
      <c r="AG354" s="185">
        <v>352</v>
      </c>
      <c r="AH354" s="185">
        <v>1200</v>
      </c>
      <c r="AI354" s="186">
        <f t="shared" si="34"/>
        <v>1552</v>
      </c>
      <c r="AJ354" s="236"/>
      <c r="AK354" s="70" t="s">
        <v>1354</v>
      </c>
      <c r="AL354" s="70" t="s">
        <v>1365</v>
      </c>
      <c r="AM354" s="184" t="str">
        <f t="shared" si="35"/>
        <v>18037 GOI</v>
      </c>
      <c r="AN354" s="184" t="str">
        <f t="shared" si="36"/>
        <v>18037 GOI : Damaged gravels bags/pallets</v>
      </c>
    </row>
    <row r="355" spans="1:40" s="76" customFormat="1" ht="14.5" hidden="1" x14ac:dyDescent="0.35">
      <c r="A355" s="122" t="s">
        <v>1366</v>
      </c>
      <c r="B355" s="116">
        <v>19001</v>
      </c>
      <c r="C355" s="143" t="s">
        <v>4</v>
      </c>
      <c r="D355" s="144">
        <v>43481</v>
      </c>
      <c r="E355" s="118" t="s">
        <v>1367</v>
      </c>
      <c r="F355" s="145" t="s">
        <v>691</v>
      </c>
      <c r="G355" s="146" t="s">
        <v>1072</v>
      </c>
      <c r="H355" s="146"/>
      <c r="I355" s="119" t="s">
        <v>2057</v>
      </c>
      <c r="J355" s="232"/>
      <c r="K355" s="145">
        <v>2014</v>
      </c>
      <c r="L355" s="145">
        <v>10416</v>
      </c>
      <c r="M355" s="147" t="s">
        <v>13</v>
      </c>
      <c r="N355" s="111" t="s">
        <v>1368</v>
      </c>
      <c r="O355" s="146" t="s">
        <v>29</v>
      </c>
      <c r="P355" s="146" t="s">
        <v>86</v>
      </c>
      <c r="Q355" s="232" t="s">
        <v>1036</v>
      </c>
      <c r="R355" s="146" t="s">
        <v>9</v>
      </c>
      <c r="S355" s="146"/>
      <c r="T355" s="232"/>
      <c r="U355" s="232"/>
      <c r="V355" s="158" t="s">
        <v>6</v>
      </c>
      <c r="W355" s="145" t="s">
        <v>1367</v>
      </c>
      <c r="X355" s="143">
        <v>43489</v>
      </c>
      <c r="Y355" s="144">
        <f t="shared" si="32"/>
        <v>43571</v>
      </c>
      <c r="Z355" s="187">
        <v>43570</v>
      </c>
      <c r="AA355" s="161" t="str">
        <f t="shared" ca="1" si="37"/>
        <v>YES</v>
      </c>
      <c r="AB355" s="113"/>
      <c r="AC355" s="232"/>
      <c r="AD355" s="232"/>
      <c r="AE355" s="232"/>
      <c r="AF355" s="70" t="str">
        <f t="shared" ca="1" si="33"/>
        <v>N/A</v>
      </c>
      <c r="AG355" s="185">
        <v>1256</v>
      </c>
      <c r="AH355" s="185">
        <v>5000</v>
      </c>
      <c r="AI355" s="186">
        <f t="shared" si="34"/>
        <v>6256</v>
      </c>
      <c r="AJ355" s="191" t="s">
        <v>6</v>
      </c>
      <c r="AK355" s="187">
        <v>44160</v>
      </c>
      <c r="AL355" s="232"/>
      <c r="AM355" s="184" t="str">
        <f t="shared" si="35"/>
        <v>19001 Agrana</v>
      </c>
      <c r="AN355" s="184" t="str">
        <f t="shared" si="36"/>
        <v>19001 Agrana : Back wash tank design</v>
      </c>
    </row>
    <row r="356" spans="1:40" s="76" customFormat="1" ht="14.5" hidden="1" x14ac:dyDescent="0.35">
      <c r="A356" s="122" t="s">
        <v>1369</v>
      </c>
      <c r="B356" s="116">
        <v>19002</v>
      </c>
      <c r="C356" s="113" t="s">
        <v>1193</v>
      </c>
      <c r="D356" s="144">
        <v>43493</v>
      </c>
      <c r="E356" s="118" t="s">
        <v>1162</v>
      </c>
      <c r="F356" s="118" t="s">
        <v>1222</v>
      </c>
      <c r="G356" s="111" t="s">
        <v>1370</v>
      </c>
      <c r="H356" s="111" t="s">
        <v>1371</v>
      </c>
      <c r="I356" s="119" t="s">
        <v>2057</v>
      </c>
      <c r="J356" s="232"/>
      <c r="K356" s="118">
        <v>2070</v>
      </c>
      <c r="L356" s="118">
        <v>13599</v>
      </c>
      <c r="M356" s="147" t="s">
        <v>1372</v>
      </c>
      <c r="N356" s="111" t="s">
        <v>1373</v>
      </c>
      <c r="O356" s="111" t="s">
        <v>29</v>
      </c>
      <c r="P356" s="146" t="s">
        <v>86</v>
      </c>
      <c r="Q356" s="70" t="s">
        <v>1374</v>
      </c>
      <c r="R356" s="146" t="s">
        <v>15</v>
      </c>
      <c r="S356" s="146"/>
      <c r="T356" s="70"/>
      <c r="U356" s="232"/>
      <c r="V356" s="158" t="s">
        <v>6</v>
      </c>
      <c r="W356" s="118" t="s">
        <v>1311</v>
      </c>
      <c r="X356" s="113">
        <v>43539</v>
      </c>
      <c r="Y356" s="117">
        <f t="shared" si="32"/>
        <v>43583</v>
      </c>
      <c r="Z356" s="187">
        <v>43542</v>
      </c>
      <c r="AA356" s="161" t="str">
        <f t="shared" ca="1" si="37"/>
        <v>YES</v>
      </c>
      <c r="AB356" s="113"/>
      <c r="AC356" s="70"/>
      <c r="AD356" s="70"/>
      <c r="AE356" s="70"/>
      <c r="AF356" s="70" t="str">
        <f t="shared" ca="1" si="33"/>
        <v>N/A</v>
      </c>
      <c r="AG356" s="185">
        <v>213.33333333333331</v>
      </c>
      <c r="AH356" s="185">
        <v>62.173333333333346</v>
      </c>
      <c r="AI356" s="186">
        <f t="shared" si="34"/>
        <v>275.50666666666666</v>
      </c>
      <c r="AJ356" s="70"/>
      <c r="AK356" s="70"/>
      <c r="AL356" s="70"/>
      <c r="AM356" s="165" t="str">
        <f t="shared" si="35"/>
        <v>19002 QNS</v>
      </c>
      <c r="AN356" s="165" t="str">
        <f t="shared" si="36"/>
        <v>19002 QNS : Material of 300# gasket should be PTFE instead of EPDM, wrong chosed in spec</v>
      </c>
    </row>
    <row r="357" spans="1:40" s="76" customFormat="1" ht="14.5" hidden="1" x14ac:dyDescent="0.35">
      <c r="A357" s="122" t="s">
        <v>1375</v>
      </c>
      <c r="B357" s="116">
        <v>19003</v>
      </c>
      <c r="C357" s="143" t="s">
        <v>4</v>
      </c>
      <c r="D357" s="144">
        <v>43502</v>
      </c>
      <c r="E357" s="145" t="s">
        <v>224</v>
      </c>
      <c r="F357" s="116" t="s">
        <v>1103</v>
      </c>
      <c r="G357" s="146" t="s">
        <v>1252</v>
      </c>
      <c r="H357" s="146" t="s">
        <v>1376</v>
      </c>
      <c r="I357" s="119" t="s">
        <v>2056</v>
      </c>
      <c r="J357" s="70" t="s">
        <v>1332</v>
      </c>
      <c r="K357" s="145">
        <v>2047</v>
      </c>
      <c r="L357" s="145">
        <v>13149</v>
      </c>
      <c r="M357" s="147" t="s">
        <v>11</v>
      </c>
      <c r="N357" s="146" t="s">
        <v>1377</v>
      </c>
      <c r="O357" s="146" t="s">
        <v>29</v>
      </c>
      <c r="P357" s="146" t="s">
        <v>176</v>
      </c>
      <c r="Q357" s="232"/>
      <c r="R357" s="146" t="s">
        <v>9</v>
      </c>
      <c r="S357" s="111" t="s">
        <v>1344</v>
      </c>
      <c r="T357" s="232"/>
      <c r="U357" s="232"/>
      <c r="V357" s="158" t="s">
        <v>6</v>
      </c>
      <c r="W357" s="145" t="s">
        <v>224</v>
      </c>
      <c r="X357" s="143">
        <v>43514</v>
      </c>
      <c r="Y357" s="144">
        <f t="shared" si="32"/>
        <v>43591</v>
      </c>
      <c r="Z357" s="235">
        <v>43721</v>
      </c>
      <c r="AA357" s="161" t="str">
        <f t="shared" ca="1" si="37"/>
        <v>NO</v>
      </c>
      <c r="AB357" s="113"/>
      <c r="AC357" s="232"/>
      <c r="AD357" s="232"/>
      <c r="AE357" s="232"/>
      <c r="AF357" s="70" t="str">
        <f t="shared" ca="1" si="33"/>
        <v>N/A</v>
      </c>
      <c r="AG357" s="185">
        <v>23092</v>
      </c>
      <c r="AH357" s="185">
        <v>78494</v>
      </c>
      <c r="AI357" s="186">
        <f t="shared" si="34"/>
        <v>101586</v>
      </c>
      <c r="AJ357" s="236"/>
      <c r="AK357" s="70" t="s">
        <v>1378</v>
      </c>
      <c r="AL357" s="70" t="s">
        <v>1379</v>
      </c>
      <c r="AM357" s="184" t="str">
        <f t="shared" si="35"/>
        <v>19003 Friesland Campina</v>
      </c>
      <c r="AN357" s="184" t="str">
        <f t="shared" si="36"/>
        <v>19003 Friesland Campina : Welding quality issue chromato columns</v>
      </c>
    </row>
    <row r="358" spans="1:40" s="76" customFormat="1" ht="14.5" hidden="1" x14ac:dyDescent="0.35">
      <c r="A358" s="122" t="s">
        <v>1380</v>
      </c>
      <c r="B358" s="116">
        <v>19004</v>
      </c>
      <c r="C358" s="143" t="s">
        <v>4</v>
      </c>
      <c r="D358" s="144">
        <v>43509</v>
      </c>
      <c r="E358" s="145" t="s">
        <v>1381</v>
      </c>
      <c r="F358" s="145" t="s">
        <v>420</v>
      </c>
      <c r="G358" s="146" t="s">
        <v>1382</v>
      </c>
      <c r="H358" s="146"/>
      <c r="I358" s="119" t="s">
        <v>17</v>
      </c>
      <c r="J358" s="232"/>
      <c r="K358" s="145"/>
      <c r="L358" s="145" t="s">
        <v>1383</v>
      </c>
      <c r="M358" s="147" t="s">
        <v>11</v>
      </c>
      <c r="N358" s="146" t="s">
        <v>1384</v>
      </c>
      <c r="O358" s="111" t="s">
        <v>420</v>
      </c>
      <c r="P358" s="146" t="s">
        <v>80</v>
      </c>
      <c r="Q358" s="232" t="s">
        <v>1036</v>
      </c>
      <c r="R358" s="146" t="s">
        <v>9</v>
      </c>
      <c r="S358" s="146"/>
      <c r="T358" s="232"/>
      <c r="U358" s="232"/>
      <c r="V358" s="158" t="s">
        <v>10</v>
      </c>
      <c r="W358" s="145"/>
      <c r="X358" s="143"/>
      <c r="Y358" s="144">
        <f t="shared" si="32"/>
        <v>43598</v>
      </c>
      <c r="Z358" s="235">
        <v>43591</v>
      </c>
      <c r="AA358" s="161" t="str">
        <f t="shared" ca="1" si="37"/>
        <v>YES</v>
      </c>
      <c r="AB358" s="113"/>
      <c r="AC358" s="232"/>
      <c r="AD358" s="232"/>
      <c r="AE358" s="232"/>
      <c r="AF358" s="70" t="str">
        <f t="shared" ca="1" si="33"/>
        <v>N/A</v>
      </c>
      <c r="AG358" s="185">
        <v>1293.5999999999999</v>
      </c>
      <c r="AH358" s="185">
        <v>0</v>
      </c>
      <c r="AI358" s="186">
        <f t="shared" si="34"/>
        <v>1293.5999999999999</v>
      </c>
      <c r="AJ358" s="191" t="s">
        <v>6</v>
      </c>
      <c r="AK358" s="187">
        <v>44151</v>
      </c>
      <c r="AL358" s="232"/>
      <c r="AM358" s="184" t="str">
        <f t="shared" si="35"/>
        <v>19004 Sunar</v>
      </c>
      <c r="AN358" s="184" t="str">
        <f t="shared" si="36"/>
        <v>19004 Sunar : Insufficient URS at the begining of the project</v>
      </c>
    </row>
    <row r="359" spans="1:40" s="76" customFormat="1" ht="14.5" hidden="1" x14ac:dyDescent="0.35">
      <c r="A359" s="122" t="s">
        <v>1385</v>
      </c>
      <c r="B359" s="116">
        <v>19005</v>
      </c>
      <c r="C359" s="143" t="s">
        <v>4</v>
      </c>
      <c r="D359" s="144">
        <v>43515</v>
      </c>
      <c r="E359" s="145" t="s">
        <v>1386</v>
      </c>
      <c r="F359" s="145" t="s">
        <v>658</v>
      </c>
      <c r="G359" s="146" t="s">
        <v>388</v>
      </c>
      <c r="H359" s="146" t="s">
        <v>309</v>
      </c>
      <c r="I359" s="119" t="s">
        <v>2056</v>
      </c>
      <c r="J359" s="232"/>
      <c r="K359" s="145"/>
      <c r="L359" s="145" t="s">
        <v>1363</v>
      </c>
      <c r="M359" s="147" t="s">
        <v>13</v>
      </c>
      <c r="N359" s="146" t="s">
        <v>1387</v>
      </c>
      <c r="O359" s="146" t="s">
        <v>28</v>
      </c>
      <c r="P359" s="146" t="s">
        <v>103</v>
      </c>
      <c r="Q359" s="232" t="s">
        <v>1388</v>
      </c>
      <c r="R359" s="146" t="s">
        <v>145</v>
      </c>
      <c r="S359" s="146"/>
      <c r="T359" s="232"/>
      <c r="U359" s="232"/>
      <c r="V359" s="158" t="s">
        <v>10</v>
      </c>
      <c r="W359" s="145"/>
      <c r="X359" s="143"/>
      <c r="Y359" s="144">
        <f t="shared" si="32"/>
        <v>43604</v>
      </c>
      <c r="Z359" s="235">
        <v>43594</v>
      </c>
      <c r="AA359" s="161" t="str">
        <f t="shared" ca="1" si="37"/>
        <v>YES</v>
      </c>
      <c r="AB359" s="113"/>
      <c r="AC359" s="232"/>
      <c r="AD359" s="232"/>
      <c r="AE359" s="232"/>
      <c r="AF359" s="70" t="str">
        <f t="shared" ca="1" si="33"/>
        <v>N/A</v>
      </c>
      <c r="AG359" s="185">
        <v>2992</v>
      </c>
      <c r="AH359" s="185">
        <v>0</v>
      </c>
      <c r="AI359" s="186">
        <f t="shared" si="34"/>
        <v>2992</v>
      </c>
      <c r="AJ359" s="182" t="s">
        <v>10</v>
      </c>
      <c r="AK359" s="187">
        <v>43816</v>
      </c>
      <c r="AL359" s="70" t="s">
        <v>1389</v>
      </c>
      <c r="AM359" s="184" t="str">
        <f t="shared" si="35"/>
        <v>19005 GOI</v>
      </c>
      <c r="AN359" s="184" t="str">
        <f t="shared" si="36"/>
        <v>19005 GOI : Poor packaging of resins</v>
      </c>
    </row>
    <row r="360" spans="1:40" s="76" customFormat="1" ht="14.5" hidden="1" x14ac:dyDescent="0.35">
      <c r="A360" s="122" t="s">
        <v>1390</v>
      </c>
      <c r="B360" s="116">
        <v>19006</v>
      </c>
      <c r="C360" s="143" t="s">
        <v>4</v>
      </c>
      <c r="D360" s="144">
        <v>43529</v>
      </c>
      <c r="E360" s="145" t="s">
        <v>1386</v>
      </c>
      <c r="F360" s="145" t="s">
        <v>658</v>
      </c>
      <c r="G360" s="146" t="s">
        <v>1391</v>
      </c>
      <c r="H360" s="146" t="s">
        <v>1041</v>
      </c>
      <c r="I360" s="119" t="s">
        <v>2056</v>
      </c>
      <c r="J360" s="70" t="s">
        <v>1332</v>
      </c>
      <c r="K360" s="145"/>
      <c r="L360" s="145" t="s">
        <v>1392</v>
      </c>
      <c r="M360" s="147" t="s">
        <v>13</v>
      </c>
      <c r="N360" s="146" t="s">
        <v>1393</v>
      </c>
      <c r="O360" s="146" t="s">
        <v>28</v>
      </c>
      <c r="P360" s="146" t="s">
        <v>103</v>
      </c>
      <c r="Q360" s="232" t="s">
        <v>510</v>
      </c>
      <c r="R360" s="146" t="s">
        <v>145</v>
      </c>
      <c r="S360" s="146"/>
      <c r="T360" s="112" t="s">
        <v>1394</v>
      </c>
      <c r="U360" s="232"/>
      <c r="V360" s="158" t="s">
        <v>6</v>
      </c>
      <c r="W360" s="118" t="s">
        <v>82</v>
      </c>
      <c r="X360" s="143">
        <v>43558</v>
      </c>
      <c r="Y360" s="144">
        <f t="shared" si="32"/>
        <v>43621</v>
      </c>
      <c r="Z360" s="187">
        <v>43592</v>
      </c>
      <c r="AA360" s="161" t="str">
        <f t="shared" ca="1" si="37"/>
        <v>YES</v>
      </c>
      <c r="AB360" s="113"/>
      <c r="AC360" s="232"/>
      <c r="AD360" s="232"/>
      <c r="AE360" s="232"/>
      <c r="AF360" s="70" t="str">
        <f t="shared" ca="1" si="33"/>
        <v>N/A</v>
      </c>
      <c r="AG360" s="185">
        <v>1564</v>
      </c>
      <c r="AH360" s="185">
        <v>2000</v>
      </c>
      <c r="AI360" s="186">
        <f t="shared" si="34"/>
        <v>3564</v>
      </c>
      <c r="AJ360" s="191" t="s">
        <v>6</v>
      </c>
      <c r="AK360" s="187">
        <v>44153</v>
      </c>
      <c r="AL360" s="232"/>
      <c r="AM360" s="184" t="str">
        <f t="shared" si="35"/>
        <v>19006 Parag</v>
      </c>
      <c r="AN360" s="184" t="str">
        <f t="shared" si="36"/>
        <v>19006 Parag : Bad resine reference sent to customer</v>
      </c>
    </row>
    <row r="361" spans="1:40" s="76" customFormat="1" ht="14.5" hidden="1" x14ac:dyDescent="0.35">
      <c r="A361" s="122" t="s">
        <v>1395</v>
      </c>
      <c r="B361" s="116">
        <v>19007</v>
      </c>
      <c r="C361" s="113" t="s">
        <v>4</v>
      </c>
      <c r="D361" s="117">
        <v>43529</v>
      </c>
      <c r="E361" s="118" t="s">
        <v>1396</v>
      </c>
      <c r="F361" s="118" t="s">
        <v>164</v>
      </c>
      <c r="G361" s="111" t="s">
        <v>1397</v>
      </c>
      <c r="H361" s="111"/>
      <c r="I361" s="119" t="s">
        <v>2057</v>
      </c>
      <c r="J361" s="232"/>
      <c r="K361" s="118">
        <v>2073</v>
      </c>
      <c r="L361" s="118">
        <v>13929</v>
      </c>
      <c r="M361" s="147" t="s">
        <v>338</v>
      </c>
      <c r="N361" s="111" t="s">
        <v>1398</v>
      </c>
      <c r="O361" s="111" t="s">
        <v>29</v>
      </c>
      <c r="P361" s="111" t="s">
        <v>86</v>
      </c>
      <c r="Q361" s="70" t="s">
        <v>1036</v>
      </c>
      <c r="R361" s="111" t="s">
        <v>9</v>
      </c>
      <c r="S361" s="111"/>
      <c r="T361" s="70"/>
      <c r="U361" s="232"/>
      <c r="V361" s="158" t="s">
        <v>6</v>
      </c>
      <c r="W361" s="118" t="s">
        <v>1396</v>
      </c>
      <c r="X361" s="113">
        <v>43531</v>
      </c>
      <c r="Y361" s="117">
        <f t="shared" si="32"/>
        <v>43621</v>
      </c>
      <c r="Z361" s="187">
        <v>43607</v>
      </c>
      <c r="AA361" s="161" t="str">
        <f t="shared" ca="1" si="37"/>
        <v>YES</v>
      </c>
      <c r="AB361" s="113"/>
      <c r="AC361" s="70"/>
      <c r="AD361" s="70"/>
      <c r="AE361" s="70"/>
      <c r="AF361" s="70" t="str">
        <f t="shared" ca="1" si="33"/>
        <v>N/A</v>
      </c>
      <c r="AG361" s="185">
        <v>0</v>
      </c>
      <c r="AH361" s="185">
        <v>47500</v>
      </c>
      <c r="AI361" s="186">
        <f t="shared" si="34"/>
        <v>47500</v>
      </c>
      <c r="AJ361" s="191" t="s">
        <v>6</v>
      </c>
      <c r="AK361" s="187">
        <v>44153</v>
      </c>
      <c r="AL361" s="70"/>
      <c r="AM361" s="165" t="str">
        <f t="shared" si="35"/>
        <v>19007 OLON</v>
      </c>
      <c r="AN361" s="165" t="str">
        <f t="shared" si="36"/>
        <v>19007 OLON : Important budget difference between offer and order of self-cleaning filters</v>
      </c>
    </row>
    <row r="362" spans="1:40" s="76" customFormat="1" ht="14.5" hidden="1" x14ac:dyDescent="0.35">
      <c r="A362" s="122" t="s">
        <v>1399</v>
      </c>
      <c r="B362" s="116">
        <v>19008</v>
      </c>
      <c r="C362" s="143" t="s">
        <v>4</v>
      </c>
      <c r="D362" s="144">
        <v>43539</v>
      </c>
      <c r="E362" s="145" t="s">
        <v>621</v>
      </c>
      <c r="F362" s="145" t="s">
        <v>164</v>
      </c>
      <c r="G362" s="146" t="s">
        <v>1400</v>
      </c>
      <c r="H362" s="146" t="s">
        <v>1287</v>
      </c>
      <c r="I362" s="119" t="s">
        <v>2057</v>
      </c>
      <c r="J362" s="232"/>
      <c r="K362" s="145">
        <v>2052</v>
      </c>
      <c r="L362" s="145">
        <v>12322</v>
      </c>
      <c r="M362" s="147" t="s">
        <v>11</v>
      </c>
      <c r="N362" s="146" t="s">
        <v>1401</v>
      </c>
      <c r="O362" s="146" t="s">
        <v>29</v>
      </c>
      <c r="P362" s="146" t="s">
        <v>86</v>
      </c>
      <c r="Q362" s="232" t="s">
        <v>1289</v>
      </c>
      <c r="R362" s="146" t="s">
        <v>9</v>
      </c>
      <c r="S362" s="146"/>
      <c r="T362" s="232"/>
      <c r="U362" s="232"/>
      <c r="V362" s="158" t="s">
        <v>10</v>
      </c>
      <c r="W362" s="145"/>
      <c r="X362" s="143"/>
      <c r="Y362" s="144">
        <f t="shared" si="32"/>
        <v>43631</v>
      </c>
      <c r="Z362" s="187">
        <v>43628</v>
      </c>
      <c r="AA362" s="161" t="str">
        <f t="shared" ca="1" si="37"/>
        <v>YES</v>
      </c>
      <c r="AB362" s="113"/>
      <c r="AC362" s="232"/>
      <c r="AD362" s="232"/>
      <c r="AE362" s="232"/>
      <c r="AF362" s="70" t="str">
        <f t="shared" ca="1" si="33"/>
        <v>N/A</v>
      </c>
      <c r="AG362" s="185">
        <v>2484</v>
      </c>
      <c r="AH362" s="185">
        <v>0</v>
      </c>
      <c r="AI362" s="186">
        <f t="shared" si="34"/>
        <v>2484</v>
      </c>
      <c r="AJ362" s="191" t="s">
        <v>6</v>
      </c>
      <c r="AK362" s="187">
        <v>44152</v>
      </c>
      <c r="AL362" s="232"/>
      <c r="AM362" s="184" t="str">
        <f t="shared" si="35"/>
        <v>19008 ALKEM</v>
      </c>
      <c r="AN362" s="184" t="str">
        <f t="shared" si="36"/>
        <v>19008 ALKEM : Bad wiring done by customer from electrical diagrams provided</v>
      </c>
    </row>
    <row r="363" spans="1:40" s="76" customFormat="1" ht="14.5" hidden="1" x14ac:dyDescent="0.35">
      <c r="A363" s="122" t="s">
        <v>1402</v>
      </c>
      <c r="B363" s="116">
        <v>19009</v>
      </c>
      <c r="C363" s="143" t="s">
        <v>4</v>
      </c>
      <c r="D363" s="144">
        <v>43543</v>
      </c>
      <c r="E363" s="145" t="s">
        <v>82</v>
      </c>
      <c r="F363" s="145" t="s">
        <v>1403</v>
      </c>
      <c r="G363" s="146" t="s">
        <v>782</v>
      </c>
      <c r="H363" s="146" t="s">
        <v>1240</v>
      </c>
      <c r="I363" s="119" t="s">
        <v>2057</v>
      </c>
      <c r="J363" s="232"/>
      <c r="K363" s="145"/>
      <c r="L363" s="145" t="s">
        <v>1404</v>
      </c>
      <c r="M363" s="147" t="s">
        <v>338</v>
      </c>
      <c r="N363" s="146" t="s">
        <v>1405</v>
      </c>
      <c r="O363" s="146" t="s">
        <v>28</v>
      </c>
      <c r="P363" s="146" t="s">
        <v>103</v>
      </c>
      <c r="Q363" s="232" t="s">
        <v>634</v>
      </c>
      <c r="R363" s="111" t="s">
        <v>9</v>
      </c>
      <c r="S363" s="111"/>
      <c r="T363" s="232"/>
      <c r="U363" s="232"/>
      <c r="V363" s="158" t="s">
        <v>6</v>
      </c>
      <c r="W363" s="145" t="s">
        <v>82</v>
      </c>
      <c r="X363" s="143">
        <v>43556</v>
      </c>
      <c r="Y363" s="144">
        <f t="shared" si="32"/>
        <v>43635</v>
      </c>
      <c r="Z363" s="235">
        <v>43633</v>
      </c>
      <c r="AA363" s="161" t="str">
        <f t="shared" ca="1" si="37"/>
        <v>YES</v>
      </c>
      <c r="AB363" s="113"/>
      <c r="AC363" s="232"/>
      <c r="AD363" s="232"/>
      <c r="AE363" s="232"/>
      <c r="AF363" s="70" t="str">
        <f t="shared" ca="1" si="33"/>
        <v>N/A</v>
      </c>
      <c r="AG363" s="185">
        <v>736</v>
      </c>
      <c r="AH363" s="185">
        <v>0</v>
      </c>
      <c r="AI363" s="186">
        <f t="shared" si="34"/>
        <v>736</v>
      </c>
      <c r="AJ363" s="191" t="s">
        <v>6</v>
      </c>
      <c r="AK363" s="187">
        <v>44153</v>
      </c>
      <c r="AL363" s="232"/>
      <c r="AM363" s="184" t="str">
        <f t="shared" si="35"/>
        <v>19009 BBCA</v>
      </c>
      <c r="AN363" s="184" t="str">
        <f t="shared" si="36"/>
        <v>19009 BBCA : Delay to place purchase order</v>
      </c>
    </row>
    <row r="364" spans="1:40" s="76" customFormat="1" ht="14.5" hidden="1" x14ac:dyDescent="0.35">
      <c r="A364" s="122" t="s">
        <v>1406</v>
      </c>
      <c r="B364" s="116">
        <v>19010</v>
      </c>
      <c r="C364" s="143" t="s">
        <v>4</v>
      </c>
      <c r="D364" s="144">
        <v>43545</v>
      </c>
      <c r="E364" s="145" t="s">
        <v>195</v>
      </c>
      <c r="F364" s="145" t="s">
        <v>420</v>
      </c>
      <c r="G364" s="146" t="s">
        <v>1407</v>
      </c>
      <c r="H364" s="146"/>
      <c r="I364" s="119" t="s">
        <v>2057</v>
      </c>
      <c r="J364" s="232"/>
      <c r="K364" s="145"/>
      <c r="L364" s="145" t="s">
        <v>1408</v>
      </c>
      <c r="M364" s="147"/>
      <c r="N364" s="146" t="s">
        <v>1409</v>
      </c>
      <c r="O364" s="111" t="s">
        <v>420</v>
      </c>
      <c r="P364" s="146" t="s">
        <v>80</v>
      </c>
      <c r="Q364" s="70" t="s">
        <v>1410</v>
      </c>
      <c r="R364" s="146" t="s">
        <v>15</v>
      </c>
      <c r="S364" s="146"/>
      <c r="T364" s="232"/>
      <c r="U364" s="232"/>
      <c r="V364" s="158" t="s">
        <v>10</v>
      </c>
      <c r="W364" s="145"/>
      <c r="X364" s="143"/>
      <c r="Y364" s="144">
        <f t="shared" si="32"/>
        <v>43637</v>
      </c>
      <c r="Z364" s="235">
        <v>43635</v>
      </c>
      <c r="AA364" s="161" t="str">
        <f t="shared" ca="1" si="37"/>
        <v>YES</v>
      </c>
      <c r="AB364" s="113"/>
      <c r="AC364" s="232"/>
      <c r="AD364" s="232"/>
      <c r="AE364" s="232"/>
      <c r="AF364" s="70" t="str">
        <f t="shared" ca="1" si="33"/>
        <v>N/A</v>
      </c>
      <c r="AG364" s="185">
        <v>276</v>
      </c>
      <c r="AH364" s="185">
        <v>0</v>
      </c>
      <c r="AI364" s="186">
        <f t="shared" si="34"/>
        <v>276</v>
      </c>
      <c r="AJ364" s="191" t="s">
        <v>6</v>
      </c>
      <c r="AK364" s="187">
        <v>44153</v>
      </c>
      <c r="AL364" s="232"/>
      <c r="AM364" s="184" t="str">
        <f t="shared" si="35"/>
        <v>19010 Danone</v>
      </c>
      <c r="AN364" s="184" t="str">
        <f t="shared" si="36"/>
        <v>19010 Danone : Hydrolysis of a customer sample stored at room temperature</v>
      </c>
    </row>
    <row r="365" spans="1:40" s="76" customFormat="1" ht="14.5" hidden="1" x14ac:dyDescent="0.35">
      <c r="A365" s="122" t="s">
        <v>1411</v>
      </c>
      <c r="B365" s="116">
        <v>19011</v>
      </c>
      <c r="C365" s="113" t="s">
        <v>1193</v>
      </c>
      <c r="D365" s="144">
        <v>43556</v>
      </c>
      <c r="E365" s="118" t="s">
        <v>1162</v>
      </c>
      <c r="F365" s="118" t="s">
        <v>1222</v>
      </c>
      <c r="G365" s="111" t="s">
        <v>1412</v>
      </c>
      <c r="H365" s="111" t="s">
        <v>1168</v>
      </c>
      <c r="I365" s="119" t="s">
        <v>2057</v>
      </c>
      <c r="J365" s="232"/>
      <c r="K365" s="118">
        <v>2077</v>
      </c>
      <c r="L365" s="118">
        <v>13825</v>
      </c>
      <c r="M365" s="147" t="s">
        <v>1181</v>
      </c>
      <c r="N365" s="111" t="s">
        <v>1413</v>
      </c>
      <c r="O365" s="111" t="s">
        <v>29</v>
      </c>
      <c r="P365" s="111" t="s">
        <v>86</v>
      </c>
      <c r="Q365" s="70" t="s">
        <v>885</v>
      </c>
      <c r="R365" s="146" t="s">
        <v>9</v>
      </c>
      <c r="S365" s="146"/>
      <c r="T365" s="70"/>
      <c r="U365" s="232"/>
      <c r="V365" s="158" t="s">
        <v>1414</v>
      </c>
      <c r="W365" s="118" t="s">
        <v>932</v>
      </c>
      <c r="X365" s="113">
        <v>43577</v>
      </c>
      <c r="Y365" s="117">
        <f t="shared" si="32"/>
        <v>43647</v>
      </c>
      <c r="Z365" s="187">
        <v>43629</v>
      </c>
      <c r="AA365" s="161" t="str">
        <f t="shared" ca="1" si="37"/>
        <v>YES</v>
      </c>
      <c r="AB365" s="113"/>
      <c r="AC365" s="70"/>
      <c r="AD365" s="70"/>
      <c r="AE365" s="70"/>
      <c r="AF365" s="70" t="str">
        <f t="shared" ca="1" si="33"/>
        <v>N/A</v>
      </c>
      <c r="AG365" s="185">
        <v>426.66666666666663</v>
      </c>
      <c r="AH365" s="185">
        <v>566.66666666666663</v>
      </c>
      <c r="AI365" s="186">
        <f t="shared" si="34"/>
        <v>993.33333333333326</v>
      </c>
      <c r="AJ365" s="70"/>
      <c r="AK365" s="70"/>
      <c r="AL365" s="70"/>
      <c r="AM365" s="165" t="str">
        <f t="shared" si="35"/>
        <v>19011 CJ Liaocheng</v>
      </c>
      <c r="AN365" s="165" t="str">
        <f t="shared" si="36"/>
        <v>19011 CJ Liaocheng : The height of LSH/LSL is wrong</v>
      </c>
    </row>
    <row r="366" spans="1:40" s="76" customFormat="1" ht="14.5" hidden="1" x14ac:dyDescent="0.35">
      <c r="A366" s="122" t="s">
        <v>1415</v>
      </c>
      <c r="B366" s="116">
        <v>19012</v>
      </c>
      <c r="C366" s="113" t="s">
        <v>1193</v>
      </c>
      <c r="D366" s="144">
        <v>43556</v>
      </c>
      <c r="E366" s="118" t="s">
        <v>1167</v>
      </c>
      <c r="F366" s="118" t="s">
        <v>1222</v>
      </c>
      <c r="G366" s="111" t="s">
        <v>218</v>
      </c>
      <c r="H366" s="147" t="s">
        <v>1416</v>
      </c>
      <c r="I366" s="119" t="s">
        <v>2057</v>
      </c>
      <c r="J366" s="232"/>
      <c r="K366" s="118">
        <v>2069</v>
      </c>
      <c r="L366" s="118">
        <v>13883</v>
      </c>
      <c r="M366" s="147" t="s">
        <v>1185</v>
      </c>
      <c r="N366" s="147" t="s">
        <v>1417</v>
      </c>
      <c r="O366" s="111" t="s">
        <v>28</v>
      </c>
      <c r="P366" s="111" t="s">
        <v>103</v>
      </c>
      <c r="Q366" s="70" t="s">
        <v>1418</v>
      </c>
      <c r="R366" s="146" t="s">
        <v>15</v>
      </c>
      <c r="S366" s="146"/>
      <c r="T366" s="70"/>
      <c r="U366" s="232"/>
      <c r="V366" s="158" t="s">
        <v>1414</v>
      </c>
      <c r="W366" s="118" t="s">
        <v>904</v>
      </c>
      <c r="X366" s="113">
        <v>43561</v>
      </c>
      <c r="Y366" s="117">
        <f t="shared" si="32"/>
        <v>43647</v>
      </c>
      <c r="Z366" s="187">
        <v>43585</v>
      </c>
      <c r="AA366" s="161" t="str">
        <f t="shared" ca="1" si="37"/>
        <v>YES</v>
      </c>
      <c r="AB366" s="113"/>
      <c r="AC366" s="70"/>
      <c r="AD366" s="70"/>
      <c r="AE366" s="70"/>
      <c r="AF366" s="70" t="str">
        <f t="shared" ca="1" si="33"/>
        <v>N/A</v>
      </c>
      <c r="AG366" s="185">
        <v>757.33333333333326</v>
      </c>
      <c r="AH366" s="185">
        <v>2917.333333333333</v>
      </c>
      <c r="AI366" s="186">
        <f t="shared" si="34"/>
        <v>3674.6666666666661</v>
      </c>
      <c r="AJ366" s="70"/>
      <c r="AK366" s="70"/>
      <c r="AL366" s="70"/>
      <c r="AM366" s="165" t="str">
        <f t="shared" si="35"/>
        <v>19012 CJ Jombang Indonesia</v>
      </c>
      <c r="AN366" s="165" t="str">
        <f t="shared" si="36"/>
        <v>19012 CJ Jombang Indonesia : The resin package should be blank.</v>
      </c>
    </row>
    <row r="367" spans="1:40" s="76" customFormat="1" ht="14.5" hidden="1" x14ac:dyDescent="0.35">
      <c r="A367" s="122" t="s">
        <v>1419</v>
      </c>
      <c r="B367" s="116">
        <v>19013</v>
      </c>
      <c r="C367" s="143" t="s">
        <v>4</v>
      </c>
      <c r="D367" s="144">
        <v>43557</v>
      </c>
      <c r="E367" s="145" t="s">
        <v>1396</v>
      </c>
      <c r="F367" s="145" t="s">
        <v>164</v>
      </c>
      <c r="G367" s="146" t="s">
        <v>1331</v>
      </c>
      <c r="H367" s="146" t="s">
        <v>1420</v>
      </c>
      <c r="I367" s="119" t="s">
        <v>2057</v>
      </c>
      <c r="J367" s="232"/>
      <c r="K367" s="145">
        <v>2070</v>
      </c>
      <c r="L367" s="145">
        <v>13599</v>
      </c>
      <c r="M367" s="147" t="s">
        <v>13</v>
      </c>
      <c r="N367" s="146" t="s">
        <v>1421</v>
      </c>
      <c r="O367" s="146" t="s">
        <v>29</v>
      </c>
      <c r="P367" s="146" t="s">
        <v>176</v>
      </c>
      <c r="Q367" s="70" t="s">
        <v>885</v>
      </c>
      <c r="R367" s="146" t="s">
        <v>15</v>
      </c>
      <c r="S367" s="146"/>
      <c r="T367" s="232"/>
      <c r="U367" s="232"/>
      <c r="V367" s="158" t="s">
        <v>6</v>
      </c>
      <c r="W367" s="145" t="s">
        <v>1396</v>
      </c>
      <c r="X367" s="143">
        <v>43558</v>
      </c>
      <c r="Y367" s="144">
        <f t="shared" si="32"/>
        <v>43648</v>
      </c>
      <c r="Z367" s="235">
        <v>43647</v>
      </c>
      <c r="AA367" s="161" t="str">
        <f t="shared" ca="1" si="37"/>
        <v>YES</v>
      </c>
      <c r="AB367" s="113"/>
      <c r="AC367" s="232"/>
      <c r="AD367" s="232"/>
      <c r="AE367" s="232"/>
      <c r="AF367" s="70" t="str">
        <f t="shared" ca="1" si="33"/>
        <v>N/A</v>
      </c>
      <c r="AG367" s="185">
        <v>460</v>
      </c>
      <c r="AH367" s="185">
        <v>2260</v>
      </c>
      <c r="AI367" s="186">
        <f t="shared" si="34"/>
        <v>2720</v>
      </c>
      <c r="AJ367" s="191" t="s">
        <v>6</v>
      </c>
      <c r="AK367" s="187">
        <v>44153</v>
      </c>
      <c r="AL367" s="232"/>
      <c r="AM367" s="184" t="str">
        <f t="shared" si="35"/>
        <v>19013 QNS</v>
      </c>
      <c r="AN367" s="184" t="str">
        <f t="shared" si="36"/>
        <v>19013 QNS : Blower not purchased on time</v>
      </c>
    </row>
    <row r="368" spans="1:40" s="76" customFormat="1" ht="14.5" hidden="1" x14ac:dyDescent="0.35">
      <c r="A368" s="122" t="s">
        <v>1422</v>
      </c>
      <c r="B368" s="116">
        <v>19014</v>
      </c>
      <c r="C368" s="143" t="s">
        <v>4</v>
      </c>
      <c r="D368" s="144">
        <v>43564</v>
      </c>
      <c r="E368" s="145" t="s">
        <v>813</v>
      </c>
      <c r="F368" s="145" t="s">
        <v>164</v>
      </c>
      <c r="G368" s="146" t="s">
        <v>1423</v>
      </c>
      <c r="H368" s="146" t="s">
        <v>858</v>
      </c>
      <c r="I368" s="119" t="s">
        <v>2057</v>
      </c>
      <c r="J368" s="232"/>
      <c r="K368" s="145">
        <v>2067</v>
      </c>
      <c r="L368" s="145">
        <v>11925</v>
      </c>
      <c r="M368" s="147" t="s">
        <v>11</v>
      </c>
      <c r="N368" s="146" t="s">
        <v>1424</v>
      </c>
      <c r="O368" s="146" t="s">
        <v>29</v>
      </c>
      <c r="P368" s="146" t="s">
        <v>176</v>
      </c>
      <c r="Q368" s="232" t="s">
        <v>522</v>
      </c>
      <c r="R368" s="146" t="s">
        <v>15</v>
      </c>
      <c r="S368" s="146"/>
      <c r="T368" s="232"/>
      <c r="U368" s="232"/>
      <c r="V368" s="158" t="s">
        <v>6</v>
      </c>
      <c r="W368" s="118" t="s">
        <v>116</v>
      </c>
      <c r="X368" s="143">
        <v>43571</v>
      </c>
      <c r="Y368" s="144">
        <f t="shared" si="32"/>
        <v>43655</v>
      </c>
      <c r="Z368" s="235">
        <v>43651</v>
      </c>
      <c r="AA368" s="161" t="str">
        <f t="shared" ca="1" si="37"/>
        <v>YES</v>
      </c>
      <c r="AB368" s="113"/>
      <c r="AC368" s="232"/>
      <c r="AD368" s="232"/>
      <c r="AE368" s="232"/>
      <c r="AF368" s="70" t="str">
        <f t="shared" ca="1" si="33"/>
        <v>N/A</v>
      </c>
      <c r="AG368" s="185">
        <v>1472</v>
      </c>
      <c r="AH368" s="185">
        <v>25547</v>
      </c>
      <c r="AI368" s="186">
        <f t="shared" si="34"/>
        <v>27019</v>
      </c>
      <c r="AJ368" s="191" t="s">
        <v>6</v>
      </c>
      <c r="AK368" s="187">
        <v>44148</v>
      </c>
      <c r="AL368" s="232"/>
      <c r="AM368" s="184" t="str">
        <f t="shared" si="35"/>
        <v>19014 Ingredion</v>
      </c>
      <c r="AN368" s="184" t="str">
        <f t="shared" si="36"/>
        <v>19014 Ingredion : Material of butterfly valves</v>
      </c>
    </row>
    <row r="369" spans="1:40" s="76" customFormat="1" ht="14.5" hidden="1" x14ac:dyDescent="0.35">
      <c r="A369" s="122" t="s">
        <v>1425</v>
      </c>
      <c r="B369" s="116">
        <v>19015</v>
      </c>
      <c r="C369" s="143" t="s">
        <v>4</v>
      </c>
      <c r="D369" s="144">
        <v>43566</v>
      </c>
      <c r="E369" s="145" t="s">
        <v>224</v>
      </c>
      <c r="F369" s="145" t="s">
        <v>164</v>
      </c>
      <c r="G369" s="146" t="s">
        <v>1426</v>
      </c>
      <c r="H369" s="146" t="s">
        <v>1041</v>
      </c>
      <c r="I369" s="119" t="s">
        <v>2057</v>
      </c>
      <c r="J369" s="232"/>
      <c r="K369" s="145">
        <v>2052</v>
      </c>
      <c r="L369" s="145">
        <v>12322</v>
      </c>
      <c r="M369" s="147" t="s">
        <v>11</v>
      </c>
      <c r="N369" s="146" t="s">
        <v>1427</v>
      </c>
      <c r="O369" s="146" t="s">
        <v>29</v>
      </c>
      <c r="P369" s="146" t="s">
        <v>176</v>
      </c>
      <c r="Q369" s="232" t="s">
        <v>452</v>
      </c>
      <c r="R369" s="146" t="s">
        <v>9</v>
      </c>
      <c r="S369" s="146"/>
      <c r="T369" s="232"/>
      <c r="U369" s="232"/>
      <c r="V369" s="158" t="s">
        <v>6</v>
      </c>
      <c r="W369" s="145" t="s">
        <v>224</v>
      </c>
      <c r="X369" s="143">
        <v>43530</v>
      </c>
      <c r="Y369" s="144">
        <f t="shared" si="32"/>
        <v>43657</v>
      </c>
      <c r="Z369" s="187">
        <v>43633</v>
      </c>
      <c r="AA369" s="161" t="str">
        <f t="shared" ca="1" si="37"/>
        <v>YES</v>
      </c>
      <c r="AB369" s="113"/>
      <c r="AC369" s="232"/>
      <c r="AD369" s="232"/>
      <c r="AE369" s="232"/>
      <c r="AF369" s="70" t="str">
        <f t="shared" ca="1" si="33"/>
        <v>N/A</v>
      </c>
      <c r="AG369" s="185">
        <v>920</v>
      </c>
      <c r="AH369" s="185">
        <v>1290</v>
      </c>
      <c r="AI369" s="186">
        <f t="shared" si="34"/>
        <v>2210</v>
      </c>
      <c r="AJ369" s="191" t="s">
        <v>6</v>
      </c>
      <c r="AK369" s="187">
        <v>44161</v>
      </c>
      <c r="AL369" s="232"/>
      <c r="AM369" s="184" t="str">
        <f t="shared" si="35"/>
        <v>19015 Alkem</v>
      </c>
      <c r="AN369" s="184" t="str">
        <f t="shared" si="36"/>
        <v>19015 Alkem : Gravel not delivered to customer site</v>
      </c>
    </row>
    <row r="370" spans="1:40" s="76" customFormat="1" ht="14.5" hidden="1" x14ac:dyDescent="0.35">
      <c r="A370" s="122" t="s">
        <v>1428</v>
      </c>
      <c r="B370" s="116">
        <v>19016</v>
      </c>
      <c r="C370" s="113" t="s">
        <v>1193</v>
      </c>
      <c r="D370" s="144">
        <v>43581</v>
      </c>
      <c r="E370" s="118" t="s">
        <v>1429</v>
      </c>
      <c r="F370" s="145" t="s">
        <v>164</v>
      </c>
      <c r="G370" s="111" t="s">
        <v>1430</v>
      </c>
      <c r="H370" s="111" t="s">
        <v>1431</v>
      </c>
      <c r="I370" s="119" t="s">
        <v>2056</v>
      </c>
      <c r="J370" s="232"/>
      <c r="K370" s="118">
        <v>2072</v>
      </c>
      <c r="L370" s="118">
        <v>14268</v>
      </c>
      <c r="M370" s="147" t="s">
        <v>1137</v>
      </c>
      <c r="N370" s="111" t="s">
        <v>1432</v>
      </c>
      <c r="O370" s="146" t="s">
        <v>29</v>
      </c>
      <c r="P370" s="111" t="s">
        <v>86</v>
      </c>
      <c r="Q370" s="70"/>
      <c r="R370" s="146" t="s">
        <v>9</v>
      </c>
      <c r="S370" s="146"/>
      <c r="T370" s="70"/>
      <c r="U370" s="232"/>
      <c r="V370" s="158" t="s">
        <v>1433</v>
      </c>
      <c r="W370" s="118"/>
      <c r="X370" s="113"/>
      <c r="Y370" s="117">
        <f t="shared" si="32"/>
        <v>43672</v>
      </c>
      <c r="Z370" s="187">
        <v>43585</v>
      </c>
      <c r="AA370" s="161" t="str">
        <f t="shared" ref="AA370:AA401" ca="1" si="38">IF(Z370="",IF(TODAY()&gt;Y370,"NO","YES"),IF(Z370&gt;Y370,"NO",IF(Z370&lt;Y370,"YES",IF(Y370=Z370,"YES","N/A"))))</f>
        <v>YES</v>
      </c>
      <c r="AB370" s="113"/>
      <c r="AC370" s="70"/>
      <c r="AD370" s="70"/>
      <c r="AE370" s="70"/>
      <c r="AF370" s="70" t="str">
        <f t="shared" ca="1" si="33"/>
        <v>N/A</v>
      </c>
      <c r="AG370" s="185">
        <v>0</v>
      </c>
      <c r="AH370" s="185">
        <v>0</v>
      </c>
      <c r="AI370" s="186">
        <f t="shared" si="34"/>
        <v>0</v>
      </c>
      <c r="AJ370" s="70"/>
      <c r="AK370" s="70"/>
      <c r="AL370" s="70"/>
      <c r="AM370" s="165" t="str">
        <f t="shared" si="35"/>
        <v>19016 CJ Brazil</v>
      </c>
      <c r="AN370" s="165" t="str">
        <f t="shared" si="36"/>
        <v>19016 CJ Brazil : The Sulzer motor missed delivery</v>
      </c>
    </row>
    <row r="371" spans="1:40" s="76" customFormat="1" ht="14.5" hidden="1" x14ac:dyDescent="0.35">
      <c r="A371" s="122" t="s">
        <v>1434</v>
      </c>
      <c r="B371" s="116">
        <v>19017</v>
      </c>
      <c r="C371" s="113" t="s">
        <v>1193</v>
      </c>
      <c r="D371" s="144">
        <v>43581</v>
      </c>
      <c r="E371" s="118" t="s">
        <v>1429</v>
      </c>
      <c r="F371" s="145" t="s">
        <v>164</v>
      </c>
      <c r="G371" s="111" t="s">
        <v>1430</v>
      </c>
      <c r="H371" s="111" t="s">
        <v>1435</v>
      </c>
      <c r="I371" s="119" t="s">
        <v>2056</v>
      </c>
      <c r="J371" s="232"/>
      <c r="K371" s="118">
        <v>2072</v>
      </c>
      <c r="L371" s="118">
        <v>14268</v>
      </c>
      <c r="M371" s="147" t="s">
        <v>1137</v>
      </c>
      <c r="N371" s="111" t="s">
        <v>1436</v>
      </c>
      <c r="O371" s="146" t="s">
        <v>29</v>
      </c>
      <c r="P371" s="111" t="s">
        <v>86</v>
      </c>
      <c r="Q371" s="70"/>
      <c r="R371" s="146" t="s">
        <v>9</v>
      </c>
      <c r="S371" s="146"/>
      <c r="T371" s="70"/>
      <c r="U371" s="232"/>
      <c r="V371" s="158" t="s">
        <v>1433</v>
      </c>
      <c r="W371" s="118"/>
      <c r="X371" s="113"/>
      <c r="Y371" s="117">
        <f t="shared" si="32"/>
        <v>43672</v>
      </c>
      <c r="Z371" s="187">
        <v>43585</v>
      </c>
      <c r="AA371" s="161" t="str">
        <f t="shared" ca="1" si="38"/>
        <v>YES</v>
      </c>
      <c r="AB371" s="113"/>
      <c r="AC371" s="70"/>
      <c r="AD371" s="70"/>
      <c r="AE371" s="70"/>
      <c r="AF371" s="70" t="str">
        <f t="shared" ca="1" si="33"/>
        <v>N/A</v>
      </c>
      <c r="AG371" s="185">
        <v>0</v>
      </c>
      <c r="AH371" s="185">
        <v>0</v>
      </c>
      <c r="AI371" s="186">
        <f t="shared" si="34"/>
        <v>0</v>
      </c>
      <c r="AJ371" s="70"/>
      <c r="AK371" s="70"/>
      <c r="AL371" s="70"/>
      <c r="AM371" s="165" t="str">
        <f t="shared" si="35"/>
        <v>19017 CJ Brazil</v>
      </c>
      <c r="AN371" s="165" t="str">
        <f t="shared" si="36"/>
        <v>19017 CJ Brazil : The Ebro valves delivery mistake</v>
      </c>
    </row>
    <row r="372" spans="1:40" s="76" customFormat="1" ht="14.5" hidden="1" x14ac:dyDescent="0.35">
      <c r="A372" s="122" t="s">
        <v>1437</v>
      </c>
      <c r="B372" s="116">
        <v>19018</v>
      </c>
      <c r="C372" s="113" t="s">
        <v>1193</v>
      </c>
      <c r="D372" s="144">
        <v>43581</v>
      </c>
      <c r="E372" s="118" t="s">
        <v>1438</v>
      </c>
      <c r="F372" s="145" t="s">
        <v>164</v>
      </c>
      <c r="G372" s="111" t="s">
        <v>1439</v>
      </c>
      <c r="H372" s="111" t="s">
        <v>1435</v>
      </c>
      <c r="I372" s="119" t="s">
        <v>2056</v>
      </c>
      <c r="J372" s="232"/>
      <c r="K372" s="118">
        <v>2056</v>
      </c>
      <c r="L372" s="118">
        <v>12996</v>
      </c>
      <c r="M372" s="147" t="s">
        <v>1372</v>
      </c>
      <c r="N372" s="147" t="s">
        <v>1440</v>
      </c>
      <c r="O372" s="146" t="s">
        <v>29</v>
      </c>
      <c r="P372" s="111" t="s">
        <v>86</v>
      </c>
      <c r="Q372" s="70"/>
      <c r="R372" s="146" t="s">
        <v>15</v>
      </c>
      <c r="S372" s="146"/>
      <c r="T372" s="70"/>
      <c r="U372" s="232"/>
      <c r="V372" s="158" t="s">
        <v>6</v>
      </c>
      <c r="W372" s="118" t="s">
        <v>1311</v>
      </c>
      <c r="X372" s="113">
        <v>43573</v>
      </c>
      <c r="Y372" s="117">
        <f t="shared" si="32"/>
        <v>43672</v>
      </c>
      <c r="Z372" s="187">
        <v>43662</v>
      </c>
      <c r="AA372" s="161" t="str">
        <f t="shared" ca="1" si="38"/>
        <v>YES</v>
      </c>
      <c r="AB372" s="113"/>
      <c r="AC372" s="70"/>
      <c r="AD372" s="70"/>
      <c r="AE372" s="70"/>
      <c r="AF372" s="70" t="str">
        <f t="shared" ca="1" si="33"/>
        <v>N/A</v>
      </c>
      <c r="AG372" s="185">
        <v>0</v>
      </c>
      <c r="AH372" s="185">
        <v>0</v>
      </c>
      <c r="AI372" s="186">
        <f t="shared" si="34"/>
        <v>0</v>
      </c>
      <c r="AJ372" s="70"/>
      <c r="AK372" s="70"/>
      <c r="AL372" s="70"/>
      <c r="AM372" s="165" t="str">
        <f t="shared" si="35"/>
        <v>19018 HUAQIAO</v>
      </c>
      <c r="AN372" s="165" t="str">
        <f t="shared" si="36"/>
        <v>19018 HUAQIAO : Butterfly valve disc position indicators are wrongly mounted</v>
      </c>
    </row>
    <row r="373" spans="1:40" s="76" customFormat="1" ht="14.5" hidden="1" x14ac:dyDescent="0.35">
      <c r="A373" s="122" t="s">
        <v>1441</v>
      </c>
      <c r="B373" s="116">
        <v>19019</v>
      </c>
      <c r="C373" s="113" t="s">
        <v>1193</v>
      </c>
      <c r="D373" s="144">
        <v>43593</v>
      </c>
      <c r="E373" s="118" t="s">
        <v>1318</v>
      </c>
      <c r="F373" s="145" t="s">
        <v>164</v>
      </c>
      <c r="G373" s="111" t="s">
        <v>1442</v>
      </c>
      <c r="H373" s="111" t="s">
        <v>1179</v>
      </c>
      <c r="I373" s="119" t="s">
        <v>2057</v>
      </c>
      <c r="J373" s="232"/>
      <c r="K373" s="118">
        <v>2051</v>
      </c>
      <c r="L373" s="118">
        <v>10154</v>
      </c>
      <c r="M373" s="147" t="s">
        <v>1443</v>
      </c>
      <c r="N373" s="111" t="s">
        <v>1444</v>
      </c>
      <c r="O373" s="111" t="s">
        <v>29</v>
      </c>
      <c r="P373" s="111" t="s">
        <v>86</v>
      </c>
      <c r="Q373" s="70"/>
      <c r="R373" s="146" t="s">
        <v>15</v>
      </c>
      <c r="S373" s="146"/>
      <c r="T373" s="70"/>
      <c r="U373" s="232"/>
      <c r="V373" s="158" t="s">
        <v>1433</v>
      </c>
      <c r="W373" s="118"/>
      <c r="X373" s="113"/>
      <c r="Y373" s="117">
        <f t="shared" si="32"/>
        <v>43685</v>
      </c>
      <c r="Z373" s="187">
        <v>43629</v>
      </c>
      <c r="AA373" s="161" t="str">
        <f t="shared" ca="1" si="38"/>
        <v>YES</v>
      </c>
      <c r="AB373" s="113"/>
      <c r="AC373" s="70"/>
      <c r="AD373" s="70"/>
      <c r="AE373" s="70"/>
      <c r="AF373" s="70" t="str">
        <f t="shared" ca="1" si="33"/>
        <v>N/A</v>
      </c>
      <c r="AG373" s="185">
        <v>0</v>
      </c>
      <c r="AH373" s="185">
        <v>333.33333333333331</v>
      </c>
      <c r="AI373" s="186">
        <f t="shared" si="34"/>
        <v>333.33333333333331</v>
      </c>
      <c r="AJ373" s="70"/>
      <c r="AK373" s="70"/>
      <c r="AL373" s="70"/>
      <c r="AM373" s="165" t="str">
        <f t="shared" si="35"/>
        <v>19019 KLIM</v>
      </c>
      <c r="AN373" s="165" t="str">
        <f t="shared" si="36"/>
        <v>19019 KLIM : Resin packing list information wrong</v>
      </c>
    </row>
    <row r="374" spans="1:40" s="76" customFormat="1" ht="14.5" hidden="1" x14ac:dyDescent="0.35">
      <c r="A374" s="122" t="s">
        <v>1445</v>
      </c>
      <c r="B374" s="116">
        <v>19020</v>
      </c>
      <c r="C374" s="143" t="s">
        <v>4</v>
      </c>
      <c r="D374" s="144">
        <v>43600</v>
      </c>
      <c r="E374" s="145" t="s">
        <v>1396</v>
      </c>
      <c r="F374" s="145" t="s">
        <v>164</v>
      </c>
      <c r="G374" s="146" t="s">
        <v>1397</v>
      </c>
      <c r="H374" s="146"/>
      <c r="I374" s="119" t="s">
        <v>2057</v>
      </c>
      <c r="J374" s="232"/>
      <c r="K374" s="145">
        <v>2073</v>
      </c>
      <c r="L374" s="145">
        <v>13929</v>
      </c>
      <c r="M374" s="147" t="s">
        <v>338</v>
      </c>
      <c r="N374" s="146" t="s">
        <v>1446</v>
      </c>
      <c r="O374" s="146" t="s">
        <v>29</v>
      </c>
      <c r="P374" s="146" t="s">
        <v>86</v>
      </c>
      <c r="Q374" s="70" t="s">
        <v>1289</v>
      </c>
      <c r="R374" s="146" t="s">
        <v>15</v>
      </c>
      <c r="S374" s="146"/>
      <c r="T374" s="232"/>
      <c r="U374" s="232"/>
      <c r="V374" s="158" t="s">
        <v>6</v>
      </c>
      <c r="W374" s="145" t="s">
        <v>1396</v>
      </c>
      <c r="X374" s="143">
        <v>43605</v>
      </c>
      <c r="Y374" s="144">
        <f t="shared" si="32"/>
        <v>43692</v>
      </c>
      <c r="Z374" s="187">
        <v>43658</v>
      </c>
      <c r="AA374" s="161" t="str">
        <f t="shared" ca="1" si="38"/>
        <v>YES</v>
      </c>
      <c r="AB374" s="113"/>
      <c r="AC374" s="232"/>
      <c r="AD374" s="232"/>
      <c r="AE374" s="232"/>
      <c r="AF374" s="70" t="str">
        <f t="shared" ca="1" si="33"/>
        <v>N/A</v>
      </c>
      <c r="AG374" s="185">
        <v>0</v>
      </c>
      <c r="AH374" s="185">
        <v>2287.5</v>
      </c>
      <c r="AI374" s="186">
        <f t="shared" si="34"/>
        <v>2287.5</v>
      </c>
      <c r="AJ374" s="191" t="s">
        <v>6</v>
      </c>
      <c r="AK374" s="187">
        <v>44153</v>
      </c>
      <c r="AL374" s="232"/>
      <c r="AM374" s="184" t="str">
        <f t="shared" si="35"/>
        <v>19020 OLON</v>
      </c>
      <c r="AN374" s="184" t="str">
        <f t="shared" si="36"/>
        <v>19020 OLON : MF solenoid valves specifications error</v>
      </c>
    </row>
    <row r="375" spans="1:40" s="76" customFormat="1" ht="14.5" hidden="1" x14ac:dyDescent="0.35">
      <c r="A375" s="122" t="s">
        <v>1447</v>
      </c>
      <c r="B375" s="116">
        <v>19021</v>
      </c>
      <c r="C375" s="113" t="s">
        <v>1193</v>
      </c>
      <c r="D375" s="144">
        <v>43609</v>
      </c>
      <c r="E375" s="118" t="s">
        <v>1429</v>
      </c>
      <c r="F375" s="145" t="s">
        <v>164</v>
      </c>
      <c r="G375" s="111" t="s">
        <v>1448</v>
      </c>
      <c r="H375" s="111" t="s">
        <v>1431</v>
      </c>
      <c r="I375" s="119" t="s">
        <v>2056</v>
      </c>
      <c r="J375" s="232"/>
      <c r="K375" s="118">
        <v>2072</v>
      </c>
      <c r="L375" s="118">
        <v>14268</v>
      </c>
      <c r="M375" s="147" t="s">
        <v>338</v>
      </c>
      <c r="N375" s="111" t="s">
        <v>1449</v>
      </c>
      <c r="O375" s="146" t="s">
        <v>29</v>
      </c>
      <c r="P375" s="111" t="s">
        <v>176</v>
      </c>
      <c r="Q375" s="70"/>
      <c r="R375" s="146" t="s">
        <v>9</v>
      </c>
      <c r="S375" s="146"/>
      <c r="T375" s="70"/>
      <c r="U375" s="232"/>
      <c r="V375" s="158" t="s">
        <v>1433</v>
      </c>
      <c r="W375" s="118"/>
      <c r="X375" s="113"/>
      <c r="Y375" s="117">
        <f t="shared" si="32"/>
        <v>43701</v>
      </c>
      <c r="Z375" s="187">
        <v>43651</v>
      </c>
      <c r="AA375" s="161" t="str">
        <f t="shared" ca="1" si="38"/>
        <v>YES</v>
      </c>
      <c r="AB375" s="113"/>
      <c r="AC375" s="70"/>
      <c r="AD375" s="70"/>
      <c r="AE375" s="70"/>
      <c r="AF375" s="70" t="str">
        <f t="shared" ca="1" si="33"/>
        <v>N/A</v>
      </c>
      <c r="AG375" s="185">
        <v>0</v>
      </c>
      <c r="AH375" s="185">
        <v>0</v>
      </c>
      <c r="AI375" s="186">
        <f t="shared" si="34"/>
        <v>0</v>
      </c>
      <c r="AJ375" s="70"/>
      <c r="AK375" s="70"/>
      <c r="AL375" s="70"/>
      <c r="AM375" s="165" t="str">
        <f t="shared" si="35"/>
        <v>19021 CJ Brazil</v>
      </c>
      <c r="AN375" s="165" t="str">
        <f t="shared" si="36"/>
        <v>19021 CJ Brazil : Sulzer circulation pump GA2242 coupling rubber tire(Martin) was broken</v>
      </c>
    </row>
    <row r="376" spans="1:40" s="76" customFormat="1" ht="14.5" hidden="1" x14ac:dyDescent="0.35">
      <c r="A376" s="122" t="s">
        <v>1450</v>
      </c>
      <c r="B376" s="116">
        <v>19022</v>
      </c>
      <c r="C376" s="143" t="s">
        <v>4</v>
      </c>
      <c r="D376" s="144">
        <v>43634</v>
      </c>
      <c r="E376" s="145" t="s">
        <v>1083</v>
      </c>
      <c r="F376" s="145" t="s">
        <v>164</v>
      </c>
      <c r="G376" s="146" t="s">
        <v>1235</v>
      </c>
      <c r="H376" s="146"/>
      <c r="I376" s="119" t="s">
        <v>5</v>
      </c>
      <c r="J376" s="232"/>
      <c r="K376" s="145">
        <v>2053</v>
      </c>
      <c r="L376" s="145">
        <v>13174</v>
      </c>
      <c r="M376" s="147" t="s">
        <v>13</v>
      </c>
      <c r="N376" s="146" t="s">
        <v>1451</v>
      </c>
      <c r="O376" s="146" t="s">
        <v>29</v>
      </c>
      <c r="P376" s="146" t="s">
        <v>86</v>
      </c>
      <c r="Q376" s="232" t="s">
        <v>885</v>
      </c>
      <c r="R376" s="146" t="s">
        <v>9</v>
      </c>
      <c r="S376" s="146"/>
      <c r="T376" s="232"/>
      <c r="U376" s="232"/>
      <c r="V376" s="158" t="s">
        <v>10</v>
      </c>
      <c r="W376" s="145"/>
      <c r="X376" s="143"/>
      <c r="Y376" s="144">
        <f t="shared" si="32"/>
        <v>43726</v>
      </c>
      <c r="Z376" s="235">
        <v>43713</v>
      </c>
      <c r="AA376" s="161" t="str">
        <f t="shared" ca="1" si="38"/>
        <v>YES</v>
      </c>
      <c r="AB376" s="113"/>
      <c r="AC376" s="235">
        <v>43598</v>
      </c>
      <c r="AD376" s="235">
        <v>43738</v>
      </c>
      <c r="AE376" s="235">
        <v>43713</v>
      </c>
      <c r="AF376" s="70" t="str">
        <f t="shared" ca="1" si="33"/>
        <v>YES</v>
      </c>
      <c r="AG376" s="185">
        <v>92</v>
      </c>
      <c r="AH376" s="185">
        <v>1513</v>
      </c>
      <c r="AI376" s="186">
        <f t="shared" si="34"/>
        <v>1605</v>
      </c>
      <c r="AJ376" s="191" t="s">
        <v>6</v>
      </c>
      <c r="AK376" s="187">
        <v>44148</v>
      </c>
      <c r="AL376" s="232"/>
      <c r="AM376" s="184" t="str">
        <f t="shared" si="35"/>
        <v>19022 Pfeifer and Langen</v>
      </c>
      <c r="AN376" s="184" t="str">
        <f t="shared" si="36"/>
        <v>19022 Pfeifer and Langen : Misposition column feet</v>
      </c>
    </row>
    <row r="377" spans="1:40" s="76" customFormat="1" ht="14.5" hidden="1" x14ac:dyDescent="0.35">
      <c r="A377" s="122" t="s">
        <v>1452</v>
      </c>
      <c r="B377" s="116">
        <v>19023</v>
      </c>
      <c r="C377" s="143" t="s">
        <v>4</v>
      </c>
      <c r="D377" s="144">
        <v>43641</v>
      </c>
      <c r="E377" s="145" t="s">
        <v>877</v>
      </c>
      <c r="F377" s="145" t="s">
        <v>691</v>
      </c>
      <c r="G377" s="146" t="s">
        <v>1453</v>
      </c>
      <c r="H377" s="146" t="s">
        <v>1287</v>
      </c>
      <c r="I377" s="119" t="s">
        <v>2057</v>
      </c>
      <c r="J377" s="232"/>
      <c r="K377" s="145">
        <v>2074</v>
      </c>
      <c r="L377" s="145">
        <v>14035</v>
      </c>
      <c r="M377" s="147" t="s">
        <v>13</v>
      </c>
      <c r="N377" s="146" t="s">
        <v>1454</v>
      </c>
      <c r="O377" s="146" t="s">
        <v>29</v>
      </c>
      <c r="P377" s="146" t="s">
        <v>86</v>
      </c>
      <c r="Q377" s="232" t="s">
        <v>916</v>
      </c>
      <c r="R377" s="146" t="s">
        <v>9</v>
      </c>
      <c r="S377" s="146"/>
      <c r="T377" s="232"/>
      <c r="U377" s="232"/>
      <c r="V377" s="158" t="s">
        <v>6</v>
      </c>
      <c r="W377" s="145" t="s">
        <v>877</v>
      </c>
      <c r="X377" s="143">
        <v>43642</v>
      </c>
      <c r="Y377" s="144">
        <f t="shared" si="32"/>
        <v>43733</v>
      </c>
      <c r="Z377" s="235">
        <v>43714</v>
      </c>
      <c r="AA377" s="161" t="str">
        <f t="shared" ca="1" si="38"/>
        <v>YES</v>
      </c>
      <c r="AB377" s="113"/>
      <c r="AC377" s="232"/>
      <c r="AD377" s="232"/>
      <c r="AE377" s="232"/>
      <c r="AF377" s="70" t="str">
        <f t="shared" ca="1" si="33"/>
        <v>N/A</v>
      </c>
      <c r="AG377" s="185">
        <v>5888</v>
      </c>
      <c r="AH377" s="185">
        <v>1040</v>
      </c>
      <c r="AI377" s="186">
        <f t="shared" si="34"/>
        <v>6928</v>
      </c>
      <c r="AJ377" s="236"/>
      <c r="AK377" s="70" t="s">
        <v>1378</v>
      </c>
      <c r="AL377" s="70" t="s">
        <v>1379</v>
      </c>
      <c r="AM377" s="184" t="str">
        <f t="shared" si="35"/>
        <v>19023 MAG</v>
      </c>
      <c r="AN377" s="184" t="str">
        <f t="shared" si="36"/>
        <v>19023 MAG : Untested exchange table on customer site</v>
      </c>
    </row>
    <row r="378" spans="1:40" s="76" customFormat="1" ht="14.5" hidden="1" x14ac:dyDescent="0.35">
      <c r="A378" s="122" t="s">
        <v>1455</v>
      </c>
      <c r="B378" s="116">
        <v>19024</v>
      </c>
      <c r="C378" s="143" t="s">
        <v>4</v>
      </c>
      <c r="D378" s="144">
        <v>43642</v>
      </c>
      <c r="E378" s="145" t="s">
        <v>1386</v>
      </c>
      <c r="F378" s="145" t="s">
        <v>658</v>
      </c>
      <c r="G378" s="111" t="s">
        <v>1456</v>
      </c>
      <c r="H378" s="146" t="s">
        <v>309</v>
      </c>
      <c r="I378" s="119" t="s">
        <v>2056</v>
      </c>
      <c r="J378" s="232"/>
      <c r="K378" s="145"/>
      <c r="L378" s="145" t="s">
        <v>1457</v>
      </c>
      <c r="M378" s="150" t="s">
        <v>13</v>
      </c>
      <c r="N378" s="146" t="s">
        <v>1458</v>
      </c>
      <c r="O378" s="146" t="s">
        <v>28</v>
      </c>
      <c r="P378" s="146" t="s">
        <v>103</v>
      </c>
      <c r="Q378" s="232" t="s">
        <v>510</v>
      </c>
      <c r="R378" s="146" t="s">
        <v>145</v>
      </c>
      <c r="S378" s="146"/>
      <c r="T378" s="112" t="s">
        <v>309</v>
      </c>
      <c r="U378" s="232"/>
      <c r="V378" s="158" t="s">
        <v>10</v>
      </c>
      <c r="W378" s="145"/>
      <c r="X378" s="143"/>
      <c r="Y378" s="144">
        <f t="shared" si="32"/>
        <v>43734</v>
      </c>
      <c r="Z378" s="235">
        <v>43720</v>
      </c>
      <c r="AA378" s="161" t="str">
        <f t="shared" ca="1" si="38"/>
        <v>YES</v>
      </c>
      <c r="AB378" s="113"/>
      <c r="AC378" s="232"/>
      <c r="AD378" s="232"/>
      <c r="AE378" s="232"/>
      <c r="AF378" s="70" t="str">
        <f t="shared" ca="1" si="33"/>
        <v>N/A</v>
      </c>
      <c r="AG378" s="185">
        <v>368</v>
      </c>
      <c r="AH378" s="185">
        <v>0</v>
      </c>
      <c r="AI378" s="186">
        <f t="shared" si="34"/>
        <v>368</v>
      </c>
      <c r="AJ378" s="191" t="s">
        <v>6</v>
      </c>
      <c r="AK378" s="187">
        <v>44153</v>
      </c>
      <c r="AL378" s="232"/>
      <c r="AM378" s="184" t="str">
        <f t="shared" si="35"/>
        <v>19024 Tereos Chevrières</v>
      </c>
      <c r="AN378" s="184" t="str">
        <f t="shared" si="36"/>
        <v>19024 Tereos Chevrières : Lack of resins delivery information</v>
      </c>
    </row>
    <row r="379" spans="1:40" s="76" customFormat="1" ht="14.5" hidden="1" x14ac:dyDescent="0.35">
      <c r="A379" s="122" t="s">
        <v>1459</v>
      </c>
      <c r="B379" s="116">
        <v>19025</v>
      </c>
      <c r="C379" s="113" t="s">
        <v>1193</v>
      </c>
      <c r="D379" s="144">
        <v>43650</v>
      </c>
      <c r="E379" s="118" t="s">
        <v>1429</v>
      </c>
      <c r="F379" s="145" t="s">
        <v>164</v>
      </c>
      <c r="G379" s="111" t="s">
        <v>1136</v>
      </c>
      <c r="H379" s="111" t="s">
        <v>1460</v>
      </c>
      <c r="I379" s="119" t="s">
        <v>2057</v>
      </c>
      <c r="J379" s="70"/>
      <c r="K379" s="118">
        <v>2076</v>
      </c>
      <c r="L379" s="118">
        <v>14478</v>
      </c>
      <c r="M379" s="147" t="s">
        <v>1181</v>
      </c>
      <c r="N379" s="111" t="s">
        <v>1461</v>
      </c>
      <c r="O379" s="146" t="s">
        <v>29</v>
      </c>
      <c r="P379" s="111" t="s">
        <v>86</v>
      </c>
      <c r="Q379" s="70" t="s">
        <v>522</v>
      </c>
      <c r="R379" s="146" t="s">
        <v>15</v>
      </c>
      <c r="S379" s="146"/>
      <c r="T379" s="70"/>
      <c r="U379" s="70"/>
      <c r="V379" s="158" t="s">
        <v>1414</v>
      </c>
      <c r="W379" s="118" t="s">
        <v>932</v>
      </c>
      <c r="X379" s="113">
        <v>43675</v>
      </c>
      <c r="Y379" s="117">
        <f t="shared" si="32"/>
        <v>43742</v>
      </c>
      <c r="Z379" s="187">
        <v>43675</v>
      </c>
      <c r="AA379" s="161" t="str">
        <f t="shared" ca="1" si="38"/>
        <v>YES</v>
      </c>
      <c r="AB379" s="113"/>
      <c r="AC379" s="70"/>
      <c r="AD379" s="70"/>
      <c r="AE379" s="70"/>
      <c r="AF379" s="70" t="str">
        <f t="shared" ca="1" si="33"/>
        <v>N/A</v>
      </c>
      <c r="AG379" s="185">
        <v>88.33</v>
      </c>
      <c r="AH379" s="185">
        <v>0</v>
      </c>
      <c r="AI379" s="186">
        <f t="shared" si="34"/>
        <v>88.33</v>
      </c>
      <c r="AJ379" s="70"/>
      <c r="AK379" s="70"/>
      <c r="AL379" s="70"/>
      <c r="AM379" s="165" t="str">
        <f t="shared" si="35"/>
        <v>19025 FUFENG</v>
      </c>
      <c r="AN379" s="165" t="str">
        <f t="shared" si="36"/>
        <v>19025 FUFENG : Flange DN150 on degassing tank F160 is too small</v>
      </c>
    </row>
    <row r="380" spans="1:40" s="76" customFormat="1" ht="14.5" hidden="1" x14ac:dyDescent="0.35">
      <c r="A380" s="122" t="s">
        <v>1462</v>
      </c>
      <c r="B380" s="116">
        <v>19026</v>
      </c>
      <c r="C380" s="143" t="s">
        <v>4</v>
      </c>
      <c r="D380" s="144">
        <v>43654</v>
      </c>
      <c r="E380" s="145" t="s">
        <v>877</v>
      </c>
      <c r="F380" s="145" t="s">
        <v>691</v>
      </c>
      <c r="G380" s="146" t="s">
        <v>1453</v>
      </c>
      <c r="H380" s="146" t="s">
        <v>1287</v>
      </c>
      <c r="I380" s="119" t="s">
        <v>2057</v>
      </c>
      <c r="J380" s="232"/>
      <c r="K380" s="145">
        <v>2074</v>
      </c>
      <c r="L380" s="145">
        <v>14035</v>
      </c>
      <c r="M380" s="147" t="s">
        <v>13</v>
      </c>
      <c r="N380" s="146" t="s">
        <v>1463</v>
      </c>
      <c r="O380" s="146" t="s">
        <v>29</v>
      </c>
      <c r="P380" s="146" t="s">
        <v>86</v>
      </c>
      <c r="Q380" s="232" t="s">
        <v>916</v>
      </c>
      <c r="R380" s="146" t="s">
        <v>15</v>
      </c>
      <c r="S380" s="146"/>
      <c r="T380" s="232"/>
      <c r="U380" s="232"/>
      <c r="V380" s="158" t="s">
        <v>6</v>
      </c>
      <c r="W380" s="118" t="s">
        <v>146</v>
      </c>
      <c r="X380" s="143">
        <v>43664</v>
      </c>
      <c r="Y380" s="144">
        <f t="shared" si="32"/>
        <v>43746</v>
      </c>
      <c r="Z380" s="235">
        <v>43741</v>
      </c>
      <c r="AA380" s="161" t="str">
        <f t="shared" ca="1" si="38"/>
        <v>YES</v>
      </c>
      <c r="AB380" s="113"/>
      <c r="AC380" s="232"/>
      <c r="AD380" s="232"/>
      <c r="AE380" s="232"/>
      <c r="AF380" s="70" t="str">
        <f t="shared" ca="1" si="33"/>
        <v>N/A</v>
      </c>
      <c r="AG380" s="185">
        <v>828</v>
      </c>
      <c r="AH380" s="185">
        <v>0</v>
      </c>
      <c r="AI380" s="186">
        <f t="shared" si="34"/>
        <v>828</v>
      </c>
      <c r="AJ380" s="236"/>
      <c r="AK380" s="70" t="s">
        <v>1378</v>
      </c>
      <c r="AL380" s="70" t="s">
        <v>1379</v>
      </c>
      <c r="AM380" s="184" t="str">
        <f t="shared" si="35"/>
        <v>19026 MAG</v>
      </c>
      <c r="AN380" s="184" t="str">
        <f t="shared" si="36"/>
        <v>19026 MAG : Default settings and screenshot</v>
      </c>
    </row>
    <row r="381" spans="1:40" s="76" customFormat="1" ht="14.5" hidden="1" x14ac:dyDescent="0.35">
      <c r="A381" s="122" t="s">
        <v>1464</v>
      </c>
      <c r="B381" s="116">
        <v>19027</v>
      </c>
      <c r="C381" s="143" t="s">
        <v>4</v>
      </c>
      <c r="D381" s="144">
        <v>43663</v>
      </c>
      <c r="E381" s="145" t="s">
        <v>294</v>
      </c>
      <c r="F381" s="145" t="s">
        <v>164</v>
      </c>
      <c r="G381" s="146" t="s">
        <v>1397</v>
      </c>
      <c r="H381" s="146"/>
      <c r="I381" s="119" t="s">
        <v>2057</v>
      </c>
      <c r="J381" s="232"/>
      <c r="K381" s="145">
        <v>2073</v>
      </c>
      <c r="L381" s="145">
        <v>13929</v>
      </c>
      <c r="M381" s="147" t="s">
        <v>338</v>
      </c>
      <c r="N381" s="146" t="s">
        <v>1465</v>
      </c>
      <c r="O381" s="146" t="s">
        <v>29</v>
      </c>
      <c r="P381" s="146" t="s">
        <v>86</v>
      </c>
      <c r="Q381" s="232" t="s">
        <v>522</v>
      </c>
      <c r="R381" s="111" t="s">
        <v>15</v>
      </c>
      <c r="S381" s="111"/>
      <c r="T381" s="232"/>
      <c r="U381" s="232"/>
      <c r="V381" s="158" t="s">
        <v>6</v>
      </c>
      <c r="W381" s="118" t="s">
        <v>120</v>
      </c>
      <c r="X381" s="143">
        <v>43665</v>
      </c>
      <c r="Y381" s="144">
        <f t="shared" si="32"/>
        <v>43755</v>
      </c>
      <c r="Z381" s="235">
        <v>43749</v>
      </c>
      <c r="AA381" s="161" t="str">
        <f t="shared" ca="1" si="38"/>
        <v>YES</v>
      </c>
      <c r="AB381" s="113"/>
      <c r="AC381" s="232"/>
      <c r="AD381" s="232"/>
      <c r="AE381" s="232"/>
      <c r="AF381" s="70" t="str">
        <f t="shared" ca="1" si="33"/>
        <v>N/A</v>
      </c>
      <c r="AG381" s="185">
        <v>184</v>
      </c>
      <c r="AH381" s="185">
        <v>2500</v>
      </c>
      <c r="AI381" s="186">
        <f t="shared" si="34"/>
        <v>2684</v>
      </c>
      <c r="AJ381" s="191" t="s">
        <v>6</v>
      </c>
      <c r="AK381" s="187">
        <v>44158</v>
      </c>
      <c r="AL381" s="232"/>
      <c r="AM381" s="184" t="str">
        <f t="shared" si="35"/>
        <v>19027 OLON</v>
      </c>
      <c r="AN381" s="184" t="str">
        <f t="shared" si="36"/>
        <v>19027 OLON : Mounting problem pH and conductivity probes</v>
      </c>
    </row>
    <row r="382" spans="1:40" s="76" customFormat="1" ht="14.5" hidden="1" x14ac:dyDescent="0.35">
      <c r="A382" s="122" t="s">
        <v>1466</v>
      </c>
      <c r="B382" s="116">
        <v>19028</v>
      </c>
      <c r="C382" s="143" t="s">
        <v>4</v>
      </c>
      <c r="D382" s="144">
        <v>43664</v>
      </c>
      <c r="E382" s="145" t="s">
        <v>1396</v>
      </c>
      <c r="F382" s="145" t="s">
        <v>164</v>
      </c>
      <c r="G382" s="146" t="s">
        <v>1331</v>
      </c>
      <c r="H382" s="146"/>
      <c r="I382" s="119" t="s">
        <v>2057</v>
      </c>
      <c r="J382" s="232"/>
      <c r="K382" s="145">
        <v>2070</v>
      </c>
      <c r="L382" s="145">
        <v>13599</v>
      </c>
      <c r="M382" s="147" t="s">
        <v>672</v>
      </c>
      <c r="N382" s="146" t="s">
        <v>1467</v>
      </c>
      <c r="O382" s="146" t="s">
        <v>29</v>
      </c>
      <c r="P382" s="146" t="s">
        <v>176</v>
      </c>
      <c r="Q382" s="232" t="s">
        <v>885</v>
      </c>
      <c r="R382" s="146" t="s">
        <v>9</v>
      </c>
      <c r="S382" s="146"/>
      <c r="T382" s="232"/>
      <c r="U382" s="232"/>
      <c r="V382" s="158" t="s">
        <v>6</v>
      </c>
      <c r="W382" s="118" t="s">
        <v>120</v>
      </c>
      <c r="X382" s="143">
        <v>43670</v>
      </c>
      <c r="Y382" s="144">
        <f t="shared" si="32"/>
        <v>43756</v>
      </c>
      <c r="Z382" s="187">
        <v>43753</v>
      </c>
      <c r="AA382" s="161" t="str">
        <f t="shared" ca="1" si="38"/>
        <v>YES</v>
      </c>
      <c r="AB382" s="113"/>
      <c r="AC382" s="232"/>
      <c r="AD382" s="232"/>
      <c r="AE382" s="232"/>
      <c r="AF382" s="70" t="str">
        <f t="shared" ca="1" si="33"/>
        <v>N/A</v>
      </c>
      <c r="AG382" s="185">
        <v>330</v>
      </c>
      <c r="AH382" s="185">
        <v>278</v>
      </c>
      <c r="AI382" s="186">
        <f t="shared" si="34"/>
        <v>608</v>
      </c>
      <c r="AJ382" s="191" t="s">
        <v>6</v>
      </c>
      <c r="AK382" s="187">
        <v>44153</v>
      </c>
      <c r="AL382" s="232"/>
      <c r="AM382" s="184" t="str">
        <f t="shared" si="35"/>
        <v>19028 QNS</v>
      </c>
      <c r="AN382" s="184" t="str">
        <f t="shared" si="36"/>
        <v>19028 QNS : Air cooler order not generated despite of its specification</v>
      </c>
    </row>
    <row r="383" spans="1:40" s="76" customFormat="1" ht="14.5" hidden="1" x14ac:dyDescent="0.35">
      <c r="A383" s="122" t="s">
        <v>1468</v>
      </c>
      <c r="B383" s="116">
        <v>19029</v>
      </c>
      <c r="C383" s="113" t="s">
        <v>1193</v>
      </c>
      <c r="D383" s="117">
        <v>43669</v>
      </c>
      <c r="E383" s="118" t="s">
        <v>1318</v>
      </c>
      <c r="F383" s="145" t="s">
        <v>164</v>
      </c>
      <c r="G383" s="111" t="s">
        <v>1469</v>
      </c>
      <c r="H383" s="111"/>
      <c r="I383" s="119" t="s">
        <v>2057</v>
      </c>
      <c r="J383" s="70"/>
      <c r="K383" s="118">
        <v>2077</v>
      </c>
      <c r="L383" s="118">
        <v>13825</v>
      </c>
      <c r="M383" s="147" t="s">
        <v>1470</v>
      </c>
      <c r="N383" s="111" t="s">
        <v>1471</v>
      </c>
      <c r="O383" s="146" t="s">
        <v>29</v>
      </c>
      <c r="P383" s="111" t="s">
        <v>86</v>
      </c>
      <c r="Q383" s="70" t="s">
        <v>522</v>
      </c>
      <c r="R383" s="146" t="s">
        <v>9</v>
      </c>
      <c r="S383" s="146"/>
      <c r="T383" s="70"/>
      <c r="U383" s="70"/>
      <c r="V383" s="158" t="s">
        <v>1414</v>
      </c>
      <c r="W383" s="118" t="s">
        <v>932</v>
      </c>
      <c r="X383" s="113">
        <v>43669</v>
      </c>
      <c r="Y383" s="117">
        <f t="shared" si="32"/>
        <v>43761</v>
      </c>
      <c r="Z383" s="187">
        <v>43761</v>
      </c>
      <c r="AA383" s="161" t="str">
        <f t="shared" ca="1" si="38"/>
        <v>YES</v>
      </c>
      <c r="AB383" s="113"/>
      <c r="AC383" s="70"/>
      <c r="AD383" s="70"/>
      <c r="AE383" s="70"/>
      <c r="AF383" s="70" t="str">
        <f t="shared" ca="1" si="33"/>
        <v>N/A</v>
      </c>
      <c r="AG383" s="185">
        <v>128</v>
      </c>
      <c r="AH383" s="185">
        <v>4116.1333333333332</v>
      </c>
      <c r="AI383" s="186">
        <f t="shared" si="34"/>
        <v>4244.1333333333332</v>
      </c>
      <c r="AJ383" s="70"/>
      <c r="AK383" s="70"/>
      <c r="AL383" s="70"/>
      <c r="AM383" s="165" t="str">
        <f t="shared" si="35"/>
        <v>19029 CJ LIAOCHENG</v>
      </c>
      <c r="AN383" s="165" t="str">
        <f t="shared" si="36"/>
        <v>19029 CJ LIAOCHENG : Bolts length is not long enough</v>
      </c>
    </row>
    <row r="384" spans="1:40" s="76" customFormat="1" ht="14.5" hidden="1" x14ac:dyDescent="0.35">
      <c r="A384" s="122" t="s">
        <v>1472</v>
      </c>
      <c r="B384" s="116">
        <v>19030</v>
      </c>
      <c r="C384" s="113" t="s">
        <v>1193</v>
      </c>
      <c r="D384" s="117">
        <v>43669</v>
      </c>
      <c r="E384" s="118" t="s">
        <v>1318</v>
      </c>
      <c r="F384" s="145" t="s">
        <v>164</v>
      </c>
      <c r="G384" s="111" t="s">
        <v>1473</v>
      </c>
      <c r="H384" s="149" t="s">
        <v>937</v>
      </c>
      <c r="I384" s="119" t="s">
        <v>2057</v>
      </c>
      <c r="J384" s="70"/>
      <c r="K384" s="118">
        <v>2077</v>
      </c>
      <c r="L384" s="118">
        <v>13825</v>
      </c>
      <c r="M384" s="147" t="s">
        <v>1470</v>
      </c>
      <c r="N384" s="111" t="s">
        <v>1474</v>
      </c>
      <c r="O384" s="146" t="s">
        <v>29</v>
      </c>
      <c r="P384" s="111" t="s">
        <v>86</v>
      </c>
      <c r="Q384" s="70" t="s">
        <v>885</v>
      </c>
      <c r="R384" s="146" t="s">
        <v>9</v>
      </c>
      <c r="S384" s="146"/>
      <c r="T384" s="70"/>
      <c r="U384" s="70"/>
      <c r="V384" s="158" t="s">
        <v>1414</v>
      </c>
      <c r="W384" s="118" t="s">
        <v>1311</v>
      </c>
      <c r="X384" s="113">
        <v>43676</v>
      </c>
      <c r="Y384" s="117">
        <f t="shared" si="32"/>
        <v>43761</v>
      </c>
      <c r="Z384" s="187">
        <v>43678</v>
      </c>
      <c r="AA384" s="161" t="str">
        <f t="shared" ca="1" si="38"/>
        <v>YES</v>
      </c>
      <c r="AB384" s="113"/>
      <c r="AC384" s="70"/>
      <c r="AD384" s="70"/>
      <c r="AE384" s="70"/>
      <c r="AF384" s="70" t="str">
        <f t="shared" ca="1" si="33"/>
        <v>N/A</v>
      </c>
      <c r="AG384" s="185">
        <v>128</v>
      </c>
      <c r="AH384" s="185">
        <v>0</v>
      </c>
      <c r="AI384" s="186">
        <f t="shared" si="34"/>
        <v>128</v>
      </c>
      <c r="AJ384" s="70"/>
      <c r="AK384" s="70"/>
      <c r="AL384" s="70"/>
      <c r="AM384" s="165" t="str">
        <f t="shared" si="35"/>
        <v>19030 CJ LIAOCHENG</v>
      </c>
      <c r="AN384" s="165" t="str">
        <f t="shared" si="36"/>
        <v>19030 CJ LIAOCHENG : Drawing updating and following should be continuously tracking</v>
      </c>
    </row>
    <row r="385" spans="1:40" s="76" customFormat="1" ht="14.5" hidden="1" x14ac:dyDescent="0.35">
      <c r="A385" s="122" t="s">
        <v>1475</v>
      </c>
      <c r="B385" s="116">
        <v>19031</v>
      </c>
      <c r="C385" s="143" t="s">
        <v>4</v>
      </c>
      <c r="D385" s="144">
        <v>43671</v>
      </c>
      <c r="E385" s="145" t="s">
        <v>1476</v>
      </c>
      <c r="F385" s="118" t="s">
        <v>658</v>
      </c>
      <c r="G385" s="146" t="s">
        <v>538</v>
      </c>
      <c r="H385" s="146" t="s">
        <v>1041</v>
      </c>
      <c r="I385" s="119" t="s">
        <v>2056</v>
      </c>
      <c r="J385" s="232"/>
      <c r="K385" s="145"/>
      <c r="L385" s="145" t="s">
        <v>1477</v>
      </c>
      <c r="M385" s="147"/>
      <c r="N385" s="146" t="s">
        <v>1478</v>
      </c>
      <c r="O385" s="146" t="s">
        <v>28</v>
      </c>
      <c r="P385" s="146" t="s">
        <v>103</v>
      </c>
      <c r="Q385" s="232" t="s">
        <v>510</v>
      </c>
      <c r="R385" s="146" t="s">
        <v>145</v>
      </c>
      <c r="S385" s="146"/>
      <c r="T385" s="112" t="s">
        <v>1394</v>
      </c>
      <c r="U385" s="232"/>
      <c r="V385" s="158" t="s">
        <v>10</v>
      </c>
      <c r="W385" s="145"/>
      <c r="X385" s="143"/>
      <c r="Y385" s="144">
        <f t="shared" si="32"/>
        <v>43763</v>
      </c>
      <c r="Z385" s="235">
        <v>43759</v>
      </c>
      <c r="AA385" s="161" t="str">
        <f t="shared" ca="1" si="38"/>
        <v>YES</v>
      </c>
      <c r="AB385" s="113"/>
      <c r="AC385" s="232"/>
      <c r="AD385" s="232"/>
      <c r="AE385" s="232"/>
      <c r="AF385" s="70" t="str">
        <f t="shared" ca="1" si="33"/>
        <v>N/A</v>
      </c>
      <c r="AG385" s="185">
        <v>220</v>
      </c>
      <c r="AH385" s="185">
        <v>6256.1333333333332</v>
      </c>
      <c r="AI385" s="186">
        <f t="shared" si="34"/>
        <v>6476.1333333333332</v>
      </c>
      <c r="AJ385" s="191" t="s">
        <v>6</v>
      </c>
      <c r="AK385" s="187">
        <v>44148</v>
      </c>
      <c r="AL385" s="232"/>
      <c r="AM385" s="184" t="str">
        <f t="shared" si="35"/>
        <v>19031 ADM</v>
      </c>
      <c r="AN385" s="184" t="str">
        <f t="shared" si="36"/>
        <v>19031 ADM : Package sent by mistake to a customer</v>
      </c>
    </row>
    <row r="386" spans="1:40" s="76" customFormat="1" ht="14.5" hidden="1" x14ac:dyDescent="0.35">
      <c r="A386" s="122" t="s">
        <v>1475</v>
      </c>
      <c r="B386" s="116">
        <v>19032</v>
      </c>
      <c r="C386" s="113" t="s">
        <v>4</v>
      </c>
      <c r="D386" s="117">
        <v>43686</v>
      </c>
      <c r="E386" s="118" t="s">
        <v>621</v>
      </c>
      <c r="F386" s="118" t="s">
        <v>164</v>
      </c>
      <c r="G386" s="111" t="s">
        <v>1397</v>
      </c>
      <c r="H386" s="111" t="s">
        <v>1111</v>
      </c>
      <c r="I386" s="119" t="s">
        <v>2056</v>
      </c>
      <c r="J386" s="70"/>
      <c r="K386" s="118">
        <v>2073</v>
      </c>
      <c r="L386" s="118">
        <v>13929</v>
      </c>
      <c r="M386" s="147" t="s">
        <v>359</v>
      </c>
      <c r="N386" s="111" t="s">
        <v>1479</v>
      </c>
      <c r="O386" s="111" t="s">
        <v>29</v>
      </c>
      <c r="P386" s="111" t="s">
        <v>86</v>
      </c>
      <c r="Q386" s="70" t="s">
        <v>605</v>
      </c>
      <c r="R386" s="111" t="s">
        <v>9</v>
      </c>
      <c r="S386" s="111"/>
      <c r="T386" s="70"/>
      <c r="U386" s="70"/>
      <c r="V386" s="158" t="s">
        <v>10</v>
      </c>
      <c r="W386" s="118"/>
      <c r="X386" s="113"/>
      <c r="Y386" s="117">
        <f t="shared" si="32"/>
        <v>43778</v>
      </c>
      <c r="Z386" s="187">
        <v>43763</v>
      </c>
      <c r="AA386" s="161" t="str">
        <f t="shared" ca="1" si="38"/>
        <v>YES</v>
      </c>
      <c r="AB386" s="113"/>
      <c r="AC386" s="70"/>
      <c r="AD386" s="70"/>
      <c r="AE386" s="70"/>
      <c r="AF386" s="70" t="str">
        <f t="shared" ca="1" si="33"/>
        <v>N/A</v>
      </c>
      <c r="AG386" s="185">
        <v>1196</v>
      </c>
      <c r="AH386" s="185">
        <v>40</v>
      </c>
      <c r="AI386" s="186">
        <f t="shared" si="34"/>
        <v>1236</v>
      </c>
      <c r="AJ386" s="191" t="s">
        <v>6</v>
      </c>
      <c r="AK386" s="187">
        <v>44152</v>
      </c>
      <c r="AL386" s="70"/>
      <c r="AM386" s="165" t="str">
        <f t="shared" si="35"/>
        <v>19032 OLON</v>
      </c>
      <c r="AN386" s="165" t="str">
        <f t="shared" si="36"/>
        <v>19032 OLON : Connection issue pH and conductivity probes on tank (NA Connect)</v>
      </c>
    </row>
    <row r="387" spans="1:40" s="76" customFormat="1" ht="14.5" hidden="1" x14ac:dyDescent="0.35">
      <c r="A387" s="122" t="s">
        <v>1480</v>
      </c>
      <c r="B387" s="116">
        <v>19033</v>
      </c>
      <c r="C387" s="113" t="s">
        <v>4</v>
      </c>
      <c r="D387" s="117">
        <v>43704</v>
      </c>
      <c r="E387" s="118" t="s">
        <v>1019</v>
      </c>
      <c r="F387" s="118" t="s">
        <v>164</v>
      </c>
      <c r="G387" s="111" t="s">
        <v>1235</v>
      </c>
      <c r="H387" s="111"/>
      <c r="I387" s="119" t="s">
        <v>2057</v>
      </c>
      <c r="J387" s="75"/>
      <c r="K387" s="141">
        <v>2053</v>
      </c>
      <c r="L387" s="141">
        <v>13174</v>
      </c>
      <c r="M387" s="151" t="s">
        <v>13</v>
      </c>
      <c r="N387" s="121" t="s">
        <v>1481</v>
      </c>
      <c r="O387" s="111" t="s">
        <v>29</v>
      </c>
      <c r="P387" s="111" t="s">
        <v>86</v>
      </c>
      <c r="Q387" s="70" t="s">
        <v>605</v>
      </c>
      <c r="R387" s="111" t="s">
        <v>9</v>
      </c>
      <c r="S387" s="121"/>
      <c r="T387" s="75"/>
      <c r="U387" s="75"/>
      <c r="V387" s="158" t="s">
        <v>6</v>
      </c>
      <c r="W387" s="141" t="s">
        <v>146</v>
      </c>
      <c r="X387" s="159">
        <v>43704</v>
      </c>
      <c r="Y387" s="160">
        <f t="shared" si="32"/>
        <v>43796</v>
      </c>
      <c r="Z387" s="192">
        <v>43774</v>
      </c>
      <c r="AA387" s="181" t="str">
        <f t="shared" ca="1" si="38"/>
        <v>YES</v>
      </c>
      <c r="AB387" s="159"/>
      <c r="AC387" s="75"/>
      <c r="AD387" s="75"/>
      <c r="AE387" s="75"/>
      <c r="AF387" s="70" t="str">
        <f t="shared" ca="1" si="33"/>
        <v>N/A</v>
      </c>
      <c r="AG387" s="185">
        <v>1840</v>
      </c>
      <c r="AH387" s="185">
        <v>2178</v>
      </c>
      <c r="AI387" s="186">
        <f t="shared" si="34"/>
        <v>4018</v>
      </c>
      <c r="AJ387" s="191" t="s">
        <v>6</v>
      </c>
      <c r="AK387" s="187">
        <v>44158</v>
      </c>
      <c r="AL387" s="75"/>
      <c r="AM387" s="166" t="str">
        <f t="shared" si="35"/>
        <v>19033 Pfeifer and Langen</v>
      </c>
      <c r="AN387" s="165" t="str">
        <f t="shared" si="36"/>
        <v>19033 Pfeifer and Langen : Fan blower forgotten for electrical study</v>
      </c>
    </row>
    <row r="388" spans="1:40" s="76" customFormat="1" ht="14.5" hidden="1" x14ac:dyDescent="0.35">
      <c r="A388" s="122" t="s">
        <v>1482</v>
      </c>
      <c r="B388" s="116">
        <v>19034</v>
      </c>
      <c r="C388" s="113" t="s">
        <v>4</v>
      </c>
      <c r="D388" s="117">
        <v>43704</v>
      </c>
      <c r="E388" s="118" t="s">
        <v>864</v>
      </c>
      <c r="F388" s="118" t="s">
        <v>164</v>
      </c>
      <c r="G388" s="111" t="s">
        <v>1483</v>
      </c>
      <c r="H388" s="121" t="s">
        <v>1041</v>
      </c>
      <c r="I388" s="119" t="s">
        <v>2056</v>
      </c>
      <c r="J388" s="75"/>
      <c r="K388" s="141">
        <v>2078</v>
      </c>
      <c r="L388" s="141">
        <v>12769</v>
      </c>
      <c r="M388" s="151" t="s">
        <v>11</v>
      </c>
      <c r="N388" s="121" t="s">
        <v>1484</v>
      </c>
      <c r="O388" s="111" t="s">
        <v>29</v>
      </c>
      <c r="P388" s="121" t="s">
        <v>176</v>
      </c>
      <c r="Q388" s="75" t="s">
        <v>510</v>
      </c>
      <c r="R388" s="111" t="s">
        <v>145</v>
      </c>
      <c r="S388" s="121"/>
      <c r="T388" s="122" t="s">
        <v>1394</v>
      </c>
      <c r="U388" s="75"/>
      <c r="V388" s="158" t="s">
        <v>6</v>
      </c>
      <c r="W388" s="141" t="s">
        <v>224</v>
      </c>
      <c r="X388" s="159">
        <v>43728</v>
      </c>
      <c r="Y388" s="160">
        <f t="shared" si="32"/>
        <v>43796</v>
      </c>
      <c r="Z388" s="192">
        <v>43791</v>
      </c>
      <c r="AA388" s="181" t="str">
        <f t="shared" ca="1" si="38"/>
        <v>YES</v>
      </c>
      <c r="AB388" s="159"/>
      <c r="AC388" s="75"/>
      <c r="AD388" s="75"/>
      <c r="AE388" s="75"/>
      <c r="AF388" s="70" t="str">
        <f t="shared" ca="1" si="33"/>
        <v>N/A</v>
      </c>
      <c r="AG388" s="185">
        <v>703.33333333333337</v>
      </c>
      <c r="AH388" s="185">
        <v>0</v>
      </c>
      <c r="AI388" s="186">
        <f t="shared" si="34"/>
        <v>703.33333333333337</v>
      </c>
      <c r="AJ388" s="191" t="s">
        <v>6</v>
      </c>
      <c r="AK388" s="187">
        <v>44161</v>
      </c>
      <c r="AL388" s="75"/>
      <c r="AM388" s="166" t="str">
        <f t="shared" si="35"/>
        <v>19034 CHENGXIN</v>
      </c>
      <c r="AN388" s="166" t="str">
        <f t="shared" si="36"/>
        <v>19034 CHENGXIN : Issue with Re-Labelling of XA Resins by our Logistic Supplier</v>
      </c>
    </row>
    <row r="389" spans="1:40" s="76" customFormat="1" ht="14.5" hidden="1" x14ac:dyDescent="0.35">
      <c r="A389" s="122" t="s">
        <v>1485</v>
      </c>
      <c r="B389" s="116">
        <v>19035</v>
      </c>
      <c r="C389" s="143" t="s">
        <v>4</v>
      </c>
      <c r="D389" s="144">
        <v>43712</v>
      </c>
      <c r="E389" s="145" t="s">
        <v>294</v>
      </c>
      <c r="F389" s="145" t="s">
        <v>164</v>
      </c>
      <c r="G389" s="146" t="s">
        <v>1397</v>
      </c>
      <c r="H389" s="146" t="s">
        <v>653</v>
      </c>
      <c r="I389" s="119" t="s">
        <v>2056</v>
      </c>
      <c r="J389" s="232"/>
      <c r="K389" s="145">
        <v>2073</v>
      </c>
      <c r="L389" s="145">
        <v>13929</v>
      </c>
      <c r="M389" s="147" t="s">
        <v>338</v>
      </c>
      <c r="N389" s="146" t="s">
        <v>1486</v>
      </c>
      <c r="O389" s="146" t="s">
        <v>29</v>
      </c>
      <c r="P389" s="146" t="s">
        <v>176</v>
      </c>
      <c r="Q389" s="232"/>
      <c r="R389" s="146" t="s">
        <v>145</v>
      </c>
      <c r="S389" s="146"/>
      <c r="T389" s="112" t="s">
        <v>653</v>
      </c>
      <c r="U389" s="232"/>
      <c r="V389" s="158" t="s">
        <v>10</v>
      </c>
      <c r="W389" s="145"/>
      <c r="X389" s="143"/>
      <c r="Y389" s="144">
        <f t="shared" si="32"/>
        <v>43803</v>
      </c>
      <c r="Z389" s="235">
        <v>43796</v>
      </c>
      <c r="AA389" s="161" t="str">
        <f t="shared" ca="1" si="38"/>
        <v>YES</v>
      </c>
      <c r="AB389" s="113"/>
      <c r="AC389" s="232"/>
      <c r="AD389" s="232"/>
      <c r="AE389" s="232"/>
      <c r="AF389" s="70" t="str">
        <f t="shared" ca="1" si="33"/>
        <v>N/A</v>
      </c>
      <c r="AG389" s="185">
        <v>184</v>
      </c>
      <c r="AH389" s="185">
        <v>2000</v>
      </c>
      <c r="AI389" s="186">
        <f t="shared" si="34"/>
        <v>2184</v>
      </c>
      <c r="AJ389" s="191" t="s">
        <v>6</v>
      </c>
      <c r="AK389" s="187">
        <v>44158</v>
      </c>
      <c r="AL389" s="232"/>
      <c r="AM389" s="184" t="str">
        <f t="shared" si="35"/>
        <v>19035 OLON</v>
      </c>
      <c r="AN389" s="184" t="str">
        <f t="shared" si="36"/>
        <v>19035 OLON : Manufacturing and mounting failure of MF drain piping</v>
      </c>
    </row>
    <row r="390" spans="1:40" s="76" customFormat="1" ht="14.5" hidden="1" x14ac:dyDescent="0.35">
      <c r="A390" s="122" t="s">
        <v>1487</v>
      </c>
      <c r="B390" s="116">
        <v>19036</v>
      </c>
      <c r="C390" s="143" t="s">
        <v>4</v>
      </c>
      <c r="D390" s="144">
        <v>43717</v>
      </c>
      <c r="E390" s="145" t="s">
        <v>195</v>
      </c>
      <c r="F390" s="145" t="s">
        <v>420</v>
      </c>
      <c r="G390" s="111" t="s">
        <v>803</v>
      </c>
      <c r="H390" s="146"/>
      <c r="I390" s="119" t="s">
        <v>2058</v>
      </c>
      <c r="J390" s="232"/>
      <c r="K390" s="145" t="s">
        <v>454</v>
      </c>
      <c r="L390" s="145" t="s">
        <v>454</v>
      </c>
      <c r="M390" s="147" t="s">
        <v>454</v>
      </c>
      <c r="N390" s="111" t="s">
        <v>1488</v>
      </c>
      <c r="O390" s="111" t="s">
        <v>420</v>
      </c>
      <c r="P390" s="146" t="s">
        <v>80</v>
      </c>
      <c r="Q390" s="232"/>
      <c r="R390" s="146" t="s">
        <v>87</v>
      </c>
      <c r="S390" s="146"/>
      <c r="T390" s="232"/>
      <c r="U390" s="232"/>
      <c r="V390" s="158" t="s">
        <v>10</v>
      </c>
      <c r="W390" s="145"/>
      <c r="X390" s="143"/>
      <c r="Y390" s="144">
        <f t="shared" si="32"/>
        <v>43808</v>
      </c>
      <c r="Z390" s="235">
        <v>43836</v>
      </c>
      <c r="AA390" s="161" t="str">
        <f t="shared" ca="1" si="38"/>
        <v>NO</v>
      </c>
      <c r="AB390" s="113"/>
      <c r="AC390" s="232"/>
      <c r="AD390" s="232"/>
      <c r="AE390" s="232"/>
      <c r="AF390" s="148" t="str">
        <f t="shared" ca="1" si="33"/>
        <v>N/A</v>
      </c>
      <c r="AG390" s="193">
        <v>92</v>
      </c>
      <c r="AH390" s="194">
        <v>200</v>
      </c>
      <c r="AI390" s="195">
        <f t="shared" si="34"/>
        <v>292</v>
      </c>
      <c r="AJ390" s="191" t="s">
        <v>6</v>
      </c>
      <c r="AK390" s="192">
        <v>44153</v>
      </c>
      <c r="AL390" s="232"/>
      <c r="AM390" s="184" t="str">
        <f t="shared" si="35"/>
        <v>19036 Service R&amp;D</v>
      </c>
      <c r="AN390" s="184" t="str">
        <f t="shared" si="36"/>
        <v>19036 Service R&amp;D : Overheating of a R&amp;D oven</v>
      </c>
    </row>
    <row r="391" spans="1:40" s="76" customFormat="1" ht="14.5" hidden="1" x14ac:dyDescent="0.35">
      <c r="A391" s="122" t="s">
        <v>1489</v>
      </c>
      <c r="B391" s="116">
        <v>19037</v>
      </c>
      <c r="C391" s="143" t="s">
        <v>4</v>
      </c>
      <c r="D391" s="144">
        <v>43718</v>
      </c>
      <c r="E391" s="145" t="s">
        <v>1083</v>
      </c>
      <c r="F391" s="145" t="s">
        <v>164</v>
      </c>
      <c r="G391" s="146" t="s">
        <v>1235</v>
      </c>
      <c r="H391" s="146"/>
      <c r="I391" s="119" t="s">
        <v>17</v>
      </c>
      <c r="J391" s="232"/>
      <c r="K391" s="145">
        <v>2053</v>
      </c>
      <c r="L391" s="145">
        <v>13174</v>
      </c>
      <c r="M391" s="147" t="s">
        <v>13</v>
      </c>
      <c r="N391" s="146" t="s">
        <v>1490</v>
      </c>
      <c r="O391" s="146" t="s">
        <v>29</v>
      </c>
      <c r="P391" s="146" t="s">
        <v>86</v>
      </c>
      <c r="Q391" s="232" t="s">
        <v>1036</v>
      </c>
      <c r="R391" s="146" t="s">
        <v>9</v>
      </c>
      <c r="S391" s="146"/>
      <c r="T391" s="232"/>
      <c r="U391" s="232"/>
      <c r="V391" s="158" t="s">
        <v>10</v>
      </c>
      <c r="W391" s="145"/>
      <c r="X391" s="143"/>
      <c r="Y391" s="144">
        <f t="shared" ref="Y391:Y454" si="39">EDATE(D391,3)</f>
        <v>43809</v>
      </c>
      <c r="Z391" s="235">
        <v>43801</v>
      </c>
      <c r="AA391" s="161" t="str">
        <f t="shared" ca="1" si="38"/>
        <v>YES</v>
      </c>
      <c r="AB391" s="113"/>
      <c r="AC391" s="232"/>
      <c r="AD391" s="232"/>
      <c r="AE391" s="232"/>
      <c r="AF391" s="70" t="str">
        <f t="shared" ca="1" si="33"/>
        <v>N/A</v>
      </c>
      <c r="AG391" s="185">
        <v>552</v>
      </c>
      <c r="AH391" s="185">
        <v>0</v>
      </c>
      <c r="AI391" s="186">
        <f t="shared" si="34"/>
        <v>552</v>
      </c>
      <c r="AJ391" s="191" t="s">
        <v>6</v>
      </c>
      <c r="AK391" s="192">
        <v>44148</v>
      </c>
      <c r="AL391" s="70"/>
      <c r="AM391" s="184" t="str">
        <f t="shared" si="35"/>
        <v>19037 Pfeifer and Langen</v>
      </c>
      <c r="AN391" s="184" t="str">
        <f t="shared" si="36"/>
        <v>19037 Pfeifer and Langen : DP definition</v>
      </c>
    </row>
    <row r="392" spans="1:40" s="76" customFormat="1" ht="14.5" hidden="1" x14ac:dyDescent="0.35">
      <c r="A392" s="122" t="s">
        <v>1491</v>
      </c>
      <c r="B392" s="116">
        <v>19038</v>
      </c>
      <c r="C392" s="143" t="s">
        <v>4</v>
      </c>
      <c r="D392" s="144">
        <v>43721</v>
      </c>
      <c r="E392" s="145" t="s">
        <v>1492</v>
      </c>
      <c r="F392" s="116" t="s">
        <v>420</v>
      </c>
      <c r="G392" s="146" t="s">
        <v>1493</v>
      </c>
      <c r="H392" s="146" t="s">
        <v>1041</v>
      </c>
      <c r="I392" s="119" t="s">
        <v>2057</v>
      </c>
      <c r="J392" s="232"/>
      <c r="K392" s="145"/>
      <c r="L392" s="145" t="s">
        <v>1494</v>
      </c>
      <c r="M392" s="147"/>
      <c r="N392" s="146" t="s">
        <v>1495</v>
      </c>
      <c r="O392" s="111" t="s">
        <v>420</v>
      </c>
      <c r="P392" s="146" t="s">
        <v>80</v>
      </c>
      <c r="Q392" s="232"/>
      <c r="R392" s="146" t="s">
        <v>9</v>
      </c>
      <c r="S392" s="111" t="s">
        <v>1344</v>
      </c>
      <c r="T392" s="232"/>
      <c r="U392" s="232"/>
      <c r="V392" s="158" t="s">
        <v>6</v>
      </c>
      <c r="W392" s="145" t="s">
        <v>1492</v>
      </c>
      <c r="X392" s="143">
        <v>43740</v>
      </c>
      <c r="Y392" s="144">
        <f t="shared" si="39"/>
        <v>43812</v>
      </c>
      <c r="Z392" s="187">
        <v>43803</v>
      </c>
      <c r="AA392" s="161" t="str">
        <f t="shared" ca="1" si="38"/>
        <v>YES</v>
      </c>
      <c r="AB392" s="113"/>
      <c r="AC392" s="232"/>
      <c r="AD392" s="232"/>
      <c r="AE392" s="232"/>
      <c r="AF392" s="70" t="str">
        <f t="shared" ref="AF392:AF406" ca="1" si="40">IF(I392="Claim",IF(AD392="","",IF(AE392="",IF(TODAY()&gt;AD392,"NO","YES"),IF(AE392&gt;AD392,"NO",IF(AE392&lt;AD392,"YES",IF(AD392=AE392,"YES","N/A"))))),"N/A")</f>
        <v>N/A</v>
      </c>
      <c r="AG392" s="185">
        <v>1567.8333333333335</v>
      </c>
      <c r="AH392" s="185">
        <v>0</v>
      </c>
      <c r="AI392" s="186">
        <f t="shared" ref="AI392:AI406" si="41">AH392+AG392</f>
        <v>1567.8333333333335</v>
      </c>
      <c r="AJ392" s="236"/>
      <c r="AK392" s="75" t="s">
        <v>1378</v>
      </c>
      <c r="AL392" s="232"/>
      <c r="AM392" s="184" t="str">
        <f t="shared" ref="AM392:AM406" si="42">CONCATENATE(B392," ",G392)</f>
        <v>19038 Tate &amp; Lyle</v>
      </c>
      <c r="AN392" s="184" t="str">
        <f t="shared" ref="AN392:AN406" si="43">CONCATENATE(B392," ",G392," : ",N392)</f>
        <v>19038 Tate &amp; Lyle : Customer sample received late at NVS SMB</v>
      </c>
    </row>
    <row r="393" spans="1:40" s="76" customFormat="1" ht="14.5" hidden="1" x14ac:dyDescent="0.35">
      <c r="A393" s="122" t="s">
        <v>1496</v>
      </c>
      <c r="B393" s="116">
        <v>19039</v>
      </c>
      <c r="C393" s="143" t="s">
        <v>4</v>
      </c>
      <c r="D393" s="144">
        <v>43724</v>
      </c>
      <c r="E393" s="145" t="s">
        <v>116</v>
      </c>
      <c r="F393" s="116" t="s">
        <v>164</v>
      </c>
      <c r="G393" s="146" t="s">
        <v>1423</v>
      </c>
      <c r="H393" s="146"/>
      <c r="I393" s="119" t="s">
        <v>2057</v>
      </c>
      <c r="J393" s="232"/>
      <c r="K393" s="145">
        <v>2067</v>
      </c>
      <c r="L393" s="145">
        <v>11925</v>
      </c>
      <c r="M393" s="147" t="s">
        <v>11</v>
      </c>
      <c r="N393" s="146" t="s">
        <v>1497</v>
      </c>
      <c r="O393" s="146" t="s">
        <v>29</v>
      </c>
      <c r="P393" s="146" t="s">
        <v>86</v>
      </c>
      <c r="Q393" s="232" t="s">
        <v>605</v>
      </c>
      <c r="R393" s="146" t="s">
        <v>15</v>
      </c>
      <c r="S393" s="111" t="s">
        <v>1344</v>
      </c>
      <c r="T393" s="232"/>
      <c r="U393" s="232"/>
      <c r="V393" s="158" t="s">
        <v>6</v>
      </c>
      <c r="W393" s="145" t="s">
        <v>116</v>
      </c>
      <c r="X393" s="143">
        <v>43734</v>
      </c>
      <c r="Y393" s="144">
        <f t="shared" si="39"/>
        <v>43815</v>
      </c>
      <c r="Z393" s="235">
        <v>43795</v>
      </c>
      <c r="AA393" s="161" t="str">
        <f t="shared" ca="1" si="38"/>
        <v>YES</v>
      </c>
      <c r="AB393" s="113"/>
      <c r="AC393" s="232"/>
      <c r="AD393" s="232"/>
      <c r="AE393" s="232"/>
      <c r="AF393" s="70" t="str">
        <f t="shared" ca="1" si="40"/>
        <v>N/A</v>
      </c>
      <c r="AG393" s="185">
        <v>460</v>
      </c>
      <c r="AH393" s="185">
        <v>0</v>
      </c>
      <c r="AI393" s="186">
        <f t="shared" si="41"/>
        <v>460</v>
      </c>
      <c r="AJ393" s="191" t="s">
        <v>6</v>
      </c>
      <c r="AK393" s="187">
        <v>44148</v>
      </c>
      <c r="AL393" s="232"/>
      <c r="AM393" s="184" t="str">
        <f t="shared" si="42"/>
        <v>19039 Ingredion</v>
      </c>
      <c r="AN393" s="184" t="str">
        <f t="shared" si="43"/>
        <v>19039 Ingredion : Forgotten item from Novasep scope</v>
      </c>
    </row>
    <row r="394" spans="1:40" s="76" customFormat="1" ht="14.5" hidden="1" x14ac:dyDescent="0.35">
      <c r="A394" s="122" t="s">
        <v>1498</v>
      </c>
      <c r="B394" s="116">
        <v>19040</v>
      </c>
      <c r="C394" s="143" t="s">
        <v>4</v>
      </c>
      <c r="D394" s="144">
        <v>43725</v>
      </c>
      <c r="E394" s="145" t="s">
        <v>82</v>
      </c>
      <c r="F394" s="145" t="s">
        <v>658</v>
      </c>
      <c r="G394" s="146" t="s">
        <v>1499</v>
      </c>
      <c r="H394" s="146" t="s">
        <v>357</v>
      </c>
      <c r="I394" s="119" t="s">
        <v>5</v>
      </c>
      <c r="J394" s="232"/>
      <c r="K394" s="145"/>
      <c r="L394" s="145" t="s">
        <v>1500</v>
      </c>
      <c r="M394" s="147" t="s">
        <v>338</v>
      </c>
      <c r="N394" s="146" t="s">
        <v>1501</v>
      </c>
      <c r="O394" s="146" t="s">
        <v>28</v>
      </c>
      <c r="P394" s="146" t="s">
        <v>103</v>
      </c>
      <c r="Q394" s="232" t="s">
        <v>176</v>
      </c>
      <c r="R394" s="146" t="s">
        <v>145</v>
      </c>
      <c r="S394" s="146"/>
      <c r="T394" s="112" t="s">
        <v>357</v>
      </c>
      <c r="U394" s="232"/>
      <c r="V394" s="158" t="s">
        <v>6</v>
      </c>
      <c r="W394" s="145" t="s">
        <v>82</v>
      </c>
      <c r="X394" s="143">
        <v>43727</v>
      </c>
      <c r="Y394" s="144">
        <f t="shared" si="39"/>
        <v>43816</v>
      </c>
      <c r="Z394" s="235">
        <v>43795</v>
      </c>
      <c r="AA394" s="161" t="str">
        <f t="shared" ca="1" si="38"/>
        <v>YES</v>
      </c>
      <c r="AB394" s="113"/>
      <c r="AC394" s="190">
        <v>43725</v>
      </c>
      <c r="AD394" s="235">
        <v>43830</v>
      </c>
      <c r="AE394" s="235">
        <v>43795</v>
      </c>
      <c r="AF394" s="70" t="str">
        <f t="shared" ca="1" si="40"/>
        <v>YES</v>
      </c>
      <c r="AG394" s="185">
        <v>276</v>
      </c>
      <c r="AH394" s="185">
        <v>100</v>
      </c>
      <c r="AI394" s="186">
        <f t="shared" si="41"/>
        <v>376</v>
      </c>
      <c r="AJ394" s="191" t="s">
        <v>6</v>
      </c>
      <c r="AK394" s="187">
        <v>44153</v>
      </c>
      <c r="AL394" s="232"/>
      <c r="AM394" s="184" t="str">
        <f t="shared" si="42"/>
        <v>19040 Rousselot</v>
      </c>
      <c r="AN394" s="184" t="str">
        <f t="shared" si="43"/>
        <v>19040 Rousselot : Kerasep membrane length problem</v>
      </c>
    </row>
    <row r="395" spans="1:40" s="76" customFormat="1" ht="14.5" hidden="1" x14ac:dyDescent="0.35">
      <c r="A395" s="122" t="s">
        <v>1502</v>
      </c>
      <c r="B395" s="116">
        <v>19041</v>
      </c>
      <c r="C395" s="143" t="s">
        <v>4</v>
      </c>
      <c r="D395" s="144">
        <v>43738</v>
      </c>
      <c r="E395" s="145" t="s">
        <v>1503</v>
      </c>
      <c r="F395" s="116" t="s">
        <v>658</v>
      </c>
      <c r="G395" s="146" t="s">
        <v>1504</v>
      </c>
      <c r="H395" s="146" t="s">
        <v>1041</v>
      </c>
      <c r="I395" s="119" t="s">
        <v>2057</v>
      </c>
      <c r="J395" s="232"/>
      <c r="K395" s="145"/>
      <c r="L395" s="145" t="s">
        <v>1505</v>
      </c>
      <c r="M395" s="147" t="s">
        <v>18</v>
      </c>
      <c r="N395" s="146" t="s">
        <v>1506</v>
      </c>
      <c r="O395" s="146" t="s">
        <v>28</v>
      </c>
      <c r="P395" s="146" t="s">
        <v>103</v>
      </c>
      <c r="Q395" s="232" t="s">
        <v>510</v>
      </c>
      <c r="R395" s="111" t="s">
        <v>9</v>
      </c>
      <c r="S395" s="111"/>
      <c r="T395" s="232"/>
      <c r="U395" s="232"/>
      <c r="V395" s="158" t="s">
        <v>6</v>
      </c>
      <c r="W395" s="118" t="s">
        <v>82</v>
      </c>
      <c r="X395" s="143">
        <v>43752</v>
      </c>
      <c r="Y395" s="144">
        <f t="shared" si="39"/>
        <v>43829</v>
      </c>
      <c r="Z395" s="235">
        <v>43886</v>
      </c>
      <c r="AA395" s="161" t="str">
        <f t="shared" ca="1" si="38"/>
        <v>NO</v>
      </c>
      <c r="AB395" s="113"/>
      <c r="AC395" s="232"/>
      <c r="AD395" s="232"/>
      <c r="AE395" s="232"/>
      <c r="AF395" s="148" t="str">
        <f t="shared" ca="1" si="40"/>
        <v>N/A</v>
      </c>
      <c r="AG395" s="193">
        <v>644</v>
      </c>
      <c r="AH395" s="194">
        <v>0</v>
      </c>
      <c r="AI395" s="195">
        <f t="shared" si="41"/>
        <v>644</v>
      </c>
      <c r="AJ395" s="191" t="s">
        <v>6</v>
      </c>
      <c r="AK395" s="187">
        <v>44153</v>
      </c>
      <c r="AL395" s="232"/>
      <c r="AM395" s="184" t="str">
        <f t="shared" si="42"/>
        <v>19041 Parry Sugar</v>
      </c>
      <c r="AN395" s="184" t="str">
        <f t="shared" si="43"/>
        <v>19041 Parry Sugar : NF membranes quantity delivery error</v>
      </c>
    </row>
    <row r="396" spans="1:40" s="76" customFormat="1" ht="14.5" hidden="1" x14ac:dyDescent="0.35">
      <c r="A396" s="122" t="s">
        <v>1507</v>
      </c>
      <c r="B396" s="116">
        <v>19042</v>
      </c>
      <c r="C396" s="143" t="s">
        <v>4</v>
      </c>
      <c r="D396" s="144">
        <v>43741</v>
      </c>
      <c r="E396" s="145" t="s">
        <v>82</v>
      </c>
      <c r="F396" s="145" t="s">
        <v>658</v>
      </c>
      <c r="G396" s="146" t="s">
        <v>1090</v>
      </c>
      <c r="H396" s="146" t="s">
        <v>1508</v>
      </c>
      <c r="I396" s="119" t="s">
        <v>5</v>
      </c>
      <c r="J396" s="232"/>
      <c r="K396" s="145"/>
      <c r="L396" s="145" t="s">
        <v>1509</v>
      </c>
      <c r="M396" s="147" t="s">
        <v>13</v>
      </c>
      <c r="N396" s="146" t="s">
        <v>1510</v>
      </c>
      <c r="O396" s="146" t="s">
        <v>28</v>
      </c>
      <c r="P396" s="146" t="s">
        <v>103</v>
      </c>
      <c r="Q396" s="232" t="s">
        <v>176</v>
      </c>
      <c r="R396" s="146" t="s">
        <v>145</v>
      </c>
      <c r="S396" s="146"/>
      <c r="T396" s="112" t="s">
        <v>1508</v>
      </c>
      <c r="U396" s="232"/>
      <c r="V396" s="158" t="s">
        <v>6</v>
      </c>
      <c r="W396" s="118" t="s">
        <v>82</v>
      </c>
      <c r="X396" s="113">
        <v>43755</v>
      </c>
      <c r="Y396" s="144">
        <f t="shared" si="39"/>
        <v>43833</v>
      </c>
      <c r="Z396" s="235">
        <v>43810</v>
      </c>
      <c r="AA396" s="161" t="str">
        <f t="shared" ca="1" si="38"/>
        <v>YES</v>
      </c>
      <c r="AB396" s="113"/>
      <c r="AC396" s="190">
        <v>43741</v>
      </c>
      <c r="AD396" s="235">
        <v>43833</v>
      </c>
      <c r="AE396" s="235">
        <v>43810</v>
      </c>
      <c r="AF396" s="70" t="str">
        <f t="shared" ca="1" si="40"/>
        <v>YES</v>
      </c>
      <c r="AG396" s="185">
        <v>644</v>
      </c>
      <c r="AH396" s="185">
        <v>0</v>
      </c>
      <c r="AI396" s="186">
        <f t="shared" si="41"/>
        <v>644</v>
      </c>
      <c r="AJ396" s="191"/>
      <c r="AK396" s="187" t="s">
        <v>1511</v>
      </c>
      <c r="AL396" s="70" t="s">
        <v>1512</v>
      </c>
      <c r="AM396" s="184" t="str">
        <f t="shared" si="42"/>
        <v>19042 Beneo Orafti</v>
      </c>
      <c r="AN396" s="184" t="str">
        <f t="shared" si="43"/>
        <v xml:space="preserve">19042 Beneo Orafti : Resins delivery delay </v>
      </c>
    </row>
    <row r="397" spans="1:40" s="76" customFormat="1" ht="14.5" hidden="1" x14ac:dyDescent="0.35">
      <c r="A397" s="122" t="s">
        <v>1513</v>
      </c>
      <c r="B397" s="116">
        <v>19043</v>
      </c>
      <c r="C397" s="143" t="s">
        <v>4</v>
      </c>
      <c r="D397" s="144">
        <v>43745</v>
      </c>
      <c r="E397" s="145" t="s">
        <v>1019</v>
      </c>
      <c r="F397" s="116" t="s">
        <v>658</v>
      </c>
      <c r="G397" s="146" t="s">
        <v>1514</v>
      </c>
      <c r="H397" s="146"/>
      <c r="I397" s="119" t="s">
        <v>2057</v>
      </c>
      <c r="J397" s="232" t="s">
        <v>1332</v>
      </c>
      <c r="K397" s="145"/>
      <c r="L397" s="145" t="s">
        <v>1515</v>
      </c>
      <c r="M397" s="147"/>
      <c r="N397" s="146" t="s">
        <v>1516</v>
      </c>
      <c r="O397" s="146" t="s">
        <v>28</v>
      </c>
      <c r="P397" s="146" t="s">
        <v>103</v>
      </c>
      <c r="Q397" s="232" t="s">
        <v>1517</v>
      </c>
      <c r="R397" s="146" t="s">
        <v>15</v>
      </c>
      <c r="S397" s="111" t="s">
        <v>1344</v>
      </c>
      <c r="T397" s="232"/>
      <c r="U397" s="232"/>
      <c r="V397" s="158" t="s">
        <v>6</v>
      </c>
      <c r="W397" s="145" t="s">
        <v>82</v>
      </c>
      <c r="X397" s="143">
        <v>43748</v>
      </c>
      <c r="Y397" s="144">
        <f t="shared" si="39"/>
        <v>43837</v>
      </c>
      <c r="Z397" s="235">
        <v>43832</v>
      </c>
      <c r="AA397" s="161" t="str">
        <f t="shared" ca="1" si="38"/>
        <v>YES</v>
      </c>
      <c r="AB397" s="113"/>
      <c r="AC397" s="232"/>
      <c r="AD397" s="232"/>
      <c r="AE397" s="232"/>
      <c r="AF397" s="148" t="str">
        <f t="shared" ca="1" si="40"/>
        <v>N/A</v>
      </c>
      <c r="AG397" s="193">
        <v>552</v>
      </c>
      <c r="AH397" s="194"/>
      <c r="AI397" s="195">
        <f t="shared" si="41"/>
        <v>552</v>
      </c>
      <c r="AJ397" s="191" t="s">
        <v>10</v>
      </c>
      <c r="AK397" s="187">
        <v>44109</v>
      </c>
      <c r="AL397" s="70" t="s">
        <v>1518</v>
      </c>
      <c r="AM397" s="184" t="str">
        <f t="shared" si="42"/>
        <v>19043 LAICA</v>
      </c>
      <c r="AN397" s="184" t="str">
        <f t="shared" si="43"/>
        <v>19043 LAICA : Resins labeling error</v>
      </c>
    </row>
    <row r="398" spans="1:40" s="76" customFormat="1" ht="14.5" hidden="1" x14ac:dyDescent="0.35">
      <c r="A398" s="122" t="s">
        <v>1519</v>
      </c>
      <c r="B398" s="116">
        <v>19044</v>
      </c>
      <c r="C398" s="113" t="s">
        <v>1193</v>
      </c>
      <c r="D398" s="117">
        <v>43752</v>
      </c>
      <c r="E398" s="118" t="s">
        <v>1140</v>
      </c>
      <c r="F398" s="118" t="s">
        <v>1222</v>
      </c>
      <c r="G398" s="111" t="s">
        <v>1473</v>
      </c>
      <c r="H398" s="111" t="s">
        <v>1204</v>
      </c>
      <c r="I398" s="119" t="s">
        <v>5</v>
      </c>
      <c r="J398" s="70"/>
      <c r="K398" s="118">
        <v>2062</v>
      </c>
      <c r="L398" s="118">
        <v>13678</v>
      </c>
      <c r="M398" s="147" t="s">
        <v>1520</v>
      </c>
      <c r="N398" s="111" t="s">
        <v>1521</v>
      </c>
      <c r="O398" s="146" t="s">
        <v>29</v>
      </c>
      <c r="P398" s="111" t="s">
        <v>86</v>
      </c>
      <c r="Q398" s="70" t="s">
        <v>1522</v>
      </c>
      <c r="R398" s="111" t="s">
        <v>9</v>
      </c>
      <c r="S398" s="111"/>
      <c r="T398" s="70"/>
      <c r="U398" s="70"/>
      <c r="V398" s="158" t="s">
        <v>6</v>
      </c>
      <c r="W398" s="118" t="s">
        <v>1523</v>
      </c>
      <c r="X398" s="113">
        <v>43773</v>
      </c>
      <c r="Y398" s="117">
        <f t="shared" si="39"/>
        <v>43844</v>
      </c>
      <c r="Z398" s="187">
        <v>43840</v>
      </c>
      <c r="AA398" s="161" t="str">
        <f t="shared" ca="1" si="38"/>
        <v>YES</v>
      </c>
      <c r="AB398" s="113"/>
      <c r="AC398" s="70"/>
      <c r="AD398" s="187">
        <v>43840</v>
      </c>
      <c r="AE398" s="187">
        <v>43840</v>
      </c>
      <c r="AF398" s="114" t="str">
        <f t="shared" ca="1" si="40"/>
        <v>YES</v>
      </c>
      <c r="AG398" s="194">
        <v>0</v>
      </c>
      <c r="AH398" s="194">
        <v>0</v>
      </c>
      <c r="AI398" s="196">
        <f t="shared" si="41"/>
        <v>0</v>
      </c>
      <c r="AJ398" s="70"/>
      <c r="AK398" s="75"/>
      <c r="AL398" s="70"/>
      <c r="AM398" s="165" t="str">
        <f t="shared" si="42"/>
        <v>19044 CJ LIAOCHENG</v>
      </c>
      <c r="AN398" s="165" t="str">
        <f t="shared" si="43"/>
        <v>19044 CJ LIAOCHENG : Bray butterfly valves quality problem</v>
      </c>
    </row>
    <row r="399" spans="1:40" s="76" customFormat="1" ht="14.5" hidden="1" x14ac:dyDescent="0.35">
      <c r="A399" s="122" t="s">
        <v>1524</v>
      </c>
      <c r="B399" s="116">
        <v>19045</v>
      </c>
      <c r="C399" s="113" t="s">
        <v>1193</v>
      </c>
      <c r="D399" s="117">
        <v>43788</v>
      </c>
      <c r="E399" s="118" t="s">
        <v>1167</v>
      </c>
      <c r="F399" s="118" t="s">
        <v>1222</v>
      </c>
      <c r="G399" s="111" t="s">
        <v>1483</v>
      </c>
      <c r="H399" s="152" t="s">
        <v>1525</v>
      </c>
      <c r="I399" s="119" t="s">
        <v>5</v>
      </c>
      <c r="J399" s="70"/>
      <c r="K399" s="118">
        <v>2078</v>
      </c>
      <c r="L399" s="118">
        <v>12769</v>
      </c>
      <c r="M399" s="147" t="s">
        <v>11</v>
      </c>
      <c r="N399" s="147" t="s">
        <v>1526</v>
      </c>
      <c r="O399" s="146" t="s">
        <v>29</v>
      </c>
      <c r="P399" s="111" t="s">
        <v>86</v>
      </c>
      <c r="Q399" s="70" t="s">
        <v>1527</v>
      </c>
      <c r="R399" s="146" t="s">
        <v>87</v>
      </c>
      <c r="S399" s="146"/>
      <c r="T399" s="70"/>
      <c r="U399" s="74"/>
      <c r="V399" s="158" t="s">
        <v>6</v>
      </c>
      <c r="W399" s="118" t="s">
        <v>904</v>
      </c>
      <c r="X399" s="113">
        <v>43788</v>
      </c>
      <c r="Y399" s="117">
        <f t="shared" si="39"/>
        <v>43880</v>
      </c>
      <c r="Z399" s="187">
        <v>44266</v>
      </c>
      <c r="AA399" s="161" t="str">
        <f t="shared" ca="1" si="38"/>
        <v>NO</v>
      </c>
      <c r="AB399" s="113"/>
      <c r="AC399" s="70"/>
      <c r="AD399" s="187">
        <v>43921</v>
      </c>
      <c r="AE399" s="187">
        <v>44266</v>
      </c>
      <c r="AF399" s="114" t="str">
        <f t="shared" ca="1" si="40"/>
        <v>NO</v>
      </c>
      <c r="AG399" s="194"/>
      <c r="AH399" s="194"/>
      <c r="AI399" s="196">
        <f t="shared" si="41"/>
        <v>0</v>
      </c>
      <c r="AJ399" s="70"/>
      <c r="AK399" s="70"/>
      <c r="AL399" s="70"/>
      <c r="AM399" s="165" t="str">
        <f t="shared" si="42"/>
        <v>19045 CHENGXIN</v>
      </c>
      <c r="AN399" s="165" t="str">
        <f t="shared" si="43"/>
        <v>19045 CHENGXIN : Resin leakage is found from strainers during resin loading phase</v>
      </c>
    </row>
    <row r="400" spans="1:40" s="76" customFormat="1" ht="14.5" hidden="1" x14ac:dyDescent="0.35">
      <c r="A400" s="122" t="s">
        <v>1528</v>
      </c>
      <c r="B400" s="116">
        <v>19046</v>
      </c>
      <c r="C400" s="143" t="s">
        <v>4</v>
      </c>
      <c r="D400" s="144">
        <v>43788</v>
      </c>
      <c r="E400" s="145" t="s">
        <v>1529</v>
      </c>
      <c r="F400" s="145" t="s">
        <v>658</v>
      </c>
      <c r="G400" s="146" t="s">
        <v>1530</v>
      </c>
      <c r="H400" s="146" t="s">
        <v>357</v>
      </c>
      <c r="I400" s="119" t="s">
        <v>5</v>
      </c>
      <c r="J400" s="232"/>
      <c r="K400" s="145"/>
      <c r="L400" s="114" t="s">
        <v>1531</v>
      </c>
      <c r="M400" s="147" t="s">
        <v>359</v>
      </c>
      <c r="N400" s="111" t="s">
        <v>1532</v>
      </c>
      <c r="O400" s="146" t="s">
        <v>28</v>
      </c>
      <c r="P400" s="111" t="s">
        <v>103</v>
      </c>
      <c r="Q400" s="70" t="s">
        <v>176</v>
      </c>
      <c r="R400" s="146" t="s">
        <v>145</v>
      </c>
      <c r="S400" s="146"/>
      <c r="T400" s="70" t="s">
        <v>357</v>
      </c>
      <c r="U400" s="232"/>
      <c r="V400" s="158" t="s">
        <v>6</v>
      </c>
      <c r="W400" s="118" t="s">
        <v>82</v>
      </c>
      <c r="X400" s="143">
        <v>43788</v>
      </c>
      <c r="Y400" s="144">
        <f t="shared" si="39"/>
        <v>43880</v>
      </c>
      <c r="Z400" s="235">
        <v>43868</v>
      </c>
      <c r="AA400" s="161" t="str">
        <f t="shared" ca="1" si="38"/>
        <v>YES</v>
      </c>
      <c r="AB400" s="113"/>
      <c r="AC400" s="190">
        <v>43789</v>
      </c>
      <c r="AD400" s="235">
        <v>43890</v>
      </c>
      <c r="AE400" s="235">
        <v>43868</v>
      </c>
      <c r="AF400" s="114" t="str">
        <f t="shared" ca="1" si="40"/>
        <v>YES</v>
      </c>
      <c r="AG400" s="194">
        <v>920</v>
      </c>
      <c r="AH400" s="194">
        <v>0</v>
      </c>
      <c r="AI400" s="196">
        <f t="shared" si="41"/>
        <v>920</v>
      </c>
      <c r="AJ400" s="191" t="s">
        <v>6</v>
      </c>
      <c r="AK400" s="187">
        <v>44153</v>
      </c>
      <c r="AL400" s="232"/>
      <c r="AM400" s="184" t="str">
        <f t="shared" si="42"/>
        <v>19046 Ennolys</v>
      </c>
      <c r="AN400" s="184" t="str">
        <f t="shared" si="43"/>
        <v>19046 Ennolys : Order confirmation and delay too long</v>
      </c>
    </row>
    <row r="401" spans="1:40" s="76" customFormat="1" ht="14.5" hidden="1" x14ac:dyDescent="0.35">
      <c r="A401" s="122" t="s">
        <v>1533</v>
      </c>
      <c r="B401" s="116">
        <v>19047</v>
      </c>
      <c r="C401" s="143" t="s">
        <v>4</v>
      </c>
      <c r="D401" s="144">
        <v>43790</v>
      </c>
      <c r="E401" s="145" t="s">
        <v>1529</v>
      </c>
      <c r="F401" s="145" t="s">
        <v>658</v>
      </c>
      <c r="G401" s="146" t="s">
        <v>1534</v>
      </c>
      <c r="H401" s="146" t="s">
        <v>357</v>
      </c>
      <c r="I401" s="119" t="s">
        <v>5</v>
      </c>
      <c r="J401" s="70" t="s">
        <v>1332</v>
      </c>
      <c r="K401" s="145"/>
      <c r="L401" s="114" t="s">
        <v>1535</v>
      </c>
      <c r="M401" s="147" t="s">
        <v>338</v>
      </c>
      <c r="N401" s="146" t="s">
        <v>1536</v>
      </c>
      <c r="O401" s="146" t="s">
        <v>28</v>
      </c>
      <c r="P401" s="111" t="s">
        <v>103</v>
      </c>
      <c r="Q401" s="70" t="s">
        <v>176</v>
      </c>
      <c r="R401" s="146" t="s">
        <v>145</v>
      </c>
      <c r="S401" s="146"/>
      <c r="T401" s="232" t="s">
        <v>357</v>
      </c>
      <c r="U401" s="232"/>
      <c r="V401" s="158" t="s">
        <v>6</v>
      </c>
      <c r="W401" s="118" t="s">
        <v>82</v>
      </c>
      <c r="X401" s="143">
        <v>43791</v>
      </c>
      <c r="Y401" s="144">
        <f t="shared" si="39"/>
        <v>43882</v>
      </c>
      <c r="Z401" s="235">
        <v>43880</v>
      </c>
      <c r="AA401" s="161" t="str">
        <f t="shared" ca="1" si="38"/>
        <v>YES</v>
      </c>
      <c r="AB401" s="113"/>
      <c r="AC401" s="190">
        <v>43790</v>
      </c>
      <c r="AD401" s="235">
        <v>43890</v>
      </c>
      <c r="AE401" s="235">
        <v>43880</v>
      </c>
      <c r="AF401" s="114" t="str">
        <f t="shared" ca="1" si="40"/>
        <v>YES</v>
      </c>
      <c r="AG401" s="194">
        <v>920</v>
      </c>
      <c r="AH401" s="194">
        <v>0</v>
      </c>
      <c r="AI401" s="196">
        <f t="shared" si="41"/>
        <v>920</v>
      </c>
      <c r="AJ401" s="191" t="s">
        <v>6</v>
      </c>
      <c r="AK401" s="187">
        <v>44153</v>
      </c>
      <c r="AL401" s="232"/>
      <c r="AM401" s="184" t="str">
        <f t="shared" si="42"/>
        <v>19047 CKD</v>
      </c>
      <c r="AN401" s="184" t="str">
        <f t="shared" si="43"/>
        <v>19047 CKD : Successive postponements of the delivery date</v>
      </c>
    </row>
    <row r="402" spans="1:40" s="76" customFormat="1" ht="14.5" hidden="1" x14ac:dyDescent="0.35">
      <c r="A402" s="122" t="s">
        <v>1537</v>
      </c>
      <c r="B402" s="116">
        <v>19048</v>
      </c>
      <c r="C402" s="143" t="s">
        <v>4</v>
      </c>
      <c r="D402" s="144">
        <v>43790</v>
      </c>
      <c r="E402" s="145" t="s">
        <v>1529</v>
      </c>
      <c r="F402" s="145" t="s">
        <v>658</v>
      </c>
      <c r="G402" s="146" t="s">
        <v>1538</v>
      </c>
      <c r="H402" s="146" t="s">
        <v>357</v>
      </c>
      <c r="I402" s="119" t="s">
        <v>5</v>
      </c>
      <c r="J402" s="70" t="s">
        <v>1332</v>
      </c>
      <c r="K402" s="145"/>
      <c r="L402" s="114" t="s">
        <v>1539</v>
      </c>
      <c r="M402" s="147" t="s">
        <v>338</v>
      </c>
      <c r="N402" s="146" t="s">
        <v>1532</v>
      </c>
      <c r="O402" s="146" t="s">
        <v>28</v>
      </c>
      <c r="P402" s="111" t="s">
        <v>103</v>
      </c>
      <c r="Q402" s="70" t="s">
        <v>176</v>
      </c>
      <c r="R402" s="111" t="s">
        <v>9</v>
      </c>
      <c r="S402" s="111"/>
      <c r="T402" s="232" t="s">
        <v>357</v>
      </c>
      <c r="U402" s="232"/>
      <c r="V402" s="158" t="s">
        <v>6</v>
      </c>
      <c r="W402" s="118" t="s">
        <v>82</v>
      </c>
      <c r="X402" s="143">
        <v>43791</v>
      </c>
      <c r="Y402" s="144">
        <f t="shared" si="39"/>
        <v>43882</v>
      </c>
      <c r="Z402" s="235">
        <v>43868</v>
      </c>
      <c r="AA402" s="161" t="str">
        <f t="shared" ref="AA402:AA407" ca="1" si="44">IF(Z402="",IF(TODAY()&gt;Y402,"NO","YES"),IF(Z402&gt;Y402,"NO",IF(Z402&lt;Y402,"YES",IF(Y402=Z402,"YES","N/A"))))</f>
        <v>YES</v>
      </c>
      <c r="AB402" s="113"/>
      <c r="AC402" s="190">
        <v>43791</v>
      </c>
      <c r="AD402" s="235">
        <v>43890</v>
      </c>
      <c r="AE402" s="235">
        <v>43868</v>
      </c>
      <c r="AF402" s="114" t="str">
        <f t="shared" ca="1" si="40"/>
        <v>YES</v>
      </c>
      <c r="AG402" s="194">
        <v>552</v>
      </c>
      <c r="AH402" s="194">
        <v>0</v>
      </c>
      <c r="AI402" s="196">
        <f t="shared" si="41"/>
        <v>552</v>
      </c>
      <c r="AJ402" s="191" t="s">
        <v>6</v>
      </c>
      <c r="AK402" s="187">
        <v>44153</v>
      </c>
      <c r="AL402" s="232"/>
      <c r="AM402" s="184" t="str">
        <f t="shared" si="42"/>
        <v>19048 Puratos</v>
      </c>
      <c r="AN402" s="184" t="str">
        <f t="shared" si="43"/>
        <v>19048 Puratos : Order confirmation and delay too long</v>
      </c>
    </row>
    <row r="403" spans="1:40" s="76" customFormat="1" ht="14.5" hidden="1" x14ac:dyDescent="0.35">
      <c r="A403" s="122" t="s">
        <v>1540</v>
      </c>
      <c r="B403" s="116">
        <v>19049</v>
      </c>
      <c r="C403" s="143" t="s">
        <v>4</v>
      </c>
      <c r="D403" s="144">
        <v>43795</v>
      </c>
      <c r="E403" s="145" t="s">
        <v>290</v>
      </c>
      <c r="F403" s="145" t="s">
        <v>420</v>
      </c>
      <c r="G403" s="146" t="s">
        <v>803</v>
      </c>
      <c r="H403" s="146" t="s">
        <v>1541</v>
      </c>
      <c r="I403" s="119" t="s">
        <v>2057</v>
      </c>
      <c r="J403" s="232"/>
      <c r="K403" s="145" t="s">
        <v>454</v>
      </c>
      <c r="L403" s="145" t="s">
        <v>454</v>
      </c>
      <c r="M403" s="147" t="s">
        <v>955</v>
      </c>
      <c r="N403" s="146" t="s">
        <v>1542</v>
      </c>
      <c r="O403" s="111" t="s">
        <v>420</v>
      </c>
      <c r="P403" s="146" t="s">
        <v>80</v>
      </c>
      <c r="Q403" s="232" t="s">
        <v>1543</v>
      </c>
      <c r="R403" s="111" t="s">
        <v>9</v>
      </c>
      <c r="S403" s="111"/>
      <c r="T403" s="232"/>
      <c r="U403" s="232"/>
      <c r="V403" s="158" t="s">
        <v>6</v>
      </c>
      <c r="W403" s="118" t="s">
        <v>290</v>
      </c>
      <c r="X403" s="143">
        <v>43802</v>
      </c>
      <c r="Y403" s="144">
        <f t="shared" si="39"/>
        <v>43887</v>
      </c>
      <c r="Z403" s="235">
        <v>43879</v>
      </c>
      <c r="AA403" s="161" t="str">
        <f t="shared" ca="1" si="44"/>
        <v>YES</v>
      </c>
      <c r="AB403" s="113"/>
      <c r="AC403" s="232"/>
      <c r="AD403" s="232"/>
      <c r="AE403" s="232"/>
      <c r="AF403" s="114" t="str">
        <f t="shared" ca="1" si="40"/>
        <v>N/A</v>
      </c>
      <c r="AG403" s="194">
        <v>2576</v>
      </c>
      <c r="AH403" s="194">
        <v>300</v>
      </c>
      <c r="AI403" s="196">
        <f t="shared" si="41"/>
        <v>2876</v>
      </c>
      <c r="AJ403" s="232"/>
      <c r="AK403" s="75" t="s">
        <v>1378</v>
      </c>
      <c r="AL403" s="70" t="s">
        <v>1544</v>
      </c>
      <c r="AM403" s="184" t="str">
        <f t="shared" si="42"/>
        <v>19049 Service R&amp;D</v>
      </c>
      <c r="AN403" s="184" t="str">
        <f t="shared" si="43"/>
        <v>19049 Service R&amp;D : Connection of the new separator evaporation pilot incorrectly positioned</v>
      </c>
    </row>
    <row r="404" spans="1:40" s="76" customFormat="1" ht="14.5" hidden="1" x14ac:dyDescent="0.35">
      <c r="A404" s="122" t="s">
        <v>1545</v>
      </c>
      <c r="B404" s="116">
        <v>19050</v>
      </c>
      <c r="C404" s="143" t="s">
        <v>4</v>
      </c>
      <c r="D404" s="144">
        <v>43797</v>
      </c>
      <c r="E404" s="145" t="s">
        <v>116</v>
      </c>
      <c r="F404" s="145" t="s">
        <v>164</v>
      </c>
      <c r="G404" s="146" t="s">
        <v>1423</v>
      </c>
      <c r="H404" s="146"/>
      <c r="I404" s="119" t="s">
        <v>2057</v>
      </c>
      <c r="J404" s="232"/>
      <c r="K404" s="145">
        <v>2067</v>
      </c>
      <c r="L404" s="145">
        <v>11925</v>
      </c>
      <c r="M404" s="147" t="s">
        <v>11</v>
      </c>
      <c r="N404" s="146" t="s">
        <v>1546</v>
      </c>
      <c r="O404" s="146" t="s">
        <v>29</v>
      </c>
      <c r="P404" s="146" t="s">
        <v>86</v>
      </c>
      <c r="Q404" s="232" t="s">
        <v>916</v>
      </c>
      <c r="R404" s="146" t="s">
        <v>15</v>
      </c>
      <c r="S404" s="146"/>
      <c r="T404" s="232"/>
      <c r="U404" s="232"/>
      <c r="V404" s="158" t="s">
        <v>6</v>
      </c>
      <c r="W404" s="145" t="s">
        <v>116</v>
      </c>
      <c r="X404" s="143">
        <v>43782</v>
      </c>
      <c r="Y404" s="144">
        <f t="shared" si="39"/>
        <v>43889</v>
      </c>
      <c r="Z404" s="235">
        <v>43843</v>
      </c>
      <c r="AA404" s="161" t="str">
        <f t="shared" ca="1" si="44"/>
        <v>YES</v>
      </c>
      <c r="AB404" s="113"/>
      <c r="AC404" s="232"/>
      <c r="AD404" s="232"/>
      <c r="AE404" s="232"/>
      <c r="AF404" s="114" t="str">
        <f t="shared" ca="1" si="40"/>
        <v>N/A</v>
      </c>
      <c r="AG404" s="194">
        <v>7620</v>
      </c>
      <c r="AH404" s="194">
        <v>0</v>
      </c>
      <c r="AI404" s="196">
        <f t="shared" si="41"/>
        <v>7620</v>
      </c>
      <c r="AJ404" s="70" t="s">
        <v>6</v>
      </c>
      <c r="AK404" s="187">
        <v>44148</v>
      </c>
      <c r="AL404" s="232"/>
      <c r="AM404" s="184" t="str">
        <f t="shared" si="42"/>
        <v>19050 Ingredion</v>
      </c>
      <c r="AN404" s="184" t="str">
        <f t="shared" si="43"/>
        <v>19050 Ingredion : Excessive pressure drop on lower network cell C201</v>
      </c>
    </row>
    <row r="405" spans="1:40" s="76" customFormat="1" ht="14.5" hidden="1" x14ac:dyDescent="0.35">
      <c r="A405" s="122" t="s">
        <v>1547</v>
      </c>
      <c r="B405" s="116">
        <v>19051</v>
      </c>
      <c r="C405" s="113" t="s">
        <v>1193</v>
      </c>
      <c r="D405" s="144">
        <v>43808</v>
      </c>
      <c r="E405" s="118" t="s">
        <v>1140</v>
      </c>
      <c r="F405" s="118" t="s">
        <v>1222</v>
      </c>
      <c r="G405" s="111" t="s">
        <v>1548</v>
      </c>
      <c r="H405" s="111" t="s">
        <v>1549</v>
      </c>
      <c r="I405" s="119" t="s">
        <v>2056</v>
      </c>
      <c r="J405" s="70"/>
      <c r="K405" s="118">
        <v>2084</v>
      </c>
      <c r="L405" s="118">
        <v>14930</v>
      </c>
      <c r="M405" s="147" t="s">
        <v>1181</v>
      </c>
      <c r="N405" s="111" t="s">
        <v>1550</v>
      </c>
      <c r="O405" s="146" t="s">
        <v>29</v>
      </c>
      <c r="P405" s="146" t="s">
        <v>176</v>
      </c>
      <c r="Q405" s="70" t="s">
        <v>1551</v>
      </c>
      <c r="R405" s="111" t="s">
        <v>1552</v>
      </c>
      <c r="S405" s="111"/>
      <c r="T405" s="70"/>
      <c r="U405" s="70"/>
      <c r="V405" s="158" t="s">
        <v>6</v>
      </c>
      <c r="W405" s="118" t="s">
        <v>1140</v>
      </c>
      <c r="X405" s="113">
        <v>43812</v>
      </c>
      <c r="Y405" s="117">
        <f t="shared" si="39"/>
        <v>43899</v>
      </c>
      <c r="Z405" s="187">
        <v>43888</v>
      </c>
      <c r="AA405" s="161" t="str">
        <f t="shared" ca="1" si="44"/>
        <v>YES</v>
      </c>
      <c r="AB405" s="113"/>
      <c r="AC405" s="70"/>
      <c r="AD405" s="70"/>
      <c r="AE405" s="70"/>
      <c r="AF405" s="114" t="str">
        <f t="shared" ca="1" si="40"/>
        <v>N/A</v>
      </c>
      <c r="AG405" s="194">
        <v>2725</v>
      </c>
      <c r="AH405" s="194">
        <v>1867</v>
      </c>
      <c r="AI405" s="196">
        <f t="shared" si="41"/>
        <v>4592</v>
      </c>
      <c r="AJ405" s="70"/>
      <c r="AK405" s="70"/>
      <c r="AL405" s="70"/>
      <c r="AM405" s="165" t="str">
        <f t="shared" si="42"/>
        <v>19051 CJ P6</v>
      </c>
      <c r="AN405" s="165" t="str">
        <f t="shared" si="43"/>
        <v>19051 CJ P6 : Columns delay ,can't catch the schedule</v>
      </c>
    </row>
    <row r="406" spans="1:40" s="76" customFormat="1" ht="14.5" hidden="1" x14ac:dyDescent="0.35">
      <c r="A406" s="122" t="s">
        <v>1553</v>
      </c>
      <c r="B406" s="116">
        <v>19052</v>
      </c>
      <c r="C406" s="143" t="s">
        <v>4</v>
      </c>
      <c r="D406" s="144">
        <v>43811</v>
      </c>
      <c r="E406" s="145" t="s">
        <v>82</v>
      </c>
      <c r="F406" s="145" t="s">
        <v>658</v>
      </c>
      <c r="G406" s="146" t="s">
        <v>311</v>
      </c>
      <c r="H406" s="111" t="s">
        <v>570</v>
      </c>
      <c r="I406" s="119" t="s">
        <v>5</v>
      </c>
      <c r="J406" s="70" t="s">
        <v>1332</v>
      </c>
      <c r="K406" s="145"/>
      <c r="L406" s="145" t="s">
        <v>1554</v>
      </c>
      <c r="M406" s="147"/>
      <c r="N406" s="146" t="s">
        <v>1555</v>
      </c>
      <c r="O406" s="146" t="s">
        <v>28</v>
      </c>
      <c r="P406" s="146" t="s">
        <v>103</v>
      </c>
      <c r="Q406" s="232" t="s">
        <v>1556</v>
      </c>
      <c r="R406" s="111" t="s">
        <v>15</v>
      </c>
      <c r="S406" s="111"/>
      <c r="T406" s="112" t="s">
        <v>573</v>
      </c>
      <c r="U406" s="232"/>
      <c r="V406" s="158" t="s">
        <v>6</v>
      </c>
      <c r="W406" s="118" t="s">
        <v>82</v>
      </c>
      <c r="X406" s="143">
        <v>43816</v>
      </c>
      <c r="Y406" s="144">
        <f t="shared" si="39"/>
        <v>43902</v>
      </c>
      <c r="Z406" s="187">
        <v>43916</v>
      </c>
      <c r="AA406" s="161" t="str">
        <f t="shared" ca="1" si="44"/>
        <v>NO</v>
      </c>
      <c r="AB406" s="113"/>
      <c r="AC406" s="190">
        <v>43811</v>
      </c>
      <c r="AD406" s="235">
        <v>43921</v>
      </c>
      <c r="AE406" s="235">
        <v>43916</v>
      </c>
      <c r="AF406" s="114" t="str">
        <f t="shared" ca="1" si="40"/>
        <v>YES</v>
      </c>
      <c r="AG406" s="197">
        <v>644</v>
      </c>
      <c r="AH406" s="197">
        <v>1550</v>
      </c>
      <c r="AI406" s="196">
        <f t="shared" si="41"/>
        <v>2194</v>
      </c>
      <c r="AJ406" s="191" t="s">
        <v>6</v>
      </c>
      <c r="AK406" s="187">
        <v>44153</v>
      </c>
      <c r="AL406" s="232"/>
      <c r="AM406" s="184" t="str">
        <f t="shared" si="42"/>
        <v>19052 Galactic</v>
      </c>
      <c r="AN406" s="184" t="str">
        <f t="shared" si="43"/>
        <v>19052 Galactic : Delivery without customer agreement and packaging error</v>
      </c>
    </row>
    <row r="407" spans="1:40" s="76" customFormat="1" ht="14.5" hidden="1" x14ac:dyDescent="0.35">
      <c r="A407" s="153" t="s">
        <v>1557</v>
      </c>
      <c r="B407" s="154">
        <v>19053</v>
      </c>
      <c r="C407" s="143" t="s">
        <v>4</v>
      </c>
      <c r="D407" s="144">
        <v>43812</v>
      </c>
      <c r="E407" s="145" t="s">
        <v>1503</v>
      </c>
      <c r="F407" s="116" t="s">
        <v>658</v>
      </c>
      <c r="G407" s="146" t="s">
        <v>1558</v>
      </c>
      <c r="H407" s="111" t="s">
        <v>1041</v>
      </c>
      <c r="I407" s="119" t="s">
        <v>2057</v>
      </c>
      <c r="J407" s="232" t="s">
        <v>1332</v>
      </c>
      <c r="K407" s="145"/>
      <c r="L407" s="145" t="s">
        <v>1559</v>
      </c>
      <c r="M407" s="147" t="s">
        <v>18</v>
      </c>
      <c r="N407" s="146" t="s">
        <v>1560</v>
      </c>
      <c r="O407" s="111" t="s">
        <v>28</v>
      </c>
      <c r="P407" s="111" t="s">
        <v>103</v>
      </c>
      <c r="Q407" s="70" t="s">
        <v>510</v>
      </c>
      <c r="R407" s="111" t="s">
        <v>9</v>
      </c>
      <c r="S407" s="111" t="s">
        <v>1344</v>
      </c>
      <c r="T407" s="112" t="s">
        <v>1394</v>
      </c>
      <c r="U407" s="232"/>
      <c r="V407" s="158" t="s">
        <v>6</v>
      </c>
      <c r="W407" s="118" t="s">
        <v>82</v>
      </c>
      <c r="X407" s="143">
        <v>43817</v>
      </c>
      <c r="Y407" s="144">
        <f t="shared" si="39"/>
        <v>43903</v>
      </c>
      <c r="Z407" s="235">
        <v>43900</v>
      </c>
      <c r="AA407" s="161" t="str">
        <f t="shared" ca="1" si="44"/>
        <v>YES</v>
      </c>
      <c r="AB407" s="113"/>
      <c r="AC407" s="232"/>
      <c r="AD407" s="232"/>
      <c r="AE407" s="232"/>
      <c r="AF407" s="114" t="str">
        <f t="shared" ref="AF407:AF412" ca="1" si="45">IF(I407="Claim",IF(AD407="","",IF(AE407="",IF(TODAY()&gt;AD407,"NO","YES"),IF(AE407&gt;AD407,"NO",IF(AE407&lt;AD407,"YES",IF(AD407=AE407,"YES","N/A"))))),"N/A")</f>
        <v>N/A</v>
      </c>
      <c r="AG407" s="197">
        <v>368</v>
      </c>
      <c r="AH407" s="197">
        <v>0</v>
      </c>
      <c r="AI407" s="196">
        <f t="shared" ref="AI407:AI412" si="46">AH407+AG407</f>
        <v>368</v>
      </c>
      <c r="AJ407" s="191" t="s">
        <v>6</v>
      </c>
      <c r="AK407" s="187">
        <v>44153</v>
      </c>
      <c r="AL407" s="232"/>
      <c r="AM407" s="184" t="str">
        <f t="shared" ref="AM407:AM414" si="47">CONCATENATE(B407," ",G407)</f>
        <v>19053 Etihad</v>
      </c>
      <c r="AN407" s="184" t="str">
        <f t="shared" ref="AN407:AN412" si="48">CONCATENATE(B407," ",G407," : ",N407)</f>
        <v>19053 Etihad : Shipment of NF membranes subject to export license without license</v>
      </c>
    </row>
    <row r="408" spans="1:40" s="76" customFormat="1" ht="14.5" hidden="1" x14ac:dyDescent="0.35">
      <c r="A408" s="153" t="s">
        <v>1561</v>
      </c>
      <c r="B408" s="154">
        <v>19054</v>
      </c>
      <c r="C408" s="113" t="s">
        <v>1193</v>
      </c>
      <c r="D408" s="144">
        <v>43822</v>
      </c>
      <c r="E408" s="118" t="s">
        <v>1318</v>
      </c>
      <c r="F408" s="118" t="s">
        <v>1222</v>
      </c>
      <c r="G408" s="111" t="s">
        <v>1562</v>
      </c>
      <c r="H408" s="111" t="s">
        <v>1563</v>
      </c>
      <c r="I408" s="119" t="s">
        <v>14</v>
      </c>
      <c r="J408" s="70"/>
      <c r="K408" s="118">
        <v>2077</v>
      </c>
      <c r="L408" s="118">
        <v>13825</v>
      </c>
      <c r="M408" s="147" t="s">
        <v>1185</v>
      </c>
      <c r="N408" s="111" t="s">
        <v>1564</v>
      </c>
      <c r="O408" s="146" t="s">
        <v>29</v>
      </c>
      <c r="P408" s="111" t="s">
        <v>176</v>
      </c>
      <c r="Q408" s="70"/>
      <c r="R408" s="111" t="s">
        <v>145</v>
      </c>
      <c r="S408" s="111"/>
      <c r="T408" s="70"/>
      <c r="U408" s="70"/>
      <c r="V408" s="158" t="s">
        <v>6</v>
      </c>
      <c r="W408" s="118" t="s">
        <v>1523</v>
      </c>
      <c r="X408" s="113">
        <v>43822</v>
      </c>
      <c r="Y408" s="117">
        <f t="shared" si="39"/>
        <v>43913</v>
      </c>
      <c r="Z408" s="187">
        <v>43837</v>
      </c>
      <c r="AA408" s="161" t="str">
        <f t="shared" ref="AA408:AA413" ca="1" si="49">IF(Z408="",IF(TODAY()&gt;Y408,"NO","YES"),IF(Z408&gt;Y408,"NO",IF(Z408&lt;Y408,"YES",IF(Y408=Z408,"YES","N/A"))))</f>
        <v>YES</v>
      </c>
      <c r="AB408" s="113"/>
      <c r="AC408" s="70"/>
      <c r="AD408" s="70"/>
      <c r="AE408" s="70"/>
      <c r="AF408" s="114" t="str">
        <f t="shared" ca="1" si="45"/>
        <v>N/A</v>
      </c>
      <c r="AG408" s="194">
        <v>0</v>
      </c>
      <c r="AH408" s="194">
        <v>0</v>
      </c>
      <c r="AI408" s="196">
        <f t="shared" si="46"/>
        <v>0</v>
      </c>
      <c r="AJ408" s="148"/>
      <c r="AK408" s="70"/>
      <c r="AL408" s="70"/>
      <c r="AM408" s="165" t="str">
        <f t="shared" si="47"/>
        <v>19054 CJ liaocheng</v>
      </c>
      <c r="AN408" s="165" t="str">
        <f t="shared" si="48"/>
        <v>19054 CJ liaocheng : The spring in the pneumatic butterfly actuator cannot close the valve completely</v>
      </c>
    </row>
    <row r="409" spans="1:40" s="76" customFormat="1" ht="14.5" hidden="1" x14ac:dyDescent="0.35">
      <c r="A409" s="153" t="s">
        <v>1565</v>
      </c>
      <c r="B409" s="154">
        <v>20001</v>
      </c>
      <c r="C409" s="143" t="s">
        <v>4</v>
      </c>
      <c r="D409" s="144">
        <v>43847</v>
      </c>
      <c r="E409" s="145" t="s">
        <v>1492</v>
      </c>
      <c r="F409" s="116" t="s">
        <v>420</v>
      </c>
      <c r="G409" s="146" t="s">
        <v>1566</v>
      </c>
      <c r="H409" s="146"/>
      <c r="I409" s="119" t="s">
        <v>2058</v>
      </c>
      <c r="J409" s="232"/>
      <c r="K409" s="145"/>
      <c r="L409" s="145" t="s">
        <v>1567</v>
      </c>
      <c r="M409" s="147" t="s">
        <v>955</v>
      </c>
      <c r="N409" s="111" t="s">
        <v>1568</v>
      </c>
      <c r="O409" s="111" t="s">
        <v>420</v>
      </c>
      <c r="P409" s="146" t="s">
        <v>80</v>
      </c>
      <c r="Q409" s="70" t="s">
        <v>1543</v>
      </c>
      <c r="R409" s="146" t="s">
        <v>87</v>
      </c>
      <c r="S409" s="111" t="s">
        <v>1344</v>
      </c>
      <c r="T409" s="232"/>
      <c r="U409" s="232"/>
      <c r="V409" s="158" t="s">
        <v>6</v>
      </c>
      <c r="W409" s="118" t="s">
        <v>1492</v>
      </c>
      <c r="X409" s="143">
        <v>43851</v>
      </c>
      <c r="Y409" s="144">
        <f t="shared" si="39"/>
        <v>43938</v>
      </c>
      <c r="Z409" s="235">
        <v>44040</v>
      </c>
      <c r="AA409" s="161" t="str">
        <f t="shared" ca="1" si="49"/>
        <v>NO</v>
      </c>
      <c r="AB409" s="113"/>
      <c r="AC409" s="232"/>
      <c r="AD409" s="232"/>
      <c r="AE409" s="232"/>
      <c r="AF409" s="114" t="str">
        <f t="shared" ca="1" si="45"/>
        <v>N/A</v>
      </c>
      <c r="AG409" s="197">
        <v>368</v>
      </c>
      <c r="AH409" s="197">
        <v>2774.48</v>
      </c>
      <c r="AI409" s="196">
        <f t="shared" si="46"/>
        <v>3142.48</v>
      </c>
      <c r="AJ409" s="237"/>
      <c r="AK409" s="70" t="s">
        <v>1569</v>
      </c>
      <c r="AL409" s="70" t="s">
        <v>1544</v>
      </c>
      <c r="AM409" s="165" t="str">
        <f t="shared" si="47"/>
        <v>20001 UPM C6</v>
      </c>
      <c r="AN409" s="184" t="str">
        <f t="shared" si="48"/>
        <v>20001 UPM C6 : Brocken glass separator of the evapo pilot</v>
      </c>
    </row>
    <row r="410" spans="1:40" s="76" customFormat="1" ht="14.5" hidden="1" x14ac:dyDescent="0.35">
      <c r="A410" s="153" t="s">
        <v>1570</v>
      </c>
      <c r="B410" s="154">
        <v>20002</v>
      </c>
      <c r="C410" s="143" t="s">
        <v>4</v>
      </c>
      <c r="D410" s="144">
        <v>43860</v>
      </c>
      <c r="E410" s="145" t="s">
        <v>82</v>
      </c>
      <c r="F410" s="145" t="s">
        <v>658</v>
      </c>
      <c r="G410" s="146" t="s">
        <v>538</v>
      </c>
      <c r="H410" s="146"/>
      <c r="I410" s="119" t="s">
        <v>5</v>
      </c>
      <c r="J410" s="232"/>
      <c r="K410" s="145">
        <v>2022</v>
      </c>
      <c r="L410" s="145">
        <v>11279</v>
      </c>
      <c r="M410" s="147" t="s">
        <v>11</v>
      </c>
      <c r="N410" s="111" t="s">
        <v>1571</v>
      </c>
      <c r="O410" s="146" t="s">
        <v>28</v>
      </c>
      <c r="P410" s="146" t="s">
        <v>103</v>
      </c>
      <c r="Q410" s="232"/>
      <c r="R410" s="111" t="s">
        <v>1552</v>
      </c>
      <c r="S410" s="111"/>
      <c r="T410" s="232"/>
      <c r="U410" s="232"/>
      <c r="V410" s="158" t="s">
        <v>6</v>
      </c>
      <c r="W410" s="145" t="s">
        <v>82</v>
      </c>
      <c r="X410" s="143">
        <v>43861</v>
      </c>
      <c r="Y410" s="144">
        <f t="shared" si="39"/>
        <v>43951</v>
      </c>
      <c r="Z410" s="235">
        <v>43949</v>
      </c>
      <c r="AA410" s="161" t="str">
        <f t="shared" ca="1" si="49"/>
        <v>YES</v>
      </c>
      <c r="AB410" s="113"/>
      <c r="AC410" s="190">
        <v>43861</v>
      </c>
      <c r="AD410" s="235">
        <v>43951</v>
      </c>
      <c r="AE410" s="235">
        <v>43949</v>
      </c>
      <c r="AF410" s="114" t="str">
        <f t="shared" ca="1" si="45"/>
        <v>YES</v>
      </c>
      <c r="AG410" s="197">
        <v>1615</v>
      </c>
      <c r="AH410" s="197">
        <v>0</v>
      </c>
      <c r="AI410" s="196">
        <f t="shared" si="46"/>
        <v>1615</v>
      </c>
      <c r="AJ410" s="191" t="s">
        <v>6</v>
      </c>
      <c r="AK410" s="187">
        <v>44153</v>
      </c>
      <c r="AL410" s="232"/>
      <c r="AM410" s="165" t="str">
        <f t="shared" si="47"/>
        <v>20002 ADM</v>
      </c>
      <c r="AN410" s="184" t="str">
        <f t="shared" si="48"/>
        <v>20002 ADM : Incorrect gravel loading at start-up / Unsuccessful customer service intervention</v>
      </c>
    </row>
    <row r="411" spans="1:40" s="76" customFormat="1" ht="14.5" hidden="1" x14ac:dyDescent="0.35">
      <c r="A411" s="153" t="s">
        <v>1572</v>
      </c>
      <c r="B411" s="154">
        <v>20003</v>
      </c>
      <c r="C411" s="143" t="s">
        <v>4</v>
      </c>
      <c r="D411" s="144">
        <v>43880</v>
      </c>
      <c r="E411" s="145" t="s">
        <v>621</v>
      </c>
      <c r="F411" s="145" t="s">
        <v>164</v>
      </c>
      <c r="G411" s="146" t="s">
        <v>1573</v>
      </c>
      <c r="H411" s="146"/>
      <c r="I411" s="119" t="s">
        <v>2057</v>
      </c>
      <c r="J411" s="232"/>
      <c r="K411" s="145">
        <v>2083</v>
      </c>
      <c r="L411" s="145">
        <v>13900</v>
      </c>
      <c r="M411" s="147" t="s">
        <v>13</v>
      </c>
      <c r="N411" s="111" t="s">
        <v>23</v>
      </c>
      <c r="O411" s="146" t="s">
        <v>29</v>
      </c>
      <c r="P411" s="146" t="s">
        <v>86</v>
      </c>
      <c r="Q411" s="232" t="s">
        <v>1036</v>
      </c>
      <c r="R411" s="146" t="s">
        <v>9</v>
      </c>
      <c r="S411" s="146"/>
      <c r="T411" s="232"/>
      <c r="U411" s="232"/>
      <c r="V411" s="158" t="s">
        <v>6</v>
      </c>
      <c r="W411" s="145" t="s">
        <v>621</v>
      </c>
      <c r="X411" s="143">
        <v>43882</v>
      </c>
      <c r="Y411" s="144">
        <f t="shared" si="39"/>
        <v>43970</v>
      </c>
      <c r="Z411" s="235">
        <v>44004</v>
      </c>
      <c r="AA411" s="161" t="str">
        <f t="shared" ca="1" si="49"/>
        <v>NO</v>
      </c>
      <c r="AB411" s="113"/>
      <c r="AC411" s="232"/>
      <c r="AD411" s="232"/>
      <c r="AE411" s="232"/>
      <c r="AF411" s="114" t="str">
        <f t="shared" ca="1" si="45"/>
        <v>N/A</v>
      </c>
      <c r="AG411" s="197">
        <v>944</v>
      </c>
      <c r="AH411" s="197">
        <v>990</v>
      </c>
      <c r="AI411" s="196">
        <f t="shared" si="46"/>
        <v>1934</v>
      </c>
      <c r="AJ411" s="148" t="s">
        <v>6</v>
      </c>
      <c r="AK411" s="187">
        <v>44152</v>
      </c>
      <c r="AL411" s="232"/>
      <c r="AM411" s="165" t="str">
        <f t="shared" si="47"/>
        <v>20003 Cargill Butterfly</v>
      </c>
      <c r="AN411" s="184" t="str">
        <f t="shared" si="48"/>
        <v>20003 Cargill Butterfly : Wrong choice of flowmeter technology</v>
      </c>
    </row>
    <row r="412" spans="1:40" s="76" customFormat="1" ht="14.5" hidden="1" x14ac:dyDescent="0.35">
      <c r="A412" s="153" t="s">
        <v>1574</v>
      </c>
      <c r="B412" s="154">
        <v>20004</v>
      </c>
      <c r="C412" s="143" t="s">
        <v>4</v>
      </c>
      <c r="D412" s="144">
        <v>43888</v>
      </c>
      <c r="E412" s="145" t="s">
        <v>1575</v>
      </c>
      <c r="F412" s="145" t="s">
        <v>164</v>
      </c>
      <c r="G412" s="146" t="s">
        <v>1573</v>
      </c>
      <c r="H412" s="146"/>
      <c r="I412" s="119" t="s">
        <v>2057</v>
      </c>
      <c r="J412" s="232"/>
      <c r="K412" s="145">
        <v>2083</v>
      </c>
      <c r="L412" s="145">
        <v>13900</v>
      </c>
      <c r="M412" s="147" t="s">
        <v>13</v>
      </c>
      <c r="N412" s="146" t="s">
        <v>24</v>
      </c>
      <c r="O412" s="146" t="s">
        <v>29</v>
      </c>
      <c r="P412" s="111" t="s">
        <v>157</v>
      </c>
      <c r="Q412" s="232" t="s">
        <v>1576</v>
      </c>
      <c r="R412" s="111" t="s">
        <v>1552</v>
      </c>
      <c r="S412" s="111"/>
      <c r="T412" s="232"/>
      <c r="U412" s="232"/>
      <c r="V412" s="158" t="s">
        <v>6</v>
      </c>
      <c r="W412" s="145" t="s">
        <v>1575</v>
      </c>
      <c r="X412" s="143">
        <v>43907</v>
      </c>
      <c r="Y412" s="144">
        <f t="shared" si="39"/>
        <v>43978</v>
      </c>
      <c r="Z412" s="235">
        <v>43977</v>
      </c>
      <c r="AA412" s="161" t="str">
        <f t="shared" ca="1" si="49"/>
        <v>YES</v>
      </c>
      <c r="AB412" s="113"/>
      <c r="AC412" s="232"/>
      <c r="AD412" s="232"/>
      <c r="AE412" s="232"/>
      <c r="AF412" s="114" t="str">
        <f t="shared" ca="1" si="45"/>
        <v>N/A</v>
      </c>
      <c r="AG412" s="197">
        <v>2208</v>
      </c>
      <c r="AH412" s="197">
        <v>30655</v>
      </c>
      <c r="AI412" s="196">
        <f t="shared" si="46"/>
        <v>32863</v>
      </c>
      <c r="AJ412" s="237"/>
      <c r="AK412" s="70" t="s">
        <v>1569</v>
      </c>
      <c r="AL412" s="232"/>
      <c r="AM412" s="165" t="str">
        <f t="shared" si="47"/>
        <v>20004 Cargill Butterfly</v>
      </c>
      <c r="AN412" s="184" t="str">
        <f t="shared" si="48"/>
        <v>20004 Cargill Butterfly : Sheet pump quotation vs customer URS</v>
      </c>
    </row>
    <row r="413" spans="1:40" s="76" customFormat="1" ht="14.5" hidden="1" x14ac:dyDescent="0.35">
      <c r="A413" s="153" t="s">
        <v>1577</v>
      </c>
      <c r="B413" s="154">
        <v>20005</v>
      </c>
      <c r="C413" s="143" t="s">
        <v>4</v>
      </c>
      <c r="D413" s="144">
        <v>43889</v>
      </c>
      <c r="E413" s="145" t="s">
        <v>99</v>
      </c>
      <c r="F413" s="118" t="s">
        <v>658</v>
      </c>
      <c r="G413" s="146" t="s">
        <v>664</v>
      </c>
      <c r="H413" s="146" t="s">
        <v>1578</v>
      </c>
      <c r="I413" s="119" t="s">
        <v>5</v>
      </c>
      <c r="J413" s="232"/>
      <c r="K413" s="145"/>
      <c r="L413" s="118" t="s">
        <v>1579</v>
      </c>
      <c r="M413" s="150" t="s">
        <v>18</v>
      </c>
      <c r="N413" s="111" t="s">
        <v>1580</v>
      </c>
      <c r="O413" s="146" t="s">
        <v>28</v>
      </c>
      <c r="P413" s="111" t="s">
        <v>103</v>
      </c>
      <c r="Q413" s="70" t="s">
        <v>176</v>
      </c>
      <c r="R413" s="146" t="s">
        <v>145</v>
      </c>
      <c r="S413" s="146"/>
      <c r="T413" s="112" t="s">
        <v>1578</v>
      </c>
      <c r="U413" s="232"/>
      <c r="V413" s="158" t="s">
        <v>6</v>
      </c>
      <c r="W413" s="118" t="s">
        <v>1019</v>
      </c>
      <c r="X413" s="143">
        <v>43899</v>
      </c>
      <c r="Y413" s="144">
        <f t="shared" si="39"/>
        <v>43979</v>
      </c>
      <c r="Z413" s="235">
        <v>43931</v>
      </c>
      <c r="AA413" s="161" t="str">
        <f t="shared" ca="1" si="49"/>
        <v>YES</v>
      </c>
      <c r="AB413" s="113"/>
      <c r="AC413" s="190">
        <v>43889</v>
      </c>
      <c r="AD413" s="235">
        <v>43982</v>
      </c>
      <c r="AE413" s="235">
        <v>43931</v>
      </c>
      <c r="AF413" s="114" t="str">
        <f t="shared" ref="AF413:AF418" ca="1" si="50">IF(I413="Claim",IF(AD413="","",IF(AE413="",IF(TODAY()&gt;AD413,"NO","YES"),IF(AE413&gt;AD413,"NO",IF(AE413&lt;AD413,"YES",IF(AD413=AE413,"YES","N/A"))))),"N/A")</f>
        <v>YES</v>
      </c>
      <c r="AG413" s="197">
        <v>190</v>
      </c>
      <c r="AH413" s="197">
        <v>0</v>
      </c>
      <c r="AI413" s="196">
        <f t="shared" ref="AI413:AI418" si="51">AH413+AG413</f>
        <v>190</v>
      </c>
      <c r="AJ413" s="148" t="s">
        <v>6</v>
      </c>
      <c r="AK413" s="187">
        <v>44148</v>
      </c>
      <c r="AL413" s="232"/>
      <c r="AM413" s="165" t="str">
        <f t="shared" si="47"/>
        <v xml:space="preserve">20005 TEREOS NESLE </v>
      </c>
      <c r="AN413" s="184" t="str">
        <f t="shared" ref="AN413:AN418" si="52">CONCATENATE(B413," ",G413," : ",N413)</f>
        <v>20005 TEREOS NESLE  : default NF membrane</v>
      </c>
    </row>
    <row r="414" spans="1:40" s="76" customFormat="1" ht="14.5" hidden="1" x14ac:dyDescent="0.35">
      <c r="A414" s="153" t="s">
        <v>1581</v>
      </c>
      <c r="B414" s="154">
        <v>20006</v>
      </c>
      <c r="C414" s="113" t="s">
        <v>1193</v>
      </c>
      <c r="D414" s="117">
        <v>43899</v>
      </c>
      <c r="E414" s="118" t="s">
        <v>1162</v>
      </c>
      <c r="F414" s="118" t="s">
        <v>1222</v>
      </c>
      <c r="G414" s="111" t="s">
        <v>1548</v>
      </c>
      <c r="H414" s="111" t="s">
        <v>1582</v>
      </c>
      <c r="I414" s="119" t="s">
        <v>2056</v>
      </c>
      <c r="J414" s="70"/>
      <c r="K414" s="118">
        <v>2084</v>
      </c>
      <c r="L414" s="118">
        <v>14930</v>
      </c>
      <c r="M414" s="147" t="s">
        <v>1181</v>
      </c>
      <c r="N414" s="111" t="s">
        <v>1583</v>
      </c>
      <c r="O414" s="146" t="s">
        <v>29</v>
      </c>
      <c r="P414" s="111" t="s">
        <v>86</v>
      </c>
      <c r="Q414" s="70"/>
      <c r="R414" s="111" t="s">
        <v>145</v>
      </c>
      <c r="S414" s="111"/>
      <c r="T414" s="70"/>
      <c r="U414" s="70"/>
      <c r="V414" s="158" t="s">
        <v>6</v>
      </c>
      <c r="W414" s="118" t="s">
        <v>441</v>
      </c>
      <c r="X414" s="113">
        <v>43900</v>
      </c>
      <c r="Y414" s="117">
        <f t="shared" si="39"/>
        <v>43991</v>
      </c>
      <c r="Z414" s="187">
        <v>43972</v>
      </c>
      <c r="AA414" s="161" t="str">
        <f t="shared" ref="AA414:AA419" ca="1" si="53">IF(Z414="",IF(TODAY()&gt;Y414,"NO","YES"),IF(Z414&gt;Y414,"NO",IF(Z414&lt;Y414,"YES",IF(Y414=Z414,"YES","N/A"))))</f>
        <v>YES</v>
      </c>
      <c r="AB414" s="113"/>
      <c r="AC414" s="70"/>
      <c r="AD414" s="70"/>
      <c r="AE414" s="70"/>
      <c r="AF414" s="114" t="str">
        <f t="shared" ca="1" si="50"/>
        <v>N/A</v>
      </c>
      <c r="AG414" s="194">
        <v>3057</v>
      </c>
      <c r="AH414" s="194">
        <v>160</v>
      </c>
      <c r="AI414" s="196">
        <f t="shared" si="51"/>
        <v>3217</v>
      </c>
      <c r="AJ414" s="148"/>
      <c r="AK414" s="70"/>
      <c r="AL414" s="70"/>
      <c r="AM414" s="165" t="str">
        <f t="shared" si="47"/>
        <v>20006 CJ P6</v>
      </c>
      <c r="AN414" s="165" t="str">
        <f t="shared" si="52"/>
        <v>20006 CJ P6 : Stud welded rod fall off from internal box</v>
      </c>
    </row>
    <row r="415" spans="1:40" s="76" customFormat="1" ht="15" hidden="1" customHeight="1" x14ac:dyDescent="0.35">
      <c r="A415" s="153" t="s">
        <v>1584</v>
      </c>
      <c r="B415" s="154">
        <v>20007</v>
      </c>
      <c r="C415" s="143" t="s">
        <v>4</v>
      </c>
      <c r="D415" s="144">
        <v>43906</v>
      </c>
      <c r="E415" s="145" t="s">
        <v>160</v>
      </c>
      <c r="F415" s="145" t="s">
        <v>658</v>
      </c>
      <c r="G415" s="146" t="s">
        <v>707</v>
      </c>
      <c r="H415" s="146" t="s">
        <v>972</v>
      </c>
      <c r="I415" s="119" t="s">
        <v>2056</v>
      </c>
      <c r="J415" s="232"/>
      <c r="K415" s="145"/>
      <c r="L415" s="152" t="s">
        <v>1585</v>
      </c>
      <c r="M415" s="147" t="s">
        <v>7</v>
      </c>
      <c r="N415" s="111" t="s">
        <v>1586</v>
      </c>
      <c r="O415" s="111" t="s">
        <v>28</v>
      </c>
      <c r="P415" s="111" t="s">
        <v>103</v>
      </c>
      <c r="Q415" s="70" t="s">
        <v>176</v>
      </c>
      <c r="R415" s="111" t="s">
        <v>145</v>
      </c>
      <c r="S415" s="111"/>
      <c r="T415" s="112" t="s">
        <v>708</v>
      </c>
      <c r="U415" s="232"/>
      <c r="V415" s="158" t="s">
        <v>10</v>
      </c>
      <c r="W415" s="145"/>
      <c r="X415" s="143"/>
      <c r="Y415" s="144">
        <f t="shared" si="39"/>
        <v>43998</v>
      </c>
      <c r="Z415" s="187">
        <v>43984</v>
      </c>
      <c r="AA415" s="161" t="str">
        <f t="shared" ca="1" si="53"/>
        <v>YES</v>
      </c>
      <c r="AB415" s="113"/>
      <c r="AC415" s="232"/>
      <c r="AD415" s="232"/>
      <c r="AE415" s="232"/>
      <c r="AF415" s="114" t="str">
        <f t="shared" ca="1" si="50"/>
        <v>N/A</v>
      </c>
      <c r="AG415" s="197">
        <v>570</v>
      </c>
      <c r="AH415" s="197">
        <v>0</v>
      </c>
      <c r="AI415" s="196">
        <f t="shared" si="51"/>
        <v>570</v>
      </c>
      <c r="AJ415" s="191"/>
      <c r="AK415" s="70" t="s">
        <v>1569</v>
      </c>
      <c r="AL415" s="232"/>
      <c r="AM415" s="184" t="str">
        <f t="shared" ref="AM415:AM420" si="54">CONCATENATE(B415," ",G415)</f>
        <v>20007 Sofivo</v>
      </c>
      <c r="AN415" s="184" t="str">
        <f t="shared" si="52"/>
        <v>20007 Sofivo : Ground welded bolt missing on ED stack</v>
      </c>
    </row>
    <row r="416" spans="1:40" s="76" customFormat="1" ht="14.5" hidden="1" x14ac:dyDescent="0.35">
      <c r="A416" s="153" t="s">
        <v>1587</v>
      </c>
      <c r="B416" s="154">
        <v>20008</v>
      </c>
      <c r="C416" s="113" t="s">
        <v>1193</v>
      </c>
      <c r="D416" s="144">
        <v>43913</v>
      </c>
      <c r="E416" s="118" t="s">
        <v>1429</v>
      </c>
      <c r="F416" s="118" t="s">
        <v>1222</v>
      </c>
      <c r="G416" s="111" t="s">
        <v>1548</v>
      </c>
      <c r="H416" s="111" t="s">
        <v>1588</v>
      </c>
      <c r="I416" s="119" t="s">
        <v>2056</v>
      </c>
      <c r="J416" s="70"/>
      <c r="K416" s="118">
        <v>2084</v>
      </c>
      <c r="L416" s="118">
        <v>14930</v>
      </c>
      <c r="M416" s="147" t="s">
        <v>1181</v>
      </c>
      <c r="N416" s="111" t="s">
        <v>1589</v>
      </c>
      <c r="O416" s="146" t="s">
        <v>29</v>
      </c>
      <c r="P416" s="111" t="s">
        <v>86</v>
      </c>
      <c r="Q416" s="70"/>
      <c r="R416" s="111" t="s">
        <v>145</v>
      </c>
      <c r="S416" s="111"/>
      <c r="T416" s="70"/>
      <c r="U416" s="70"/>
      <c r="V416" s="158" t="s">
        <v>6</v>
      </c>
      <c r="W416" s="118" t="s">
        <v>1429</v>
      </c>
      <c r="X416" s="113">
        <v>43908</v>
      </c>
      <c r="Y416" s="117">
        <f t="shared" si="39"/>
        <v>44005</v>
      </c>
      <c r="Z416" s="187">
        <v>43973</v>
      </c>
      <c r="AA416" s="161" t="str">
        <f t="shared" ca="1" si="53"/>
        <v>YES</v>
      </c>
      <c r="AB416" s="113"/>
      <c r="AC416" s="70"/>
      <c r="AD416" s="70"/>
      <c r="AE416" s="70"/>
      <c r="AF416" s="114" t="str">
        <f t="shared" ca="1" si="50"/>
        <v>N/A</v>
      </c>
      <c r="AG416" s="194">
        <v>2327</v>
      </c>
      <c r="AH416" s="194">
        <v>0</v>
      </c>
      <c r="AI416" s="196">
        <f t="shared" si="51"/>
        <v>2327</v>
      </c>
      <c r="AJ416" s="148"/>
      <c r="AK416" s="70"/>
      <c r="AL416" s="70"/>
      <c r="AM416" s="165" t="str">
        <f t="shared" si="54"/>
        <v>20008 CJ P6</v>
      </c>
      <c r="AN416" s="165" t="str">
        <f t="shared" si="52"/>
        <v>20008 CJ P6 : Spare parts welding crack</v>
      </c>
    </row>
    <row r="417" spans="1:40" s="76" customFormat="1" ht="14.5" hidden="1" x14ac:dyDescent="0.35">
      <c r="A417" s="153" t="s">
        <v>1590</v>
      </c>
      <c r="B417" s="154">
        <v>20009</v>
      </c>
      <c r="C417" s="113" t="s">
        <v>1193</v>
      </c>
      <c r="D417" s="144">
        <v>43936</v>
      </c>
      <c r="E417" s="118" t="s">
        <v>1167</v>
      </c>
      <c r="F417" s="118" t="s">
        <v>1222</v>
      </c>
      <c r="G417" s="111" t="s">
        <v>994</v>
      </c>
      <c r="H417" s="111" t="s">
        <v>1591</v>
      </c>
      <c r="I417" s="119" t="s">
        <v>2057</v>
      </c>
      <c r="J417" s="70"/>
      <c r="K417" s="118">
        <v>2082</v>
      </c>
      <c r="L417" s="118">
        <v>14552</v>
      </c>
      <c r="M417" s="147" t="s">
        <v>1181</v>
      </c>
      <c r="N417" s="111" t="s">
        <v>1592</v>
      </c>
      <c r="O417" s="111" t="s">
        <v>28</v>
      </c>
      <c r="P417" s="111" t="s">
        <v>1593</v>
      </c>
      <c r="Q417" s="232" t="s">
        <v>1576</v>
      </c>
      <c r="R417" s="146" t="s">
        <v>9</v>
      </c>
      <c r="S417" s="146"/>
      <c r="T417" s="70"/>
      <c r="U417" s="70"/>
      <c r="V417" s="158" t="s">
        <v>6</v>
      </c>
      <c r="W417" s="118" t="s">
        <v>1167</v>
      </c>
      <c r="X417" s="113">
        <v>43910</v>
      </c>
      <c r="Y417" s="117">
        <f t="shared" si="39"/>
        <v>44027</v>
      </c>
      <c r="Z417" s="187">
        <v>43948</v>
      </c>
      <c r="AA417" s="161" t="str">
        <f t="shared" ca="1" si="53"/>
        <v>YES</v>
      </c>
      <c r="AB417" s="113"/>
      <c r="AC417" s="70"/>
      <c r="AD417" s="70"/>
      <c r="AE417" s="70"/>
      <c r="AF417" s="114" t="str">
        <f t="shared" ca="1" si="50"/>
        <v>N/A</v>
      </c>
      <c r="AG417" s="194">
        <v>2163</v>
      </c>
      <c r="AH417" s="194">
        <v>107150</v>
      </c>
      <c r="AI417" s="196">
        <f t="shared" si="51"/>
        <v>109313</v>
      </c>
      <c r="AJ417" s="148"/>
      <c r="AK417" s="70"/>
      <c r="AL417" s="70"/>
      <c r="AM417" s="165" t="str">
        <f t="shared" si="54"/>
        <v>20009 Shuangqiao</v>
      </c>
      <c r="AN417" s="165" t="str">
        <f t="shared" si="52"/>
        <v>20009 Shuangqiao : Membrane quantity and type</v>
      </c>
    </row>
    <row r="418" spans="1:40" s="76" customFormat="1" ht="14.5" hidden="1" x14ac:dyDescent="0.35">
      <c r="A418" s="153" t="s">
        <v>1594</v>
      </c>
      <c r="B418" s="154">
        <v>20010</v>
      </c>
      <c r="C418" s="113" t="s">
        <v>1193</v>
      </c>
      <c r="D418" s="144">
        <v>43948</v>
      </c>
      <c r="E418" s="118" t="s">
        <v>1429</v>
      </c>
      <c r="F418" s="118" t="s">
        <v>1222</v>
      </c>
      <c r="G418" s="111" t="s">
        <v>1191</v>
      </c>
      <c r="H418" s="111" t="s">
        <v>1595</v>
      </c>
      <c r="I418" s="119" t="s">
        <v>2056</v>
      </c>
      <c r="J418" s="70"/>
      <c r="K418" s="118">
        <v>2076</v>
      </c>
      <c r="L418" s="118">
        <v>14478</v>
      </c>
      <c r="M418" s="147" t="s">
        <v>1181</v>
      </c>
      <c r="N418" s="111" t="s">
        <v>1596</v>
      </c>
      <c r="O418" s="146" t="s">
        <v>29</v>
      </c>
      <c r="P418" s="146" t="s">
        <v>86</v>
      </c>
      <c r="Q418" s="70" t="s">
        <v>176</v>
      </c>
      <c r="R418" s="111" t="s">
        <v>145</v>
      </c>
      <c r="S418" s="111"/>
      <c r="T418" s="70"/>
      <c r="U418" s="70"/>
      <c r="V418" s="158" t="s">
        <v>6</v>
      </c>
      <c r="W418" s="118" t="s">
        <v>1429</v>
      </c>
      <c r="X418" s="113">
        <v>43947</v>
      </c>
      <c r="Y418" s="117">
        <f t="shared" si="39"/>
        <v>44039</v>
      </c>
      <c r="Z418" s="187">
        <v>43985</v>
      </c>
      <c r="AA418" s="161" t="str">
        <f t="shared" ca="1" si="53"/>
        <v>YES</v>
      </c>
      <c r="AB418" s="113"/>
      <c r="AC418" s="70"/>
      <c r="AD418" s="70"/>
      <c r="AE418" s="70"/>
      <c r="AF418" s="114" t="str">
        <f t="shared" ca="1" si="50"/>
        <v>N/A</v>
      </c>
      <c r="AG418" s="194">
        <v>2237</v>
      </c>
      <c r="AH418" s="194">
        <v>2174</v>
      </c>
      <c r="AI418" s="196">
        <f t="shared" si="51"/>
        <v>4411</v>
      </c>
      <c r="AJ418" s="148"/>
      <c r="AK418" s="70"/>
      <c r="AL418" s="70"/>
      <c r="AM418" s="165" t="str">
        <f t="shared" si="54"/>
        <v>20010 Fufeng</v>
      </c>
      <c r="AN418" s="165" t="str">
        <f t="shared" si="52"/>
        <v>20010 Fufeng : Gravel quality issue</v>
      </c>
    </row>
    <row r="419" spans="1:40" s="76" customFormat="1" ht="14.5" hidden="1" x14ac:dyDescent="0.35">
      <c r="A419" s="153" t="s">
        <v>1597</v>
      </c>
      <c r="B419" s="154">
        <v>20011</v>
      </c>
      <c r="C419" s="113" t="s">
        <v>1193</v>
      </c>
      <c r="D419" s="144">
        <v>43951</v>
      </c>
      <c r="E419" s="118" t="s">
        <v>1429</v>
      </c>
      <c r="F419" s="118" t="s">
        <v>1222</v>
      </c>
      <c r="G419" s="111" t="s">
        <v>1598</v>
      </c>
      <c r="H419" s="111"/>
      <c r="I419" s="119" t="s">
        <v>2057</v>
      </c>
      <c r="J419" s="70"/>
      <c r="K419" s="118">
        <v>2088</v>
      </c>
      <c r="L419" s="118">
        <v>14363</v>
      </c>
      <c r="M419" s="147" t="s">
        <v>1181</v>
      </c>
      <c r="N419" s="111" t="s">
        <v>1599</v>
      </c>
      <c r="O419" s="146" t="s">
        <v>29</v>
      </c>
      <c r="P419" s="146" t="s">
        <v>86</v>
      </c>
      <c r="Q419" s="232" t="s">
        <v>1576</v>
      </c>
      <c r="R419" s="146" t="s">
        <v>9</v>
      </c>
      <c r="S419" s="146"/>
      <c r="T419" s="70"/>
      <c r="U419" s="70"/>
      <c r="V419" s="158" t="s">
        <v>1433</v>
      </c>
      <c r="W419" s="118"/>
      <c r="X419" s="113"/>
      <c r="Y419" s="117">
        <f t="shared" si="39"/>
        <v>44042</v>
      </c>
      <c r="Z419" s="187">
        <v>43984</v>
      </c>
      <c r="AA419" s="161" t="str">
        <f t="shared" ca="1" si="53"/>
        <v>YES</v>
      </c>
      <c r="AB419" s="113"/>
      <c r="AC419" s="70"/>
      <c r="AD419" s="70"/>
      <c r="AE419" s="70"/>
      <c r="AF419" s="114" t="str">
        <f t="shared" ref="AF419:AF424" ca="1" si="55">IF(I419="Claim",IF(AD419="","",IF(AE419="",IF(TODAY()&gt;AD419,"NO","YES"),IF(AE419&gt;AD419,"NO",IF(AE419&lt;AD419,"YES",IF(AD419=AE419,"YES","N/A"))))),"N/A")</f>
        <v>N/A</v>
      </c>
      <c r="AG419" s="194">
        <v>0</v>
      </c>
      <c r="AH419" s="194">
        <v>0</v>
      </c>
      <c r="AI419" s="196">
        <f t="shared" ref="AI419:AI424" si="56">AH419+AG419</f>
        <v>0</v>
      </c>
      <c r="AJ419" s="148"/>
      <c r="AK419" s="70"/>
      <c r="AL419" s="70"/>
      <c r="AM419" s="165" t="str">
        <f t="shared" si="54"/>
        <v>20011 CITIC</v>
      </c>
      <c r="AN419" s="165" t="str">
        <f t="shared" ref="AN419:AN424" si="57">CONCATENATE(B419," ",G419," : ",N419)</f>
        <v>20011 CITIC : Front piping budget for small column is not enough</v>
      </c>
    </row>
    <row r="420" spans="1:40" s="76" customFormat="1" ht="14.5" hidden="1" x14ac:dyDescent="0.35">
      <c r="A420" s="153" t="s">
        <v>1600</v>
      </c>
      <c r="B420" s="154">
        <v>20012</v>
      </c>
      <c r="C420" s="113" t="s">
        <v>1193</v>
      </c>
      <c r="D420" s="144">
        <v>43959</v>
      </c>
      <c r="E420" s="118" t="s">
        <v>1429</v>
      </c>
      <c r="F420" s="118" t="s">
        <v>1222</v>
      </c>
      <c r="G420" s="111" t="s">
        <v>1191</v>
      </c>
      <c r="H420" s="111" t="s">
        <v>1595</v>
      </c>
      <c r="I420" s="119" t="s">
        <v>1601</v>
      </c>
      <c r="J420" s="70"/>
      <c r="K420" s="118">
        <v>2076</v>
      </c>
      <c r="L420" s="118">
        <v>14478</v>
      </c>
      <c r="M420" s="147" t="s">
        <v>1181</v>
      </c>
      <c r="N420" s="111" t="s">
        <v>1602</v>
      </c>
      <c r="O420" s="146" t="s">
        <v>29</v>
      </c>
      <c r="P420" s="146" t="s">
        <v>86</v>
      </c>
      <c r="Q420" s="70" t="s">
        <v>1527</v>
      </c>
      <c r="R420" s="146" t="s">
        <v>9</v>
      </c>
      <c r="S420" s="146"/>
      <c r="T420" s="70"/>
      <c r="U420" s="70"/>
      <c r="V420" s="158" t="s">
        <v>1433</v>
      </c>
      <c r="W420" s="118"/>
      <c r="X420" s="113"/>
      <c r="Y420" s="144">
        <f t="shared" si="39"/>
        <v>44051</v>
      </c>
      <c r="Z420" s="187">
        <v>43985</v>
      </c>
      <c r="AA420" s="161" t="str">
        <f t="shared" ref="AA420:AA425" ca="1" si="58">IF(Z420="",IF(TODAY()&gt;Y420,"NO","YES"),IF(Z420&gt;Y420,"NO",IF(Z420&lt;Y420,"YES",IF(Y420=Z420,"YES","N/A"))))</f>
        <v>YES</v>
      </c>
      <c r="AB420" s="113"/>
      <c r="AC420" s="187">
        <v>43959</v>
      </c>
      <c r="AD420" s="235">
        <v>44012</v>
      </c>
      <c r="AE420" s="187">
        <v>43985</v>
      </c>
      <c r="AF420" s="114" t="str">
        <f t="shared" ca="1" si="55"/>
        <v>YES</v>
      </c>
      <c r="AG420" s="194">
        <v>0</v>
      </c>
      <c r="AH420" s="194">
        <v>0</v>
      </c>
      <c r="AI420" s="196">
        <f t="shared" si="56"/>
        <v>0</v>
      </c>
      <c r="AJ420" s="148"/>
      <c r="AK420" s="70"/>
      <c r="AL420" s="70"/>
      <c r="AM420" s="165" t="str">
        <f t="shared" si="54"/>
        <v>20012 Fufeng</v>
      </c>
      <c r="AN420" s="165" t="str">
        <f t="shared" si="57"/>
        <v>20012 Fufeng : Gravel quality issue need be solved</v>
      </c>
    </row>
    <row r="421" spans="1:40" s="76" customFormat="1" ht="14.5" hidden="1" x14ac:dyDescent="0.35">
      <c r="A421" s="153" t="s">
        <v>1603</v>
      </c>
      <c r="B421" s="154">
        <v>20013</v>
      </c>
      <c r="C421" s="113" t="s">
        <v>1193</v>
      </c>
      <c r="D421" s="144">
        <v>43970</v>
      </c>
      <c r="E421" s="118" t="s">
        <v>1162</v>
      </c>
      <c r="F421" s="118" t="s">
        <v>1222</v>
      </c>
      <c r="G421" s="111" t="s">
        <v>1604</v>
      </c>
      <c r="H421" s="111" t="s">
        <v>1605</v>
      </c>
      <c r="I421" s="119" t="s">
        <v>2056</v>
      </c>
      <c r="J421" s="70"/>
      <c r="K421" s="118">
        <v>2087</v>
      </c>
      <c r="L421" s="118">
        <v>13086</v>
      </c>
      <c r="M421" s="147" t="s">
        <v>1185</v>
      </c>
      <c r="N421" s="111" t="s">
        <v>1606</v>
      </c>
      <c r="O421" s="146" t="s">
        <v>29</v>
      </c>
      <c r="P421" s="146" t="s">
        <v>86</v>
      </c>
      <c r="Q421" s="70"/>
      <c r="R421" s="111" t="s">
        <v>145</v>
      </c>
      <c r="S421" s="111"/>
      <c r="T421" s="70"/>
      <c r="U421" s="70"/>
      <c r="V421" s="158" t="s">
        <v>1433</v>
      </c>
      <c r="W421" s="118"/>
      <c r="X421" s="113"/>
      <c r="Y421" s="144">
        <f t="shared" si="39"/>
        <v>44062</v>
      </c>
      <c r="Z421" s="187">
        <v>43987</v>
      </c>
      <c r="AA421" s="161" t="str">
        <f t="shared" ca="1" si="58"/>
        <v>YES</v>
      </c>
      <c r="AB421" s="113"/>
      <c r="AC421" s="70"/>
      <c r="AD421" s="70"/>
      <c r="AE421" s="70"/>
      <c r="AF421" s="114" t="str">
        <f t="shared" ca="1" si="55"/>
        <v>N/A</v>
      </c>
      <c r="AG421" s="194">
        <v>0</v>
      </c>
      <c r="AH421" s="194">
        <v>0</v>
      </c>
      <c r="AI421" s="196">
        <f t="shared" si="56"/>
        <v>0</v>
      </c>
      <c r="AJ421" s="148"/>
      <c r="AK421" s="70"/>
      <c r="AL421" s="70"/>
      <c r="AM421" s="165" t="str">
        <f t="shared" ref="AM421:AM426" si="59">CONCATENATE(B421," ",G421)</f>
        <v>20013 Cargill Zest</v>
      </c>
      <c r="AN421" s="165" t="str">
        <f t="shared" si="57"/>
        <v>20013 Cargill Zest : PP fixation plate machining dimensions is wrong</v>
      </c>
    </row>
    <row r="422" spans="1:40" s="76" customFormat="1" ht="14.5" hidden="1" x14ac:dyDescent="0.35">
      <c r="A422" s="153" t="s">
        <v>1607</v>
      </c>
      <c r="B422" s="154">
        <v>20014</v>
      </c>
      <c r="C422" s="143" t="s">
        <v>4</v>
      </c>
      <c r="D422" s="144">
        <v>43979</v>
      </c>
      <c r="E422" s="145" t="s">
        <v>228</v>
      </c>
      <c r="F422" s="145" t="s">
        <v>658</v>
      </c>
      <c r="G422" s="146" t="s">
        <v>1534</v>
      </c>
      <c r="H422" s="146" t="s">
        <v>1608</v>
      </c>
      <c r="I422" s="119" t="s">
        <v>5</v>
      </c>
      <c r="J422" s="232"/>
      <c r="K422" s="145"/>
      <c r="L422" s="155" t="s">
        <v>1609</v>
      </c>
      <c r="M422" s="147" t="s">
        <v>359</v>
      </c>
      <c r="N422" s="111" t="s">
        <v>1610</v>
      </c>
      <c r="O422" s="111" t="s">
        <v>28</v>
      </c>
      <c r="P422" s="111" t="s">
        <v>103</v>
      </c>
      <c r="Q422" s="70" t="s">
        <v>176</v>
      </c>
      <c r="R422" s="111" t="s">
        <v>145</v>
      </c>
      <c r="S422" s="111"/>
      <c r="T422" s="112" t="s">
        <v>1608</v>
      </c>
      <c r="U422" s="232"/>
      <c r="V422" s="158" t="s">
        <v>6</v>
      </c>
      <c r="W422" s="118" t="s">
        <v>228</v>
      </c>
      <c r="X422" s="143">
        <v>43984</v>
      </c>
      <c r="Y422" s="144">
        <f t="shared" si="39"/>
        <v>44071</v>
      </c>
      <c r="Z422" s="235">
        <v>44020</v>
      </c>
      <c r="AA422" s="161" t="str">
        <f t="shared" ca="1" si="58"/>
        <v>YES</v>
      </c>
      <c r="AB422" s="198"/>
      <c r="AC422" s="199">
        <v>43984</v>
      </c>
      <c r="AD422" s="235">
        <v>44074</v>
      </c>
      <c r="AE422" s="235">
        <v>44020</v>
      </c>
      <c r="AF422" s="114" t="str">
        <f t="shared" ca="1" si="55"/>
        <v>YES</v>
      </c>
      <c r="AG422" s="197">
        <v>3126</v>
      </c>
      <c r="AH422" s="197">
        <v>0</v>
      </c>
      <c r="AI422" s="196">
        <f t="shared" si="56"/>
        <v>3126</v>
      </c>
      <c r="AJ422" s="148" t="s">
        <v>6</v>
      </c>
      <c r="AK422" s="187">
        <v>44148</v>
      </c>
      <c r="AL422" s="232"/>
      <c r="AM422" s="184" t="str">
        <f t="shared" si="59"/>
        <v>20014 CKD</v>
      </c>
      <c r="AN422" s="184" t="str">
        <f t="shared" si="57"/>
        <v>20014 CKD : Wrong sizes of K01 module</v>
      </c>
    </row>
    <row r="423" spans="1:40" s="76" customFormat="1" ht="14.5" hidden="1" x14ac:dyDescent="0.35">
      <c r="A423" s="153" t="s">
        <v>1611</v>
      </c>
      <c r="B423" s="154">
        <v>20015</v>
      </c>
      <c r="C423" s="113" t="s">
        <v>1193</v>
      </c>
      <c r="D423" s="117">
        <v>43998</v>
      </c>
      <c r="E423" s="118" t="s">
        <v>1167</v>
      </c>
      <c r="F423" s="118" t="s">
        <v>1222</v>
      </c>
      <c r="G423" s="111" t="s">
        <v>1612</v>
      </c>
      <c r="H423" s="111" t="s">
        <v>1613</v>
      </c>
      <c r="I423" s="119" t="s">
        <v>2057</v>
      </c>
      <c r="J423" s="70"/>
      <c r="K423" s="118">
        <v>2085</v>
      </c>
      <c r="L423" s="118">
        <v>15333</v>
      </c>
      <c r="M423" s="147" t="s">
        <v>1181</v>
      </c>
      <c r="N423" s="111" t="s">
        <v>1614</v>
      </c>
      <c r="O423" s="146" t="s">
        <v>29</v>
      </c>
      <c r="P423" s="146" t="s">
        <v>86</v>
      </c>
      <c r="Q423" s="70" t="s">
        <v>522</v>
      </c>
      <c r="R423" s="111" t="s">
        <v>15</v>
      </c>
      <c r="S423" s="111"/>
      <c r="T423" s="70"/>
      <c r="U423" s="70"/>
      <c r="V423" s="158" t="s">
        <v>6</v>
      </c>
      <c r="W423" s="118" t="s">
        <v>1167</v>
      </c>
      <c r="X423" s="113">
        <v>43998</v>
      </c>
      <c r="Y423" s="144">
        <f t="shared" si="39"/>
        <v>44090</v>
      </c>
      <c r="Z423" s="187">
        <v>44084</v>
      </c>
      <c r="AA423" s="161" t="str">
        <f t="shared" ca="1" si="58"/>
        <v>YES</v>
      </c>
      <c r="AB423" s="113"/>
      <c r="AC423" s="70"/>
      <c r="AD423" s="70"/>
      <c r="AE423" s="70"/>
      <c r="AF423" s="114" t="str">
        <f t="shared" ca="1" si="55"/>
        <v>N/A</v>
      </c>
      <c r="AG423" s="194">
        <v>292</v>
      </c>
      <c r="AH423" s="194">
        <v>555</v>
      </c>
      <c r="AI423" s="196">
        <f t="shared" si="56"/>
        <v>847</v>
      </c>
      <c r="AJ423" s="148"/>
      <c r="AK423" s="70"/>
      <c r="AL423" s="70"/>
      <c r="AM423" s="165" t="str">
        <f t="shared" si="59"/>
        <v>20015 Huakang</v>
      </c>
      <c r="AN423" s="165" t="str">
        <f t="shared" si="57"/>
        <v>20015 Huakang : Wrong size of PP support</v>
      </c>
    </row>
    <row r="424" spans="1:40" s="76" customFormat="1" ht="14.5" hidden="1" x14ac:dyDescent="0.35">
      <c r="A424" s="153" t="s">
        <v>1615</v>
      </c>
      <c r="B424" s="154">
        <v>20016</v>
      </c>
      <c r="C424" s="113" t="s">
        <v>1193</v>
      </c>
      <c r="D424" s="117">
        <v>43999</v>
      </c>
      <c r="E424" s="118" t="s">
        <v>1429</v>
      </c>
      <c r="F424" s="118" t="s">
        <v>1222</v>
      </c>
      <c r="G424" s="111" t="s">
        <v>1616</v>
      </c>
      <c r="H424" s="151" t="s">
        <v>739</v>
      </c>
      <c r="I424" s="119" t="s">
        <v>2056</v>
      </c>
      <c r="J424" s="70"/>
      <c r="K424" s="118">
        <v>2077</v>
      </c>
      <c r="L424" s="118">
        <v>13825</v>
      </c>
      <c r="M424" s="147" t="s">
        <v>1181</v>
      </c>
      <c r="N424" s="111" t="s">
        <v>1617</v>
      </c>
      <c r="O424" s="146" t="s">
        <v>29</v>
      </c>
      <c r="P424" s="146" t="s">
        <v>86</v>
      </c>
      <c r="Q424" s="70"/>
      <c r="R424" s="111" t="s">
        <v>145</v>
      </c>
      <c r="S424" s="111"/>
      <c r="T424" s="70"/>
      <c r="U424" s="70"/>
      <c r="V424" s="158" t="s">
        <v>6</v>
      </c>
      <c r="W424" s="118" t="s">
        <v>1429</v>
      </c>
      <c r="X424" s="113">
        <v>43999</v>
      </c>
      <c r="Y424" s="144">
        <f t="shared" si="39"/>
        <v>44091</v>
      </c>
      <c r="Z424" s="187">
        <v>44151</v>
      </c>
      <c r="AA424" s="161" t="str">
        <f t="shared" ca="1" si="58"/>
        <v>NO</v>
      </c>
      <c r="AB424" s="113"/>
      <c r="AC424" s="70"/>
      <c r="AD424" s="70"/>
      <c r="AE424" s="70"/>
      <c r="AF424" s="114" t="str">
        <f t="shared" ca="1" si="55"/>
        <v>N/A</v>
      </c>
      <c r="AG424" s="194">
        <v>973</v>
      </c>
      <c r="AH424" s="194">
        <v>0</v>
      </c>
      <c r="AI424" s="196">
        <f t="shared" si="56"/>
        <v>973</v>
      </c>
      <c r="AJ424" s="148"/>
      <c r="AK424" s="70"/>
      <c r="AL424" s="70"/>
      <c r="AM424" s="165" t="str">
        <f t="shared" si="59"/>
        <v>20016 CJ Liaocheng GMP3</v>
      </c>
      <c r="AN424" s="165" t="str">
        <f t="shared" si="57"/>
        <v>20016 CJ Liaocheng GMP3 : PP-FRP pipe is broken issue</v>
      </c>
    </row>
    <row r="425" spans="1:40" s="76" customFormat="1" ht="14.5" hidden="1" x14ac:dyDescent="0.35">
      <c r="A425" s="153" t="s">
        <v>1618</v>
      </c>
      <c r="B425" s="154">
        <v>20017</v>
      </c>
      <c r="C425" s="143" t="s">
        <v>4</v>
      </c>
      <c r="D425" s="144">
        <v>44008</v>
      </c>
      <c r="E425" s="118" t="s">
        <v>1619</v>
      </c>
      <c r="F425" s="145" t="s">
        <v>822</v>
      </c>
      <c r="G425" s="146" t="s">
        <v>380</v>
      </c>
      <c r="H425" s="146" t="s">
        <v>1620</v>
      </c>
      <c r="I425" s="119" t="s">
        <v>5</v>
      </c>
      <c r="J425" s="232"/>
      <c r="K425" s="145"/>
      <c r="L425" s="145" t="s">
        <v>1621</v>
      </c>
      <c r="M425" s="147"/>
      <c r="N425" s="146" t="s">
        <v>1622</v>
      </c>
      <c r="O425" s="146" t="s">
        <v>28</v>
      </c>
      <c r="P425" s="146" t="s">
        <v>103</v>
      </c>
      <c r="Q425" s="232" t="s">
        <v>176</v>
      </c>
      <c r="R425" s="146" t="s">
        <v>145</v>
      </c>
      <c r="S425" s="146"/>
      <c r="T425" s="232"/>
      <c r="U425" s="232"/>
      <c r="V425" s="158" t="s">
        <v>6</v>
      </c>
      <c r="W425" s="145" t="s">
        <v>160</v>
      </c>
      <c r="X425" s="143">
        <v>44011</v>
      </c>
      <c r="Y425" s="144">
        <f t="shared" si="39"/>
        <v>44100</v>
      </c>
      <c r="Z425" s="235">
        <v>44085</v>
      </c>
      <c r="AA425" s="161" t="str">
        <f t="shared" ca="1" si="58"/>
        <v>YES</v>
      </c>
      <c r="AB425" s="113">
        <v>44007</v>
      </c>
      <c r="AC425" s="190">
        <v>44008</v>
      </c>
      <c r="AD425" s="187">
        <v>44104</v>
      </c>
      <c r="AE425" s="235">
        <v>44085</v>
      </c>
      <c r="AF425" s="114" t="str">
        <f t="shared" ref="AF425:AF430" ca="1" si="60">IF(I425="Claim",IF(AD425="","",IF(AE425="",IF(TODAY()&gt;AD425,"NO","YES"),IF(AE425&gt;AD425,"NO",IF(AE425&lt;AD425,"YES",IF(AD425=AE425,"YES","N/A"))))),"N/A")</f>
        <v>YES</v>
      </c>
      <c r="AG425" s="197">
        <v>380</v>
      </c>
      <c r="AH425" s="197">
        <v>0</v>
      </c>
      <c r="AI425" s="196">
        <f t="shared" ref="AI425:AI431" si="61">AH425+AG425</f>
        <v>380</v>
      </c>
      <c r="AJ425" s="237"/>
      <c r="AK425" s="70" t="s">
        <v>1569</v>
      </c>
      <c r="AL425" s="232"/>
      <c r="AM425" s="184" t="str">
        <f t="shared" si="59"/>
        <v>20017 Prolactal</v>
      </c>
      <c r="AN425" s="184" t="str">
        <f t="shared" ref="AN425:AN430" si="62">CONCATENATE(B425," ",G425," : ",N425)</f>
        <v>20017 Prolactal : Delivered valves damaged</v>
      </c>
    </row>
    <row r="426" spans="1:40" s="76" customFormat="1" ht="14.5" hidden="1" x14ac:dyDescent="0.35">
      <c r="A426" s="153" t="s">
        <v>1623</v>
      </c>
      <c r="B426" s="154">
        <v>20018</v>
      </c>
      <c r="C426" s="143" t="s">
        <v>4</v>
      </c>
      <c r="D426" s="144">
        <v>44029</v>
      </c>
      <c r="E426" s="145" t="s">
        <v>1624</v>
      </c>
      <c r="F426" s="116" t="s">
        <v>658</v>
      </c>
      <c r="G426" s="146" t="s">
        <v>1625</v>
      </c>
      <c r="H426" s="146" t="s">
        <v>1626</v>
      </c>
      <c r="I426" s="119" t="s">
        <v>2057</v>
      </c>
      <c r="J426" s="232"/>
      <c r="K426" s="145"/>
      <c r="L426" s="145" t="s">
        <v>1627</v>
      </c>
      <c r="M426" s="147"/>
      <c r="N426" s="146" t="s">
        <v>1628</v>
      </c>
      <c r="O426" s="146" t="s">
        <v>28</v>
      </c>
      <c r="P426" s="146" t="s">
        <v>103</v>
      </c>
      <c r="Q426" s="70" t="s">
        <v>1629</v>
      </c>
      <c r="R426" s="111" t="s">
        <v>1552</v>
      </c>
      <c r="S426" s="111" t="s">
        <v>1344</v>
      </c>
      <c r="T426" s="232"/>
      <c r="U426" s="232"/>
      <c r="V426" s="158" t="s">
        <v>6</v>
      </c>
      <c r="W426" s="145" t="s">
        <v>1624</v>
      </c>
      <c r="X426" s="143">
        <v>44035</v>
      </c>
      <c r="Y426" s="144">
        <f t="shared" si="39"/>
        <v>44121</v>
      </c>
      <c r="Z426" s="235">
        <v>44111</v>
      </c>
      <c r="AA426" s="161" t="str">
        <f t="shared" ref="AA426:AA431" ca="1" si="63">IF(Z426="",IF(TODAY()&gt;Y426,"NO","YES"),IF(Z426&gt;Y426,"NO",IF(Z426&lt;Y426,"YES",IF(Y426=Z426,"YES","N/A"))))</f>
        <v>YES</v>
      </c>
      <c r="AB426" s="113"/>
      <c r="AC426" s="232"/>
      <c r="AD426" s="232"/>
      <c r="AE426" s="232"/>
      <c r="AF426" s="114" t="str">
        <f t="shared" ca="1" si="60"/>
        <v>N/A</v>
      </c>
      <c r="AG426" s="197">
        <v>276</v>
      </c>
      <c r="AH426" s="197">
        <v>3325</v>
      </c>
      <c r="AI426" s="196">
        <f t="shared" si="61"/>
        <v>3601</v>
      </c>
      <c r="AJ426" s="237"/>
      <c r="AK426" s="70" t="s">
        <v>1569</v>
      </c>
      <c r="AL426" s="232"/>
      <c r="AM426" s="184" t="str">
        <f t="shared" si="59"/>
        <v>20018 Cargill Boz</v>
      </c>
      <c r="AN426" s="184" t="str">
        <f t="shared" si="62"/>
        <v>20018 Cargill Boz : Baskets mixed up during pre-mounting</v>
      </c>
    </row>
    <row r="427" spans="1:40" s="76" customFormat="1" ht="14.5" hidden="1" x14ac:dyDescent="0.35">
      <c r="A427" s="153" t="s">
        <v>1630</v>
      </c>
      <c r="B427" s="154">
        <v>20019</v>
      </c>
      <c r="C427" s="113" t="s">
        <v>1193</v>
      </c>
      <c r="D427" s="144">
        <v>44046</v>
      </c>
      <c r="E427" s="145" t="s">
        <v>888</v>
      </c>
      <c r="F427" s="141" t="s">
        <v>1222</v>
      </c>
      <c r="G427" s="146" t="s">
        <v>1631</v>
      </c>
      <c r="H427" s="146" t="s">
        <v>1632</v>
      </c>
      <c r="I427" s="119" t="s">
        <v>5</v>
      </c>
      <c r="J427" s="232"/>
      <c r="K427" s="145">
        <v>2059</v>
      </c>
      <c r="L427" s="145">
        <v>13052</v>
      </c>
      <c r="M427" s="147" t="s">
        <v>18</v>
      </c>
      <c r="N427" s="146" t="s">
        <v>1633</v>
      </c>
      <c r="O427" s="146" t="s">
        <v>29</v>
      </c>
      <c r="P427" s="146" t="s">
        <v>86</v>
      </c>
      <c r="Q427" s="70" t="s">
        <v>1527</v>
      </c>
      <c r="R427" s="146" t="s">
        <v>145</v>
      </c>
      <c r="S427" s="146"/>
      <c r="T427" s="232"/>
      <c r="U427" s="238"/>
      <c r="V427" s="158" t="s">
        <v>6</v>
      </c>
      <c r="W427" s="145" t="s">
        <v>1634</v>
      </c>
      <c r="X427" s="143">
        <v>44074</v>
      </c>
      <c r="Y427" s="144">
        <f t="shared" si="39"/>
        <v>44138</v>
      </c>
      <c r="Z427" s="235">
        <v>44280</v>
      </c>
      <c r="AA427" s="161" t="str">
        <f t="shared" ca="1" si="63"/>
        <v>NO</v>
      </c>
      <c r="AB427" s="113">
        <v>44025</v>
      </c>
      <c r="AC427" s="232"/>
      <c r="AD427" s="235">
        <v>44165</v>
      </c>
      <c r="AE427" s="235">
        <v>44280</v>
      </c>
      <c r="AF427" s="114" t="str">
        <f t="shared" ca="1" si="60"/>
        <v>NO</v>
      </c>
      <c r="AG427" s="197">
        <v>2336</v>
      </c>
      <c r="AH427" s="197">
        <v>1067</v>
      </c>
      <c r="AI427" s="196">
        <f t="shared" si="61"/>
        <v>3403</v>
      </c>
      <c r="AJ427" s="237"/>
      <c r="AK427" s="70" t="s">
        <v>1635</v>
      </c>
      <c r="AL427" s="232"/>
      <c r="AM427" s="184" t="str">
        <f t="shared" ref="AM427:AM432" si="64">CONCATENATE(B427," ",G427)</f>
        <v>20019 MIPENG</v>
      </c>
      <c r="AN427" s="184" t="str">
        <f t="shared" si="62"/>
        <v>20019 MIPENG : NF housing leakage</v>
      </c>
    </row>
    <row r="428" spans="1:40" s="76" customFormat="1" ht="14.5" hidden="1" x14ac:dyDescent="0.35">
      <c r="A428" s="153" t="s">
        <v>1636</v>
      </c>
      <c r="B428" s="154">
        <v>20020</v>
      </c>
      <c r="C428" s="143" t="s">
        <v>4</v>
      </c>
      <c r="D428" s="144">
        <v>44109</v>
      </c>
      <c r="E428" s="145" t="s">
        <v>1476</v>
      </c>
      <c r="F428" s="116" t="s">
        <v>658</v>
      </c>
      <c r="G428" s="146" t="s">
        <v>1637</v>
      </c>
      <c r="H428" s="146"/>
      <c r="I428" s="119" t="s">
        <v>2057</v>
      </c>
      <c r="J428" s="232" t="s">
        <v>1332</v>
      </c>
      <c r="K428" s="145"/>
      <c r="L428" s="155" t="s">
        <v>1638</v>
      </c>
      <c r="M428" s="147" t="s">
        <v>13</v>
      </c>
      <c r="N428" s="146" t="s">
        <v>1516</v>
      </c>
      <c r="O428" s="146" t="s">
        <v>28</v>
      </c>
      <c r="P428" s="146" t="s">
        <v>103</v>
      </c>
      <c r="Q428" s="232" t="s">
        <v>1517</v>
      </c>
      <c r="R428" s="146" t="s">
        <v>15</v>
      </c>
      <c r="S428" s="146" t="s">
        <v>1344</v>
      </c>
      <c r="T428" s="232"/>
      <c r="U428" s="238"/>
      <c r="V428" s="158" t="s">
        <v>6</v>
      </c>
      <c r="W428" s="145" t="s">
        <v>82</v>
      </c>
      <c r="X428" s="143">
        <v>44111</v>
      </c>
      <c r="Y428" s="144">
        <f t="shared" si="39"/>
        <v>44201</v>
      </c>
      <c r="Z428" s="235">
        <v>44181</v>
      </c>
      <c r="AA428" s="161" t="str">
        <f t="shared" ca="1" si="63"/>
        <v>YES</v>
      </c>
      <c r="AB428" s="113"/>
      <c r="AC428" s="232"/>
      <c r="AD428" s="232"/>
      <c r="AE428" s="232"/>
      <c r="AF428" s="114" t="s">
        <v>6</v>
      </c>
      <c r="AG428" s="197">
        <v>236</v>
      </c>
      <c r="AH428" s="197">
        <v>0</v>
      </c>
      <c r="AI428" s="196">
        <f t="shared" si="61"/>
        <v>236</v>
      </c>
      <c r="AJ428" s="237"/>
      <c r="AK428" s="70" t="s">
        <v>1569</v>
      </c>
      <c r="AL428" s="232"/>
      <c r="AM428" s="184" t="str">
        <f t="shared" si="64"/>
        <v>20020 BENEO Oreye</v>
      </c>
      <c r="AN428" s="184" t="str">
        <f t="shared" si="62"/>
        <v>20020 BENEO Oreye : Resins labeling error</v>
      </c>
    </row>
    <row r="429" spans="1:40" s="76" customFormat="1" ht="14.5" hidden="1" x14ac:dyDescent="0.35">
      <c r="A429" s="153" t="s">
        <v>1639</v>
      </c>
      <c r="B429" s="154">
        <v>20021</v>
      </c>
      <c r="C429" s="143" t="s">
        <v>4</v>
      </c>
      <c r="D429" s="144">
        <v>44109</v>
      </c>
      <c r="E429" s="145" t="s">
        <v>1019</v>
      </c>
      <c r="F429" s="116" t="s">
        <v>658</v>
      </c>
      <c r="G429" s="146" t="s">
        <v>1640</v>
      </c>
      <c r="H429" s="146"/>
      <c r="I429" s="119" t="s">
        <v>2057</v>
      </c>
      <c r="J429" s="232"/>
      <c r="K429" s="145" t="s">
        <v>1641</v>
      </c>
      <c r="L429" s="145">
        <v>16420</v>
      </c>
      <c r="M429" s="147"/>
      <c r="N429" s="146" t="s">
        <v>1642</v>
      </c>
      <c r="O429" s="146" t="s">
        <v>28</v>
      </c>
      <c r="P429" s="146" t="s">
        <v>103</v>
      </c>
      <c r="Q429" s="232" t="s">
        <v>1358</v>
      </c>
      <c r="R429" s="146" t="s">
        <v>9</v>
      </c>
      <c r="S429" s="146" t="s">
        <v>1344</v>
      </c>
      <c r="T429" s="232"/>
      <c r="U429" s="238"/>
      <c r="V429" s="158" t="s">
        <v>6</v>
      </c>
      <c r="W429" s="145" t="s">
        <v>1019</v>
      </c>
      <c r="X429" s="143">
        <v>44111</v>
      </c>
      <c r="Y429" s="144">
        <f t="shared" si="39"/>
        <v>44201</v>
      </c>
      <c r="Z429" s="235">
        <v>44187</v>
      </c>
      <c r="AA429" s="161" t="str">
        <f t="shared" ca="1" si="63"/>
        <v>YES</v>
      </c>
      <c r="AB429" s="113"/>
      <c r="AC429" s="232"/>
      <c r="AD429" s="232"/>
      <c r="AE429" s="232"/>
      <c r="AF429" s="114" t="str">
        <f t="shared" ca="1" si="60"/>
        <v>N/A</v>
      </c>
      <c r="AG429" s="197">
        <v>567</v>
      </c>
      <c r="AH429" s="197">
        <v>0</v>
      </c>
      <c r="AI429" s="196">
        <f t="shared" si="61"/>
        <v>567</v>
      </c>
      <c r="AJ429" s="237"/>
      <c r="AK429" s="70" t="s">
        <v>1569</v>
      </c>
      <c r="AL429" s="232"/>
      <c r="AM429" s="184" t="str">
        <f t="shared" si="64"/>
        <v>20021 PT SUJ</v>
      </c>
      <c r="AN429" s="184" t="str">
        <f t="shared" si="62"/>
        <v>20021 PT SUJ : Incorrect customs values on invoices</v>
      </c>
    </row>
    <row r="430" spans="1:40" s="76" customFormat="1" ht="14.5" hidden="1" x14ac:dyDescent="0.35">
      <c r="A430" s="153" t="s">
        <v>1643</v>
      </c>
      <c r="B430" s="154">
        <v>20022</v>
      </c>
      <c r="C430" s="143" t="s">
        <v>4</v>
      </c>
      <c r="D430" s="144">
        <v>44111</v>
      </c>
      <c r="E430" s="145" t="s">
        <v>1381</v>
      </c>
      <c r="F430" s="145" t="s">
        <v>420</v>
      </c>
      <c r="G430" s="146" t="s">
        <v>1644</v>
      </c>
      <c r="H430" s="146"/>
      <c r="I430" s="119" t="s">
        <v>2058</v>
      </c>
      <c r="J430" s="232"/>
      <c r="K430" s="145" t="s">
        <v>1645</v>
      </c>
      <c r="L430" s="118"/>
      <c r="M430" s="147" t="s">
        <v>13</v>
      </c>
      <c r="N430" s="146" t="s">
        <v>1646</v>
      </c>
      <c r="O430" s="111" t="s">
        <v>420</v>
      </c>
      <c r="P430" s="146" t="s">
        <v>80</v>
      </c>
      <c r="Q430" s="232" t="s">
        <v>1543</v>
      </c>
      <c r="R430" s="146" t="s">
        <v>9</v>
      </c>
      <c r="S430" s="111" t="s">
        <v>1344</v>
      </c>
      <c r="T430" s="232"/>
      <c r="U430" s="238"/>
      <c r="V430" s="158" t="s">
        <v>6</v>
      </c>
      <c r="W430" s="145" t="s">
        <v>1647</v>
      </c>
      <c r="X430" s="143">
        <v>44117</v>
      </c>
      <c r="Y430" s="144">
        <f t="shared" si="39"/>
        <v>44203</v>
      </c>
      <c r="Z430" s="235">
        <v>44181</v>
      </c>
      <c r="AA430" s="161" t="str">
        <f t="shared" ca="1" si="63"/>
        <v>YES</v>
      </c>
      <c r="AB430" s="113"/>
      <c r="AC430" s="232"/>
      <c r="AD430" s="232"/>
      <c r="AE430" s="232"/>
      <c r="AF430" s="114" t="str">
        <f t="shared" ca="1" si="60"/>
        <v>N/A</v>
      </c>
      <c r="AG430" s="197">
        <v>567</v>
      </c>
      <c r="AH430" s="197">
        <v>0</v>
      </c>
      <c r="AI430" s="196">
        <f t="shared" si="61"/>
        <v>567</v>
      </c>
      <c r="AJ430" s="237"/>
      <c r="AK430" s="70" t="s">
        <v>1569</v>
      </c>
      <c r="AL430" s="232"/>
      <c r="AM430" s="184" t="str">
        <f t="shared" si="64"/>
        <v>20022 Manuelita Laredo pilotage</v>
      </c>
      <c r="AN430" s="184" t="str">
        <f t="shared" si="62"/>
        <v>20022 Manuelita Laredo pilotage : Resin projection IEX pilot</v>
      </c>
    </row>
    <row r="431" spans="1:40" s="76" customFormat="1" ht="14.5" hidden="1" x14ac:dyDescent="0.35">
      <c r="A431" s="156" t="s">
        <v>1648</v>
      </c>
      <c r="B431" s="154">
        <v>21001</v>
      </c>
      <c r="C431" s="143" t="s">
        <v>8</v>
      </c>
      <c r="D431" s="144">
        <v>44203</v>
      </c>
      <c r="E431" s="145" t="s">
        <v>904</v>
      </c>
      <c r="F431" s="118" t="s">
        <v>1222</v>
      </c>
      <c r="G431" s="146" t="s">
        <v>1649</v>
      </c>
      <c r="H431" s="146"/>
      <c r="I431" s="119" t="s">
        <v>17</v>
      </c>
      <c r="J431" s="232"/>
      <c r="K431" s="145">
        <v>2056</v>
      </c>
      <c r="L431" s="145">
        <v>12996</v>
      </c>
      <c r="M431" s="147" t="s">
        <v>18</v>
      </c>
      <c r="N431" s="146" t="s">
        <v>1633</v>
      </c>
      <c r="O431" s="111" t="s">
        <v>29</v>
      </c>
      <c r="P431" s="111" t="s">
        <v>86</v>
      </c>
      <c r="Q431" s="70" t="s">
        <v>1527</v>
      </c>
      <c r="R431" s="146" t="s">
        <v>87</v>
      </c>
      <c r="S431" s="146"/>
      <c r="T431" s="70" t="s">
        <v>1650</v>
      </c>
      <c r="U431" s="238"/>
      <c r="V431" s="158" t="s">
        <v>6</v>
      </c>
      <c r="W431" s="145" t="s">
        <v>904</v>
      </c>
      <c r="X431" s="143">
        <v>44185</v>
      </c>
      <c r="Y431" s="144">
        <f t="shared" si="39"/>
        <v>44293</v>
      </c>
      <c r="Z431" s="235">
        <v>44330</v>
      </c>
      <c r="AA431" s="161" t="str">
        <f t="shared" ca="1" si="63"/>
        <v>NO</v>
      </c>
      <c r="AB431" s="113">
        <v>44233</v>
      </c>
      <c r="AC431" s="235">
        <v>44233</v>
      </c>
      <c r="AD431" s="235">
        <v>44316</v>
      </c>
      <c r="AE431" s="235">
        <v>44328</v>
      </c>
      <c r="AF431" s="114" t="str">
        <f t="shared" ref="AF431:AF436" ca="1" si="65">IF(I431="Claim",IF(AD431="","",IF(AE431="",IF(TODAY()&gt;AD431,"NO","YES"),IF(AE431&gt;AD431,"NO",IF(AE431&lt;AD431,"YES",IF(AD431=AE431,"YES","N/A"))))),"N/A")</f>
        <v>N/A</v>
      </c>
      <c r="AG431" s="197">
        <v>3971.94</v>
      </c>
      <c r="AH431" s="197"/>
      <c r="AI431" s="196">
        <f t="shared" si="61"/>
        <v>3971.94</v>
      </c>
      <c r="AJ431" s="237"/>
      <c r="AK431" s="232" t="s">
        <v>1569</v>
      </c>
      <c r="AL431" s="232"/>
      <c r="AM431" s="184" t="str">
        <f t="shared" si="64"/>
        <v>21001 Huaqiao</v>
      </c>
      <c r="AN431" s="184" t="str">
        <f t="shared" ref="AN431:AN436" si="66">CONCATENATE(B431," ",G431," : ",N431)</f>
        <v>21001 Huaqiao : NF housing leakage</v>
      </c>
    </row>
    <row r="432" spans="1:40" s="76" customFormat="1" ht="14.5" hidden="1" x14ac:dyDescent="0.35">
      <c r="A432" s="153" t="s">
        <v>1651</v>
      </c>
      <c r="B432" s="154">
        <v>21002</v>
      </c>
      <c r="C432" s="143" t="s">
        <v>4</v>
      </c>
      <c r="D432" s="144">
        <v>44207</v>
      </c>
      <c r="E432" s="145" t="s">
        <v>1083</v>
      </c>
      <c r="F432" s="145" t="s">
        <v>164</v>
      </c>
      <c r="G432" s="146" t="s">
        <v>797</v>
      </c>
      <c r="H432" s="146"/>
      <c r="I432" s="119" t="s">
        <v>17</v>
      </c>
      <c r="J432" s="232"/>
      <c r="K432" s="145" t="s">
        <v>1652</v>
      </c>
      <c r="L432" s="145">
        <v>16162</v>
      </c>
      <c r="M432" s="147" t="s">
        <v>338</v>
      </c>
      <c r="N432" s="146" t="s">
        <v>1653</v>
      </c>
      <c r="O432" s="146" t="s">
        <v>29</v>
      </c>
      <c r="P432" s="146" t="s">
        <v>86</v>
      </c>
      <c r="Q432" s="232" t="s">
        <v>1026</v>
      </c>
      <c r="R432" s="146" t="s">
        <v>9</v>
      </c>
      <c r="S432" s="146"/>
      <c r="T432" s="232"/>
      <c r="U432" s="238"/>
      <c r="V432" s="158" t="s">
        <v>6</v>
      </c>
      <c r="W432" s="145" t="s">
        <v>120</v>
      </c>
      <c r="X432" s="143">
        <v>44210</v>
      </c>
      <c r="Y432" s="144">
        <f t="shared" si="39"/>
        <v>44297</v>
      </c>
      <c r="Z432" s="235">
        <v>44281</v>
      </c>
      <c r="AA432" s="161" t="str">
        <f t="shared" ref="AA432:AA437" ca="1" si="67">IF(Z432="",IF(TODAY()&gt;Y432,"NO","YES"),IF(Z432&gt;Y432,"NO",IF(Z432&lt;Y432,"YES",IF(Y432=Z432,"YES","N/A"))))</f>
        <v>YES</v>
      </c>
      <c r="AB432" s="113"/>
      <c r="AC432" s="232"/>
      <c r="AD432" s="232"/>
      <c r="AE432" s="232"/>
      <c r="AF432" s="114" t="str">
        <f t="shared" ca="1" si="65"/>
        <v>N/A</v>
      </c>
      <c r="AG432" s="197">
        <v>279</v>
      </c>
      <c r="AH432" s="197"/>
      <c r="AI432" s="196">
        <f t="shared" ref="AI432:AI435" si="68">AH432+AG432</f>
        <v>279</v>
      </c>
      <c r="AJ432" s="148" t="s">
        <v>6</v>
      </c>
      <c r="AK432" s="187">
        <v>44495</v>
      </c>
      <c r="AL432" s="232"/>
      <c r="AM432" s="184" t="str">
        <f t="shared" si="64"/>
        <v>21002 CAPUA</v>
      </c>
      <c r="AN432" s="184" t="str">
        <f t="shared" si="66"/>
        <v>21002 CAPUA : Effluent to be connected to customer sewers</v>
      </c>
    </row>
    <row r="433" spans="1:40" s="76" customFormat="1" ht="14.5" hidden="1" x14ac:dyDescent="0.35">
      <c r="A433" s="153" t="s">
        <v>1654</v>
      </c>
      <c r="B433" s="154">
        <v>21003</v>
      </c>
      <c r="C433" s="143" t="s">
        <v>4</v>
      </c>
      <c r="D433" s="144">
        <v>44211</v>
      </c>
      <c r="E433" s="145" t="s">
        <v>1476</v>
      </c>
      <c r="F433" s="145" t="s">
        <v>658</v>
      </c>
      <c r="G433" s="146" t="s">
        <v>388</v>
      </c>
      <c r="H433" s="146" t="s">
        <v>1041</v>
      </c>
      <c r="I433" s="119" t="s">
        <v>5</v>
      </c>
      <c r="J433" s="70" t="s">
        <v>1332</v>
      </c>
      <c r="K433" s="118"/>
      <c r="L433" s="118" t="s">
        <v>1655</v>
      </c>
      <c r="M433" s="147" t="s">
        <v>13</v>
      </c>
      <c r="N433" s="111" t="s">
        <v>1516</v>
      </c>
      <c r="O433" s="146" t="s">
        <v>28</v>
      </c>
      <c r="P433" s="111" t="s">
        <v>103</v>
      </c>
      <c r="Q433" s="70" t="s">
        <v>510</v>
      </c>
      <c r="R433" s="146" t="s">
        <v>145</v>
      </c>
      <c r="S433" s="146"/>
      <c r="T433" s="112" t="s">
        <v>1394</v>
      </c>
      <c r="U433" s="238"/>
      <c r="V433" s="158" t="s">
        <v>6</v>
      </c>
      <c r="W433" s="118" t="s">
        <v>221</v>
      </c>
      <c r="X433" s="143">
        <v>44215</v>
      </c>
      <c r="Y433" s="144">
        <f t="shared" si="39"/>
        <v>44301</v>
      </c>
      <c r="Z433" s="235">
        <v>44315</v>
      </c>
      <c r="AA433" s="161" t="str">
        <f t="shared" ca="1" si="67"/>
        <v>NO</v>
      </c>
      <c r="AB433" s="113">
        <v>44209</v>
      </c>
      <c r="AC433" s="190">
        <v>44214</v>
      </c>
      <c r="AD433" s="235">
        <v>44346</v>
      </c>
      <c r="AE433" s="235">
        <v>44315</v>
      </c>
      <c r="AF433" s="114" t="str">
        <f t="shared" ca="1" si="65"/>
        <v>YES</v>
      </c>
      <c r="AG433" s="197">
        <v>1018</v>
      </c>
      <c r="AH433" s="197">
        <v>1540</v>
      </c>
      <c r="AI433" s="196">
        <f t="shared" si="68"/>
        <v>2558</v>
      </c>
      <c r="AJ433" s="148" t="s">
        <v>10</v>
      </c>
      <c r="AK433" s="187">
        <v>44434</v>
      </c>
      <c r="AL433" s="232">
        <v>21022</v>
      </c>
      <c r="AM433" s="184" t="str">
        <f t="shared" ref="AM433:AM438" si="69">CONCATENATE(B433," ",G433)</f>
        <v>21003 GOI</v>
      </c>
      <c r="AN433" s="184" t="str">
        <f t="shared" si="66"/>
        <v>21003 GOI : Resins labeling error</v>
      </c>
    </row>
    <row r="434" spans="1:40" s="76" customFormat="1" ht="14.5" hidden="1" x14ac:dyDescent="0.35">
      <c r="A434" s="153" t="s">
        <v>1656</v>
      </c>
      <c r="B434" s="154">
        <v>21004</v>
      </c>
      <c r="C434" s="143" t="s">
        <v>4</v>
      </c>
      <c r="D434" s="144">
        <v>44228</v>
      </c>
      <c r="E434" s="145" t="s">
        <v>1476</v>
      </c>
      <c r="F434" s="145" t="s">
        <v>658</v>
      </c>
      <c r="G434" s="111" t="s">
        <v>1637</v>
      </c>
      <c r="H434" s="146" t="s">
        <v>1041</v>
      </c>
      <c r="I434" s="119" t="s">
        <v>2056</v>
      </c>
      <c r="J434" s="232"/>
      <c r="K434" s="145"/>
      <c r="L434" s="145" t="s">
        <v>1638</v>
      </c>
      <c r="M434" s="147" t="s">
        <v>13</v>
      </c>
      <c r="N434" s="146" t="s">
        <v>1657</v>
      </c>
      <c r="O434" s="146" t="s">
        <v>28</v>
      </c>
      <c r="P434" s="146" t="s">
        <v>103</v>
      </c>
      <c r="Q434" s="232" t="s">
        <v>510</v>
      </c>
      <c r="R434" s="146" t="s">
        <v>145</v>
      </c>
      <c r="S434" s="146"/>
      <c r="T434" s="112" t="s">
        <v>1394</v>
      </c>
      <c r="U434" s="238"/>
      <c r="V434" s="158" t="s">
        <v>10</v>
      </c>
      <c r="W434" s="145"/>
      <c r="X434" s="143"/>
      <c r="Y434" s="144">
        <f t="shared" si="39"/>
        <v>44317</v>
      </c>
      <c r="Z434" s="235">
        <v>44308</v>
      </c>
      <c r="AA434" s="161" t="str">
        <f t="shared" ca="1" si="67"/>
        <v>YES</v>
      </c>
      <c r="AB434" s="113"/>
      <c r="AC434" s="232"/>
      <c r="AD434" s="232"/>
      <c r="AE434" s="232"/>
      <c r="AF434" s="114" t="str">
        <f t="shared" ca="1" si="65"/>
        <v>N/A</v>
      </c>
      <c r="AG434" s="197">
        <v>95</v>
      </c>
      <c r="AH434" s="197">
        <v>0</v>
      </c>
      <c r="AI434" s="196">
        <f t="shared" si="68"/>
        <v>95</v>
      </c>
      <c r="AJ434" s="148" t="s">
        <v>6</v>
      </c>
      <c r="AK434" s="187">
        <v>44860</v>
      </c>
      <c r="AL434" s="232"/>
      <c r="AM434" s="184" t="str">
        <f t="shared" si="69"/>
        <v>21004 BENEO Oreye</v>
      </c>
      <c r="AN434" s="184" t="str">
        <f t="shared" si="66"/>
        <v>21004 BENEO Oreye : Forgotten pallett, not delivered</v>
      </c>
    </row>
    <row r="435" spans="1:40" s="76" customFormat="1" ht="14.5" hidden="1" x14ac:dyDescent="0.35">
      <c r="A435" s="156" t="s">
        <v>1658</v>
      </c>
      <c r="B435" s="154">
        <v>21005</v>
      </c>
      <c r="C435" s="143" t="s">
        <v>4</v>
      </c>
      <c r="D435" s="144">
        <v>44235</v>
      </c>
      <c r="E435" s="145" t="s">
        <v>177</v>
      </c>
      <c r="F435" s="145" t="s">
        <v>164</v>
      </c>
      <c r="G435" s="146" t="s">
        <v>1291</v>
      </c>
      <c r="H435" s="146" t="s">
        <v>1659</v>
      </c>
      <c r="I435" s="119" t="s">
        <v>2056</v>
      </c>
      <c r="J435" s="232"/>
      <c r="K435" s="145">
        <v>2066</v>
      </c>
      <c r="L435" s="145">
        <v>13829</v>
      </c>
      <c r="M435" s="147" t="s">
        <v>700</v>
      </c>
      <c r="N435" s="146" t="s">
        <v>1660</v>
      </c>
      <c r="O435" s="146" t="s">
        <v>29</v>
      </c>
      <c r="P435" s="146" t="s">
        <v>176</v>
      </c>
      <c r="Q435" s="232" t="s">
        <v>1661</v>
      </c>
      <c r="R435" s="146" t="s">
        <v>145</v>
      </c>
      <c r="S435" s="146"/>
      <c r="T435" s="112" t="s">
        <v>1659</v>
      </c>
      <c r="U435" s="238"/>
      <c r="V435" s="158" t="s">
        <v>10</v>
      </c>
      <c r="W435" s="145"/>
      <c r="X435" s="143"/>
      <c r="Y435" s="144">
        <f t="shared" si="39"/>
        <v>44324</v>
      </c>
      <c r="Z435" s="235">
        <v>44305</v>
      </c>
      <c r="AA435" s="161" t="str">
        <f t="shared" ca="1" si="67"/>
        <v>YES</v>
      </c>
      <c r="AB435" s="113"/>
      <c r="AC435" s="232"/>
      <c r="AD435" s="232"/>
      <c r="AE435" s="232"/>
      <c r="AF435" s="114" t="str">
        <f t="shared" ca="1" si="65"/>
        <v>N/A</v>
      </c>
      <c r="AG435" s="197">
        <v>1318</v>
      </c>
      <c r="AH435" s="197">
        <v>0</v>
      </c>
      <c r="AI435" s="196">
        <f t="shared" si="68"/>
        <v>1318</v>
      </c>
      <c r="AJ435" s="237"/>
      <c r="AK435" s="182" t="s">
        <v>454</v>
      </c>
      <c r="AL435" s="70" t="s">
        <v>1662</v>
      </c>
      <c r="AM435" s="184" t="str">
        <f t="shared" si="69"/>
        <v>21005 BENEO Chili</v>
      </c>
      <c r="AN435" s="184" t="str">
        <f t="shared" si="66"/>
        <v>21005 BENEO Chili : Late delivery of the centrifugal pumps order</v>
      </c>
    </row>
    <row r="436" spans="1:40" s="76" customFormat="1" ht="14.5" hidden="1" x14ac:dyDescent="0.35">
      <c r="A436" s="153" t="s">
        <v>1663</v>
      </c>
      <c r="B436" s="154">
        <v>21006</v>
      </c>
      <c r="C436" s="143" t="s">
        <v>8</v>
      </c>
      <c r="D436" s="144">
        <v>44236</v>
      </c>
      <c r="E436" s="145" t="s">
        <v>1664</v>
      </c>
      <c r="F436" s="145" t="s">
        <v>1665</v>
      </c>
      <c r="G436" s="146" t="s">
        <v>1067</v>
      </c>
      <c r="H436" s="146" t="s">
        <v>930</v>
      </c>
      <c r="I436" s="119" t="s">
        <v>2056</v>
      </c>
      <c r="J436" s="232"/>
      <c r="K436" s="145" t="s">
        <v>1666</v>
      </c>
      <c r="L436" s="145">
        <v>15842</v>
      </c>
      <c r="M436" s="147" t="s">
        <v>13</v>
      </c>
      <c r="N436" s="146" t="s">
        <v>1667</v>
      </c>
      <c r="O436" s="146" t="s">
        <v>29</v>
      </c>
      <c r="P436" s="146" t="s">
        <v>86</v>
      </c>
      <c r="Q436" s="70" t="s">
        <v>1629</v>
      </c>
      <c r="R436" s="146" t="s">
        <v>145</v>
      </c>
      <c r="S436" s="146"/>
      <c r="T436" s="232" t="s">
        <v>1668</v>
      </c>
      <c r="U436" s="238"/>
      <c r="V436" s="158" t="s">
        <v>6</v>
      </c>
      <c r="W436" s="145" t="s">
        <v>1664</v>
      </c>
      <c r="X436" s="143">
        <v>44236</v>
      </c>
      <c r="Y436" s="144">
        <f t="shared" si="39"/>
        <v>44325</v>
      </c>
      <c r="Z436" s="235">
        <v>44313</v>
      </c>
      <c r="AA436" s="161" t="str">
        <f t="shared" ca="1" si="67"/>
        <v>YES</v>
      </c>
      <c r="AB436" s="113"/>
      <c r="AC436" s="232"/>
      <c r="AD436" s="232"/>
      <c r="AE436" s="232"/>
      <c r="AF436" s="114" t="str">
        <f t="shared" ca="1" si="65"/>
        <v>N/A</v>
      </c>
      <c r="AG436" s="197">
        <v>980</v>
      </c>
      <c r="AH436" s="197"/>
      <c r="AI436" s="196">
        <v>980</v>
      </c>
      <c r="AJ436" s="237"/>
      <c r="AK436" s="70" t="s">
        <v>1669</v>
      </c>
      <c r="AL436" s="232"/>
      <c r="AM436" s="184" t="str">
        <f t="shared" si="69"/>
        <v>21006 Cargill</v>
      </c>
      <c r="AN436" s="184" t="str">
        <f t="shared" si="66"/>
        <v>21006 Cargill : Mounting issue of internal box</v>
      </c>
    </row>
    <row r="437" spans="1:40" s="76" customFormat="1" ht="14.5" hidden="1" x14ac:dyDescent="0.35">
      <c r="A437" s="153" t="s">
        <v>1670</v>
      </c>
      <c r="B437" s="154">
        <v>21007</v>
      </c>
      <c r="C437" s="143" t="s">
        <v>4</v>
      </c>
      <c r="D437" s="144">
        <v>44238</v>
      </c>
      <c r="E437" s="145" t="s">
        <v>1624</v>
      </c>
      <c r="F437" s="145" t="s">
        <v>658</v>
      </c>
      <c r="G437" s="146" t="s">
        <v>1671</v>
      </c>
      <c r="H437" s="146"/>
      <c r="I437" s="119" t="s">
        <v>2057</v>
      </c>
      <c r="J437" s="232"/>
      <c r="K437" s="145"/>
      <c r="L437" s="145" t="s">
        <v>1672</v>
      </c>
      <c r="M437" s="147" t="s">
        <v>7</v>
      </c>
      <c r="N437" s="146" t="s">
        <v>1673</v>
      </c>
      <c r="O437" s="146" t="s">
        <v>28</v>
      </c>
      <c r="P437" s="146" t="s">
        <v>103</v>
      </c>
      <c r="Q437" s="232" t="s">
        <v>510</v>
      </c>
      <c r="R437" s="146" t="s">
        <v>15</v>
      </c>
      <c r="S437" s="146"/>
      <c r="T437" s="232"/>
      <c r="U437" s="238"/>
      <c r="V437" s="158" t="s">
        <v>6</v>
      </c>
      <c r="W437" s="145" t="s">
        <v>1476</v>
      </c>
      <c r="X437" s="143">
        <v>44250</v>
      </c>
      <c r="Y437" s="144">
        <f t="shared" si="39"/>
        <v>44327</v>
      </c>
      <c r="Z437" s="235">
        <v>44278</v>
      </c>
      <c r="AA437" s="161" t="str">
        <f t="shared" ca="1" si="67"/>
        <v>YES</v>
      </c>
      <c r="AB437" s="113"/>
      <c r="AC437" s="232"/>
      <c r="AD437" s="232"/>
      <c r="AE437" s="232"/>
      <c r="AF437" s="114" t="str">
        <f t="shared" ref="AF437:AF442" ca="1" si="70">IF(I437="Claim",IF(AD437="","",IF(AE437="",IF(TODAY()&gt;AD437,"NO","YES"),IF(AE437&gt;AD437,"NO",IF(AE437&lt;AD437,"YES",IF(AD437=AE437,"YES","N/A"))))),"N/A")</f>
        <v>N/A</v>
      </c>
      <c r="AG437" s="197">
        <v>285</v>
      </c>
      <c r="AH437" s="197">
        <v>80</v>
      </c>
      <c r="AI437" s="196">
        <f t="shared" ref="AI437:AI442" si="71">AH437+AG437</f>
        <v>365</v>
      </c>
      <c r="AJ437" s="148" t="s">
        <v>6</v>
      </c>
      <c r="AK437" s="187">
        <v>44860</v>
      </c>
      <c r="AL437" s="232"/>
      <c r="AM437" s="184" t="str">
        <f t="shared" si="69"/>
        <v>21007 HSN-Tetrapak</v>
      </c>
      <c r="AN437" s="184" t="str">
        <f t="shared" ref="AN437:AN442" si="72">CONCATENATE(B437," ",G437," : ",N437)</f>
        <v>21007 HSN-Tetrapak : Order delivery error</v>
      </c>
    </row>
    <row r="438" spans="1:40" s="76" customFormat="1" ht="14.5" hidden="1" x14ac:dyDescent="0.35">
      <c r="A438" s="153" t="s">
        <v>1674</v>
      </c>
      <c r="B438" s="154">
        <v>21008</v>
      </c>
      <c r="C438" s="143" t="s">
        <v>4</v>
      </c>
      <c r="D438" s="144">
        <v>44257</v>
      </c>
      <c r="E438" s="145" t="s">
        <v>273</v>
      </c>
      <c r="F438" s="145" t="s">
        <v>658</v>
      </c>
      <c r="G438" s="146" t="s">
        <v>1675</v>
      </c>
      <c r="H438" s="146"/>
      <c r="I438" s="119" t="s">
        <v>2057</v>
      </c>
      <c r="J438" s="232"/>
      <c r="K438" s="145" t="s">
        <v>1676</v>
      </c>
      <c r="L438" s="145">
        <v>16977</v>
      </c>
      <c r="M438" s="147"/>
      <c r="N438" s="146" t="s">
        <v>1677</v>
      </c>
      <c r="O438" s="146" t="s">
        <v>28</v>
      </c>
      <c r="P438" s="146" t="s">
        <v>103</v>
      </c>
      <c r="Q438" s="70" t="s">
        <v>81</v>
      </c>
      <c r="R438" s="146" t="s">
        <v>9</v>
      </c>
      <c r="S438" s="146"/>
      <c r="T438" s="232"/>
      <c r="U438" s="238"/>
      <c r="V438" s="158" t="s">
        <v>6</v>
      </c>
      <c r="W438" s="145" t="s">
        <v>273</v>
      </c>
      <c r="X438" s="143">
        <v>44260</v>
      </c>
      <c r="Y438" s="144">
        <f t="shared" si="39"/>
        <v>44349</v>
      </c>
      <c r="Z438" s="235">
        <v>44315</v>
      </c>
      <c r="AA438" s="161" t="str">
        <f t="shared" ref="AA438:AA442" ca="1" si="73">IF(Z438="",IF(TODAY()&gt;Y438,"NO","YES"),IF(Z438&gt;Y438,"NO",IF(Z438&lt;Y438,"YES",IF(Y438=Z438,"YES","N/A"))))</f>
        <v>YES</v>
      </c>
      <c r="AB438" s="113"/>
      <c r="AC438" s="232"/>
      <c r="AD438" s="232"/>
      <c r="AE438" s="232"/>
      <c r="AF438" s="114" t="str">
        <f t="shared" ca="1" si="70"/>
        <v>N/A</v>
      </c>
      <c r="AG438" s="197">
        <v>570</v>
      </c>
      <c r="AH438" s="197">
        <v>0</v>
      </c>
      <c r="AI438" s="196">
        <f t="shared" si="71"/>
        <v>570</v>
      </c>
      <c r="AJ438" s="148" t="s">
        <v>6</v>
      </c>
      <c r="AK438" s="235">
        <v>44874</v>
      </c>
      <c r="AL438" s="232"/>
      <c r="AM438" s="184" t="str">
        <f t="shared" si="69"/>
        <v>21008 Polypeptides US</v>
      </c>
      <c r="AN438" s="184" t="str">
        <f t="shared" si="72"/>
        <v>21008 Polypeptides US : Creation of US accounting project on ISIS</v>
      </c>
    </row>
    <row r="439" spans="1:40" s="76" customFormat="1" ht="14.5" hidden="1" x14ac:dyDescent="0.35">
      <c r="A439" s="153" t="s">
        <v>1678</v>
      </c>
      <c r="B439" s="154">
        <v>21009</v>
      </c>
      <c r="C439" s="143" t="s">
        <v>4</v>
      </c>
      <c r="D439" s="144">
        <v>44257</v>
      </c>
      <c r="E439" s="145" t="s">
        <v>1575</v>
      </c>
      <c r="F439" s="145" t="s">
        <v>164</v>
      </c>
      <c r="G439" s="111" t="s">
        <v>1679</v>
      </c>
      <c r="H439" s="111" t="s">
        <v>1680</v>
      </c>
      <c r="I439" s="119" t="s">
        <v>2056</v>
      </c>
      <c r="J439" s="232"/>
      <c r="K439" s="118" t="s">
        <v>1681</v>
      </c>
      <c r="L439" s="145">
        <v>15771</v>
      </c>
      <c r="M439" s="147" t="s">
        <v>13</v>
      </c>
      <c r="N439" s="111" t="s">
        <v>1682</v>
      </c>
      <c r="O439" s="111" t="s">
        <v>28</v>
      </c>
      <c r="P439" s="111" t="s">
        <v>103</v>
      </c>
      <c r="Q439" s="70" t="s">
        <v>1683</v>
      </c>
      <c r="R439" s="111" t="s">
        <v>145</v>
      </c>
      <c r="S439" s="146"/>
      <c r="T439" s="232"/>
      <c r="U439" s="238"/>
      <c r="V439" s="158" t="s">
        <v>6</v>
      </c>
      <c r="W439" s="145" t="s">
        <v>120</v>
      </c>
      <c r="X439" s="143">
        <v>44257</v>
      </c>
      <c r="Y439" s="144">
        <f t="shared" si="39"/>
        <v>44349</v>
      </c>
      <c r="Z439" s="235">
        <v>44335</v>
      </c>
      <c r="AA439" s="161" t="str">
        <f t="shared" ca="1" si="73"/>
        <v>YES</v>
      </c>
      <c r="AB439" s="113"/>
      <c r="AC439" s="232"/>
      <c r="AD439" s="232"/>
      <c r="AE439" s="232"/>
      <c r="AF439" s="114" t="str">
        <f t="shared" ca="1" si="70"/>
        <v>N/A</v>
      </c>
      <c r="AG439" s="197">
        <v>380</v>
      </c>
      <c r="AH439" s="197">
        <v>1232</v>
      </c>
      <c r="AI439" s="196">
        <f t="shared" si="71"/>
        <v>1612</v>
      </c>
      <c r="AJ439" s="148" t="s">
        <v>6</v>
      </c>
      <c r="AK439" s="235">
        <v>44860</v>
      </c>
      <c r="AL439" s="232"/>
      <c r="AM439" s="184" t="str">
        <f t="shared" ref="AM439:AM444" si="74">CONCATENATE(B439," ",G439)</f>
        <v>21009 Tereos Connantres</v>
      </c>
      <c r="AN439" s="184" t="str">
        <f t="shared" si="72"/>
        <v>21009 Tereos Connantres : Spare sightglass missing and bad quality for sightglass gaskets</v>
      </c>
    </row>
    <row r="440" spans="1:40" s="76" customFormat="1" ht="14.5" hidden="1" x14ac:dyDescent="0.35">
      <c r="A440" s="153" t="s">
        <v>1684</v>
      </c>
      <c r="B440" s="154">
        <v>21010</v>
      </c>
      <c r="C440" s="143" t="s">
        <v>4</v>
      </c>
      <c r="D440" s="144">
        <v>44257</v>
      </c>
      <c r="E440" s="145" t="s">
        <v>273</v>
      </c>
      <c r="F440" s="145" t="s">
        <v>658</v>
      </c>
      <c r="G440" s="111" t="s">
        <v>1679</v>
      </c>
      <c r="H440" s="146"/>
      <c r="I440" s="119" t="s">
        <v>2057</v>
      </c>
      <c r="J440" s="232"/>
      <c r="K440" s="118" t="s">
        <v>1681</v>
      </c>
      <c r="L440" s="145">
        <v>15771</v>
      </c>
      <c r="M440" s="147" t="s">
        <v>13</v>
      </c>
      <c r="N440" s="146" t="s">
        <v>1685</v>
      </c>
      <c r="O440" s="146" t="s">
        <v>28</v>
      </c>
      <c r="P440" s="146" t="s">
        <v>103</v>
      </c>
      <c r="Q440" s="232" t="s">
        <v>1683</v>
      </c>
      <c r="R440" s="146" t="s">
        <v>145</v>
      </c>
      <c r="S440" s="146"/>
      <c r="T440" s="232"/>
      <c r="U440" s="238"/>
      <c r="V440" s="158" t="s">
        <v>6</v>
      </c>
      <c r="W440" s="145" t="s">
        <v>160</v>
      </c>
      <c r="X440" s="143">
        <v>44202</v>
      </c>
      <c r="Y440" s="144">
        <f t="shared" si="39"/>
        <v>44349</v>
      </c>
      <c r="Z440" s="235">
        <v>44343</v>
      </c>
      <c r="AA440" s="161" t="str">
        <f t="shared" ca="1" si="73"/>
        <v>YES</v>
      </c>
      <c r="AB440" s="113"/>
      <c r="AC440" s="232"/>
      <c r="AD440" s="232"/>
      <c r="AE440" s="232"/>
      <c r="AF440" s="114" t="str">
        <f t="shared" ca="1" si="70"/>
        <v>N/A</v>
      </c>
      <c r="AG440" s="197">
        <v>5225</v>
      </c>
      <c r="AH440" s="197">
        <v>30765</v>
      </c>
      <c r="AI440" s="196">
        <f t="shared" si="71"/>
        <v>35990</v>
      </c>
      <c r="AJ440" s="148" t="s">
        <v>6</v>
      </c>
      <c r="AK440" s="187">
        <v>44879</v>
      </c>
      <c r="AL440" s="70" t="s">
        <v>1686</v>
      </c>
      <c r="AM440" s="184" t="str">
        <f t="shared" si="74"/>
        <v>21010 Tereos Connantres</v>
      </c>
      <c r="AN440" s="184" t="str">
        <f t="shared" si="72"/>
        <v>21010 Tereos Connantres : High pressure drop in production</v>
      </c>
    </row>
    <row r="441" spans="1:40" s="76" customFormat="1" ht="14.5" hidden="1" x14ac:dyDescent="0.35">
      <c r="A441" s="153" t="s">
        <v>1687</v>
      </c>
      <c r="B441" s="154">
        <v>21011</v>
      </c>
      <c r="C441" s="143" t="s">
        <v>4</v>
      </c>
      <c r="D441" s="144">
        <v>44270</v>
      </c>
      <c r="E441" s="145" t="s">
        <v>796</v>
      </c>
      <c r="F441" s="145" t="s">
        <v>420</v>
      </c>
      <c r="G441" s="146" t="s">
        <v>1688</v>
      </c>
      <c r="H441" s="146"/>
      <c r="I441" s="119" t="s">
        <v>2058</v>
      </c>
      <c r="J441" s="232"/>
      <c r="K441" s="150" t="s">
        <v>1689</v>
      </c>
      <c r="L441" s="150" t="s">
        <v>1690</v>
      </c>
      <c r="M441" s="147" t="s">
        <v>18</v>
      </c>
      <c r="N441" s="111" t="s">
        <v>1691</v>
      </c>
      <c r="O441" s="111" t="s">
        <v>420</v>
      </c>
      <c r="P441" s="146" t="s">
        <v>80</v>
      </c>
      <c r="Q441" s="70" t="s">
        <v>1543</v>
      </c>
      <c r="R441" s="146" t="s">
        <v>87</v>
      </c>
      <c r="S441" s="157" t="s">
        <v>1344</v>
      </c>
      <c r="T441" s="232"/>
      <c r="U441" s="238"/>
      <c r="V441" s="158" t="s">
        <v>6</v>
      </c>
      <c r="W441" s="145" t="s">
        <v>1647</v>
      </c>
      <c r="X441" s="143">
        <v>44274</v>
      </c>
      <c r="Y441" s="144">
        <f t="shared" si="39"/>
        <v>44362</v>
      </c>
      <c r="Z441" s="235">
        <v>44438</v>
      </c>
      <c r="AA441" s="161" t="str">
        <f t="shared" ca="1" si="73"/>
        <v>NO</v>
      </c>
      <c r="AB441" s="113"/>
      <c r="AC441" s="232"/>
      <c r="AD441" s="232"/>
      <c r="AE441" s="232"/>
      <c r="AF441" s="114" t="str">
        <f t="shared" ca="1" si="70"/>
        <v>N/A</v>
      </c>
      <c r="AG441" s="197">
        <v>950</v>
      </c>
      <c r="AH441" s="197">
        <v>140</v>
      </c>
      <c r="AI441" s="196">
        <f t="shared" si="71"/>
        <v>1090</v>
      </c>
      <c r="AJ441" s="237"/>
      <c r="AK441" s="70" t="s">
        <v>2045</v>
      </c>
      <c r="AL441" s="232"/>
      <c r="AM441" s="184" t="str">
        <f t="shared" si="74"/>
        <v>21011 PRAJ</v>
      </c>
      <c r="AN441" s="184" t="str">
        <f t="shared" si="72"/>
        <v>21011 PRAJ : Product leakage, high pressure</v>
      </c>
    </row>
    <row r="442" spans="1:40" s="76" customFormat="1" ht="14.5" hidden="1" x14ac:dyDescent="0.35">
      <c r="A442" s="153" t="s">
        <v>1692</v>
      </c>
      <c r="B442" s="154">
        <v>21012</v>
      </c>
      <c r="C442" s="143" t="s">
        <v>4</v>
      </c>
      <c r="D442" s="144">
        <v>44309</v>
      </c>
      <c r="E442" s="145" t="s">
        <v>1693</v>
      </c>
      <c r="F442" s="145" t="s">
        <v>658</v>
      </c>
      <c r="G442" s="148" t="s">
        <v>1694</v>
      </c>
      <c r="H442" s="146"/>
      <c r="I442" s="119" t="s">
        <v>2057</v>
      </c>
      <c r="J442" s="232"/>
      <c r="K442" s="145"/>
      <c r="L442" s="114" t="s">
        <v>1695</v>
      </c>
      <c r="M442" s="147" t="s">
        <v>338</v>
      </c>
      <c r="N442" s="111" t="s">
        <v>1696</v>
      </c>
      <c r="O442" s="111" t="s">
        <v>28</v>
      </c>
      <c r="P442" s="111" t="s">
        <v>103</v>
      </c>
      <c r="Q442" s="232" t="s">
        <v>1149</v>
      </c>
      <c r="R442" s="111" t="s">
        <v>9</v>
      </c>
      <c r="S442" s="146"/>
      <c r="T442" s="232"/>
      <c r="U442" s="238"/>
      <c r="V442" s="158" t="s">
        <v>6</v>
      </c>
      <c r="W442" s="118" t="s">
        <v>221</v>
      </c>
      <c r="X442" s="143">
        <v>44314</v>
      </c>
      <c r="Y442" s="144">
        <f t="shared" si="39"/>
        <v>44400</v>
      </c>
      <c r="Z442" s="235">
        <v>44383</v>
      </c>
      <c r="AA442" s="161" t="str">
        <f t="shared" ca="1" si="73"/>
        <v>YES</v>
      </c>
      <c r="AB442" s="113"/>
      <c r="AC442" s="232"/>
      <c r="AD442" s="232"/>
      <c r="AE442" s="232"/>
      <c r="AF442" s="114" t="str">
        <f t="shared" ca="1" si="70"/>
        <v>N/A</v>
      </c>
      <c r="AG442" s="197">
        <v>570</v>
      </c>
      <c r="AH442" s="197">
        <v>0</v>
      </c>
      <c r="AI442" s="196">
        <f t="shared" si="71"/>
        <v>570</v>
      </c>
      <c r="AJ442" s="148" t="s">
        <v>6</v>
      </c>
      <c r="AK442" s="187">
        <v>44873</v>
      </c>
      <c r="AL442" s="232"/>
      <c r="AM442" s="184" t="str">
        <f t="shared" si="74"/>
        <v>21012 Açucareira Quatá</v>
      </c>
      <c r="AN442" s="184" t="str">
        <f t="shared" si="72"/>
        <v>21012 Açucareira Quatá : Exportation certificate unsend to the client on time</v>
      </c>
    </row>
    <row r="443" spans="1:40" s="76" customFormat="1" ht="14.5" hidden="1" x14ac:dyDescent="0.35">
      <c r="A443" s="153" t="s">
        <v>1697</v>
      </c>
      <c r="B443" s="154">
        <v>21013</v>
      </c>
      <c r="C443" s="143" t="s">
        <v>4</v>
      </c>
      <c r="D443" s="144">
        <v>44321</v>
      </c>
      <c r="E443" s="145" t="s">
        <v>1698</v>
      </c>
      <c r="F443" s="145" t="s">
        <v>1699</v>
      </c>
      <c r="G443" s="146" t="s">
        <v>602</v>
      </c>
      <c r="H443" s="146"/>
      <c r="I443" s="119" t="s">
        <v>2057</v>
      </c>
      <c r="J443" s="232"/>
      <c r="K443" s="145"/>
      <c r="L443" s="118" t="s">
        <v>1700</v>
      </c>
      <c r="M443" s="147" t="s">
        <v>18</v>
      </c>
      <c r="N443" s="111" t="s">
        <v>1701</v>
      </c>
      <c r="O443" s="146" t="s">
        <v>28</v>
      </c>
      <c r="P443" s="146" t="s">
        <v>103</v>
      </c>
      <c r="Q443" s="70" t="s">
        <v>1702</v>
      </c>
      <c r="R443" s="111" t="s">
        <v>1552</v>
      </c>
      <c r="S443" s="157" t="s">
        <v>1344</v>
      </c>
      <c r="T443" s="232"/>
      <c r="U443" s="238"/>
      <c r="V443" s="158" t="s">
        <v>6</v>
      </c>
      <c r="W443" s="118" t="s">
        <v>221</v>
      </c>
      <c r="X443" s="143">
        <v>44336</v>
      </c>
      <c r="Y443" s="144">
        <f t="shared" si="39"/>
        <v>44413</v>
      </c>
      <c r="Z443" s="235">
        <v>44397</v>
      </c>
      <c r="AA443" s="161" t="str">
        <f t="shared" ref="AA443:AA449" ca="1" si="75">IF(Z443="",IF(TODAY()&gt;Y443,"NO","YES"),IF(Z443&gt;Y443,"NO",IF(Z443&lt;Y443,"YES",IF(Y443=Z443,"YES","N/A"))))</f>
        <v>YES</v>
      </c>
      <c r="AB443" s="113"/>
      <c r="AC443" s="232"/>
      <c r="AD443" s="232"/>
      <c r="AE443" s="232"/>
      <c r="AF443" s="114" t="str">
        <f t="shared" ref="AF443:AF448" ca="1" si="76">IF(I443="Claim",IF(AD443="","",IF(AE443="",IF(TODAY()&gt;AD443,"NO","YES"),IF(AE443&gt;AD443,"NO",IF(AE443&lt;AD443,"YES",IF(AD443=AE443,"YES","N/A"))))),"N/A")</f>
        <v>N/A</v>
      </c>
      <c r="AG443" s="197">
        <v>190</v>
      </c>
      <c r="AH443" s="197">
        <v>0</v>
      </c>
      <c r="AI443" s="196">
        <f t="shared" ref="AI443:AI448" si="77">AH443+AG443</f>
        <v>190</v>
      </c>
      <c r="AJ443" s="148" t="s">
        <v>6</v>
      </c>
      <c r="AK443" s="187">
        <v>44873</v>
      </c>
      <c r="AL443" s="232"/>
      <c r="AM443" s="184" t="str">
        <f t="shared" si="74"/>
        <v>21013 Cevital</v>
      </c>
      <c r="AN443" s="184" t="str">
        <f t="shared" ref="AN443:AN448" si="78">CONCATENATE(B443," ",G443," : ",N443)</f>
        <v>21013 Cevital : Export licence not request</v>
      </c>
    </row>
    <row r="444" spans="1:40" s="76" customFormat="1" ht="14.5" hidden="1" x14ac:dyDescent="0.35">
      <c r="A444" s="153" t="s">
        <v>1703</v>
      </c>
      <c r="B444" s="154">
        <v>21014</v>
      </c>
      <c r="C444" s="143" t="s">
        <v>4</v>
      </c>
      <c r="D444" s="144">
        <v>44323</v>
      </c>
      <c r="E444" s="145" t="s">
        <v>1476</v>
      </c>
      <c r="F444" s="145" t="s">
        <v>658</v>
      </c>
      <c r="G444" s="146" t="s">
        <v>1704</v>
      </c>
      <c r="H444" s="146" t="s">
        <v>1100</v>
      </c>
      <c r="I444" s="119" t="s">
        <v>2056</v>
      </c>
      <c r="J444" s="232"/>
      <c r="K444" s="145">
        <v>2105</v>
      </c>
      <c r="L444" s="145">
        <v>15099</v>
      </c>
      <c r="M444" s="147"/>
      <c r="N444" s="111" t="s">
        <v>1705</v>
      </c>
      <c r="O444" s="146" t="s">
        <v>28</v>
      </c>
      <c r="P444" s="146" t="s">
        <v>103</v>
      </c>
      <c r="Q444" s="232" t="s">
        <v>1517</v>
      </c>
      <c r="R444" s="146" t="s">
        <v>145</v>
      </c>
      <c r="S444" s="146"/>
      <c r="T444" s="232"/>
      <c r="U444" s="238"/>
      <c r="V444" s="158" t="s">
        <v>10</v>
      </c>
      <c r="W444" s="145"/>
      <c r="X444" s="143"/>
      <c r="Y444" s="144">
        <f t="shared" si="39"/>
        <v>44415</v>
      </c>
      <c r="Z444" s="235">
        <v>44404</v>
      </c>
      <c r="AA444" s="161" t="str">
        <f t="shared" ca="1" si="75"/>
        <v>YES</v>
      </c>
      <c r="AB444" s="113"/>
      <c r="AC444" s="232"/>
      <c r="AD444" s="232"/>
      <c r="AE444" s="232"/>
      <c r="AF444" s="114" t="str">
        <f t="shared" ca="1" si="76"/>
        <v>N/A</v>
      </c>
      <c r="AG444" s="197">
        <v>48</v>
      </c>
      <c r="AH444" s="197">
        <v>0</v>
      </c>
      <c r="AI444" s="196">
        <f t="shared" si="77"/>
        <v>48</v>
      </c>
      <c r="AJ444" s="148" t="s">
        <v>6</v>
      </c>
      <c r="AK444" s="187">
        <v>44860</v>
      </c>
      <c r="AL444" s="232"/>
      <c r="AM444" s="184" t="str">
        <f t="shared" si="74"/>
        <v>21014 Savola</v>
      </c>
      <c r="AN444" s="184" t="str">
        <f t="shared" si="78"/>
        <v>21014 Savola : Resin delivery in non neutral Big Bag</v>
      </c>
    </row>
    <row r="445" spans="1:40" s="76" customFormat="1" ht="14.5" hidden="1" x14ac:dyDescent="0.35">
      <c r="A445" s="153" t="s">
        <v>1706</v>
      </c>
      <c r="B445" s="154">
        <v>21015</v>
      </c>
      <c r="C445" s="143" t="s">
        <v>4</v>
      </c>
      <c r="D445" s="144">
        <v>44323</v>
      </c>
      <c r="E445" s="145" t="s">
        <v>1476</v>
      </c>
      <c r="F445" s="145" t="s">
        <v>658</v>
      </c>
      <c r="G445" s="146" t="s">
        <v>1707</v>
      </c>
      <c r="H445" s="146" t="s">
        <v>1708</v>
      </c>
      <c r="I445" s="119" t="s">
        <v>2056</v>
      </c>
      <c r="J445" s="232"/>
      <c r="K445" s="145"/>
      <c r="L445" s="152" t="s">
        <v>1709</v>
      </c>
      <c r="M445" s="147" t="s">
        <v>18</v>
      </c>
      <c r="N445" s="111" t="s">
        <v>1710</v>
      </c>
      <c r="O445" s="146" t="s">
        <v>28</v>
      </c>
      <c r="P445" s="146" t="s">
        <v>103</v>
      </c>
      <c r="Q445" s="232" t="s">
        <v>176</v>
      </c>
      <c r="R445" s="146" t="s">
        <v>145</v>
      </c>
      <c r="S445" s="146"/>
      <c r="T445" s="232"/>
      <c r="U445" s="238"/>
      <c r="V445" s="158" t="s">
        <v>10</v>
      </c>
      <c r="W445" s="145"/>
      <c r="X445" s="143"/>
      <c r="Y445" s="144">
        <f t="shared" si="39"/>
        <v>44415</v>
      </c>
      <c r="Z445" s="235">
        <v>44389</v>
      </c>
      <c r="AA445" s="161" t="str">
        <f t="shared" ca="1" si="75"/>
        <v>YES</v>
      </c>
      <c r="AB445" s="113"/>
      <c r="AC445" s="232"/>
      <c r="AD445" s="232"/>
      <c r="AE445" s="232"/>
      <c r="AF445" s="114" t="str">
        <f t="shared" ca="1" si="76"/>
        <v>N/A</v>
      </c>
      <c r="AG445" s="197">
        <v>0</v>
      </c>
      <c r="AH445" s="197">
        <v>700</v>
      </c>
      <c r="AI445" s="196">
        <f t="shared" si="77"/>
        <v>700</v>
      </c>
      <c r="AJ445" s="148" t="s">
        <v>6</v>
      </c>
      <c r="AK445" s="187">
        <v>44860</v>
      </c>
      <c r="AL445" s="232"/>
      <c r="AM445" s="184" t="str">
        <f t="shared" ref="AM445:AM450" si="79">CONCATENATE(B445," ",G445)</f>
        <v>21015 Nutribio</v>
      </c>
      <c r="AN445" s="184" t="str">
        <f t="shared" si="78"/>
        <v>21015 Nutribio : Late delivery NF membranes</v>
      </c>
    </row>
    <row r="446" spans="1:40" s="76" customFormat="1" ht="14.5" hidden="1" x14ac:dyDescent="0.35">
      <c r="A446" s="156" t="s">
        <v>1711</v>
      </c>
      <c r="B446" s="154">
        <v>21016</v>
      </c>
      <c r="C446" s="143" t="s">
        <v>4</v>
      </c>
      <c r="D446" s="144">
        <v>44349</v>
      </c>
      <c r="E446" s="145" t="s">
        <v>1083</v>
      </c>
      <c r="F446" s="145" t="s">
        <v>164</v>
      </c>
      <c r="G446" s="146" t="s">
        <v>1573</v>
      </c>
      <c r="H446" s="146" t="s">
        <v>433</v>
      </c>
      <c r="I446" s="119" t="s">
        <v>2056</v>
      </c>
      <c r="J446" s="232"/>
      <c r="K446" s="145">
        <v>2083</v>
      </c>
      <c r="L446" s="145">
        <v>13900</v>
      </c>
      <c r="M446" s="147" t="s">
        <v>13</v>
      </c>
      <c r="N446" s="146" t="s">
        <v>25</v>
      </c>
      <c r="O446" s="146" t="s">
        <v>29</v>
      </c>
      <c r="P446" s="146" t="s">
        <v>86</v>
      </c>
      <c r="Q446" s="232" t="s">
        <v>1026</v>
      </c>
      <c r="R446" s="146" t="s">
        <v>145</v>
      </c>
      <c r="S446" s="146"/>
      <c r="T446" s="232"/>
      <c r="U446" s="238"/>
      <c r="V446" s="158" t="s">
        <v>6</v>
      </c>
      <c r="W446" s="145" t="s">
        <v>1712</v>
      </c>
      <c r="X446" s="143">
        <v>44372</v>
      </c>
      <c r="Y446" s="144">
        <f t="shared" si="39"/>
        <v>44441</v>
      </c>
      <c r="Z446" s="235">
        <v>44441</v>
      </c>
      <c r="AA446" s="161" t="str">
        <f t="shared" ca="1" si="75"/>
        <v>YES</v>
      </c>
      <c r="AB446" s="113"/>
      <c r="AC446" s="232"/>
      <c r="AD446" s="232"/>
      <c r="AE446" s="232"/>
      <c r="AF446" s="114" t="str">
        <f t="shared" ca="1" si="76"/>
        <v>N/A</v>
      </c>
      <c r="AG446" s="197">
        <v>465</v>
      </c>
      <c r="AH446" s="197">
        <v>0</v>
      </c>
      <c r="AI446" s="196">
        <f t="shared" si="77"/>
        <v>465</v>
      </c>
      <c r="AJ446" s="237"/>
      <c r="AK446" s="70" t="s">
        <v>2045</v>
      </c>
      <c r="AL446" s="70" t="s">
        <v>1713</v>
      </c>
      <c r="AM446" s="184" t="str">
        <f t="shared" si="79"/>
        <v>21016 Cargill Butterfly</v>
      </c>
      <c r="AN446" s="184" t="str">
        <f t="shared" si="78"/>
        <v>21016 Cargill Butterfly : Rust on IEX columns</v>
      </c>
    </row>
    <row r="447" spans="1:40" s="76" customFormat="1" ht="14.5" hidden="1" x14ac:dyDescent="0.35">
      <c r="A447" s="153" t="s">
        <v>1714</v>
      </c>
      <c r="B447" s="154">
        <v>21017</v>
      </c>
      <c r="C447" s="143" t="s">
        <v>4</v>
      </c>
      <c r="D447" s="144">
        <v>44351</v>
      </c>
      <c r="E447" s="145" t="s">
        <v>1019</v>
      </c>
      <c r="F447" s="145" t="s">
        <v>658</v>
      </c>
      <c r="G447" s="146" t="s">
        <v>664</v>
      </c>
      <c r="H447" s="111" t="s">
        <v>1578</v>
      </c>
      <c r="I447" s="119" t="s">
        <v>5</v>
      </c>
      <c r="J447" s="70" t="s">
        <v>1332</v>
      </c>
      <c r="K447" s="145"/>
      <c r="L447" s="152" t="s">
        <v>1715</v>
      </c>
      <c r="M447" s="147" t="s">
        <v>18</v>
      </c>
      <c r="N447" s="146" t="s">
        <v>1716</v>
      </c>
      <c r="O447" s="146" t="s">
        <v>28</v>
      </c>
      <c r="P447" s="146" t="s">
        <v>103</v>
      </c>
      <c r="Q447" s="70" t="s">
        <v>1527</v>
      </c>
      <c r="R447" s="146" t="s">
        <v>145</v>
      </c>
      <c r="S447" s="146"/>
      <c r="T447" s="112" t="s">
        <v>1578</v>
      </c>
      <c r="U447" s="238"/>
      <c r="V447" s="158" t="s">
        <v>6</v>
      </c>
      <c r="W447" s="118" t="s">
        <v>1019</v>
      </c>
      <c r="X447" s="143">
        <v>44354</v>
      </c>
      <c r="Y447" s="144">
        <f t="shared" si="39"/>
        <v>44443</v>
      </c>
      <c r="Z447" s="235">
        <v>44497</v>
      </c>
      <c r="AA447" s="161" t="str">
        <f t="shared" ca="1" si="75"/>
        <v>NO</v>
      </c>
      <c r="AB447" s="200">
        <v>44347</v>
      </c>
      <c r="AC447" s="190">
        <v>44351</v>
      </c>
      <c r="AD447" s="235">
        <v>44500</v>
      </c>
      <c r="AE447" s="235">
        <v>44497</v>
      </c>
      <c r="AF447" s="114" t="str">
        <f t="shared" ca="1" si="76"/>
        <v>YES</v>
      </c>
      <c r="AG447" s="197">
        <v>282</v>
      </c>
      <c r="AH447" s="197">
        <v>0</v>
      </c>
      <c r="AI447" s="196">
        <f t="shared" si="77"/>
        <v>282</v>
      </c>
      <c r="AJ447" s="237" t="s">
        <v>10</v>
      </c>
      <c r="AK447" s="235">
        <v>44580</v>
      </c>
      <c r="AL447" s="232" t="s">
        <v>1717</v>
      </c>
      <c r="AM447" s="184" t="str">
        <f t="shared" si="79"/>
        <v xml:space="preserve">21017 TEREOS NESLE </v>
      </c>
      <c r="AN447" s="184" t="str">
        <f t="shared" si="78"/>
        <v>21017 TEREOS NESLE  : NF mbre performance out of specification at start up</v>
      </c>
    </row>
    <row r="448" spans="1:40" s="76" customFormat="1" ht="14.5" hidden="1" x14ac:dyDescent="0.35">
      <c r="A448" s="153" t="s">
        <v>1718</v>
      </c>
      <c r="B448" s="154">
        <v>21018</v>
      </c>
      <c r="C448" s="143" t="s">
        <v>4</v>
      </c>
      <c r="D448" s="144">
        <v>44354</v>
      </c>
      <c r="E448" s="145" t="s">
        <v>1083</v>
      </c>
      <c r="F448" s="145" t="s">
        <v>164</v>
      </c>
      <c r="G448" s="146" t="s">
        <v>1719</v>
      </c>
      <c r="H448" s="146" t="s">
        <v>1720</v>
      </c>
      <c r="I448" s="119" t="s">
        <v>2056</v>
      </c>
      <c r="J448" s="232"/>
      <c r="K448" s="145">
        <v>2113</v>
      </c>
      <c r="L448" s="145">
        <v>16807</v>
      </c>
      <c r="M448" s="147" t="s">
        <v>13</v>
      </c>
      <c r="N448" s="146" t="s">
        <v>1721</v>
      </c>
      <c r="O448" s="146" t="s">
        <v>29</v>
      </c>
      <c r="P448" s="146" t="s">
        <v>176</v>
      </c>
      <c r="Q448" s="147" t="s">
        <v>1722</v>
      </c>
      <c r="R448" s="146" t="s">
        <v>9</v>
      </c>
      <c r="S448" s="146"/>
      <c r="T448" s="232"/>
      <c r="U448" s="238"/>
      <c r="V448" s="158" t="s">
        <v>6</v>
      </c>
      <c r="W448" s="145" t="s">
        <v>1083</v>
      </c>
      <c r="X448" s="143">
        <v>44356</v>
      </c>
      <c r="Y448" s="144">
        <f t="shared" si="39"/>
        <v>44446</v>
      </c>
      <c r="Z448" s="235">
        <v>44441</v>
      </c>
      <c r="AA448" s="161" t="str">
        <f t="shared" ca="1" si="75"/>
        <v>YES</v>
      </c>
      <c r="AB448" s="113"/>
      <c r="AC448" s="232"/>
      <c r="AD448" s="232"/>
      <c r="AE448" s="232"/>
      <c r="AF448" s="114" t="str">
        <f t="shared" ca="1" si="76"/>
        <v>N/A</v>
      </c>
      <c r="AG448" s="197">
        <v>282</v>
      </c>
      <c r="AH448" s="197">
        <v>0</v>
      </c>
      <c r="AI448" s="196">
        <f t="shared" si="77"/>
        <v>282</v>
      </c>
      <c r="AJ448" s="148" t="s">
        <v>6</v>
      </c>
      <c r="AK448" s="235">
        <v>44874</v>
      </c>
      <c r="AL448" s="232"/>
      <c r="AM448" s="184" t="str">
        <f t="shared" si="79"/>
        <v>21018 Sucro</v>
      </c>
      <c r="AN448" s="184" t="str">
        <f t="shared" si="78"/>
        <v>21018 Sucro : Resin order not received by Dow</v>
      </c>
    </row>
    <row r="449" spans="1:40" s="76" customFormat="1" ht="14.5" hidden="1" x14ac:dyDescent="0.35">
      <c r="A449" s="153" t="s">
        <v>1723</v>
      </c>
      <c r="B449" s="154">
        <v>21019</v>
      </c>
      <c r="C449" s="143" t="s">
        <v>8</v>
      </c>
      <c r="D449" s="144">
        <v>44362</v>
      </c>
      <c r="E449" s="145" t="s">
        <v>1724</v>
      </c>
      <c r="F449" s="145" t="s">
        <v>164</v>
      </c>
      <c r="G449" s="146" t="s">
        <v>1725</v>
      </c>
      <c r="H449" s="146" t="s">
        <v>1726</v>
      </c>
      <c r="I449" s="119" t="s">
        <v>2056</v>
      </c>
      <c r="J449" s="232"/>
      <c r="K449" s="145">
        <v>2108</v>
      </c>
      <c r="L449" s="145">
        <v>16789</v>
      </c>
      <c r="M449" s="147" t="s">
        <v>13</v>
      </c>
      <c r="N449" s="146" t="s">
        <v>1727</v>
      </c>
      <c r="O449" s="146" t="s">
        <v>29</v>
      </c>
      <c r="P449" s="146" t="s">
        <v>86</v>
      </c>
      <c r="Q449" s="232" t="s">
        <v>1629</v>
      </c>
      <c r="R449" s="146" t="s">
        <v>145</v>
      </c>
      <c r="S449" s="146"/>
      <c r="T449" s="232"/>
      <c r="U449" s="238"/>
      <c r="V449" s="158" t="s">
        <v>6</v>
      </c>
      <c r="W449" s="145" t="s">
        <v>993</v>
      </c>
      <c r="X449" s="143">
        <v>44360</v>
      </c>
      <c r="Y449" s="144">
        <f t="shared" si="39"/>
        <v>44454</v>
      </c>
      <c r="Z449" s="235">
        <v>44362</v>
      </c>
      <c r="AA449" s="161" t="str">
        <f t="shared" ca="1" si="75"/>
        <v>YES</v>
      </c>
      <c r="AB449" s="113"/>
      <c r="AC449" s="232"/>
      <c r="AD449" s="232"/>
      <c r="AE449" s="232"/>
      <c r="AF449" s="114" t="str">
        <f t="shared" ref="AF449:AF454" ca="1" si="80">IF(I449="Claim",IF(AD449="","",IF(AE449="",IF(TODAY()&gt;AD449,"NO","YES"),IF(AE449&gt;AD449,"NO",IF(AE449&lt;AD449,"YES",IF(AD449=AE449,"YES","N/A"))))),"N/A")</f>
        <v>N/A</v>
      </c>
      <c r="AG449" s="197">
        <v>182.5</v>
      </c>
      <c r="AH449" s="197">
        <v>0</v>
      </c>
      <c r="AI449" s="196">
        <f t="shared" ref="AI449:AI454" si="81">AH449+AG449</f>
        <v>182.5</v>
      </c>
      <c r="AJ449" s="237"/>
      <c r="AK449" s="232"/>
      <c r="AL449" s="232"/>
      <c r="AM449" s="184" t="str">
        <f t="shared" si="79"/>
        <v>21019 Jindan</v>
      </c>
      <c r="AN449" s="184" t="str">
        <f t="shared" ref="AN449:AN454" si="82">CONCATENATE(B449," ",G449," : ",N449)</f>
        <v>21019 Jindan : wrong internal chord length of valve disc</v>
      </c>
    </row>
    <row r="450" spans="1:40" s="76" customFormat="1" ht="14.5" hidden="1" x14ac:dyDescent="0.35">
      <c r="A450" s="156" t="s">
        <v>1728</v>
      </c>
      <c r="B450" s="154">
        <v>21020</v>
      </c>
      <c r="C450" s="143" t="s">
        <v>8</v>
      </c>
      <c r="D450" s="144">
        <v>44389</v>
      </c>
      <c r="E450" s="145" t="s">
        <v>1664</v>
      </c>
      <c r="F450" s="145" t="s">
        <v>164</v>
      </c>
      <c r="G450" s="146" t="s">
        <v>1729</v>
      </c>
      <c r="H450" s="146" t="s">
        <v>616</v>
      </c>
      <c r="I450" s="119" t="s">
        <v>5</v>
      </c>
      <c r="J450" s="232"/>
      <c r="K450" s="145">
        <v>2101</v>
      </c>
      <c r="L450" s="145">
        <v>16382</v>
      </c>
      <c r="M450" s="147" t="s">
        <v>13</v>
      </c>
      <c r="N450" s="146" t="s">
        <v>1730</v>
      </c>
      <c r="O450" s="146" t="s">
        <v>29</v>
      </c>
      <c r="P450" s="146" t="s">
        <v>86</v>
      </c>
      <c r="Q450" s="232" t="s">
        <v>510</v>
      </c>
      <c r="R450" s="146" t="s">
        <v>9</v>
      </c>
      <c r="S450" s="146"/>
      <c r="T450" s="232"/>
      <c r="U450" s="238"/>
      <c r="V450" s="158" t="s">
        <v>6</v>
      </c>
      <c r="W450" s="145" t="s">
        <v>1664</v>
      </c>
      <c r="X450" s="143">
        <v>44388</v>
      </c>
      <c r="Y450" s="144">
        <f t="shared" si="39"/>
        <v>44481</v>
      </c>
      <c r="Z450" s="235">
        <v>44466</v>
      </c>
      <c r="AA450" s="161" t="str">
        <f t="shared" ref="AA450:AA455" ca="1" si="83">IF(Z450="",IF(TODAY()&gt;Y450,"NO","YES"),IF(Z450&gt;Y450,"NO",IF(Z450&lt;Y450,"YES",IF(Y450=Z450,"YES","N/A"))))</f>
        <v>YES</v>
      </c>
      <c r="AB450" s="201">
        <v>44375</v>
      </c>
      <c r="AC450" s="190">
        <v>44376</v>
      </c>
      <c r="AD450" s="235">
        <v>44561</v>
      </c>
      <c r="AE450" s="235">
        <v>44466</v>
      </c>
      <c r="AF450" s="114" t="str">
        <f t="shared" ca="1" si="80"/>
        <v>YES</v>
      </c>
      <c r="AG450" s="197">
        <v>365</v>
      </c>
      <c r="AH450" s="197"/>
      <c r="AI450" s="196">
        <f t="shared" si="81"/>
        <v>365</v>
      </c>
      <c r="AJ450" s="237"/>
      <c r="AK450" s="232"/>
      <c r="AL450" s="232"/>
      <c r="AM450" s="184" t="str">
        <f t="shared" si="79"/>
        <v>21020 Cargill MicroBA</v>
      </c>
      <c r="AN450" s="184" t="str">
        <f t="shared" si="82"/>
        <v>21020 Cargill MicroBA : packing &amp; saddles and lifting issue</v>
      </c>
    </row>
    <row r="451" spans="1:40" ht="14.5" hidden="1" x14ac:dyDescent="0.35">
      <c r="A451" s="153" t="s">
        <v>1731</v>
      </c>
      <c r="B451" s="154">
        <v>21021</v>
      </c>
      <c r="C451" s="143" t="s">
        <v>4</v>
      </c>
      <c r="D451" s="144">
        <v>44432</v>
      </c>
      <c r="E451" s="145" t="s">
        <v>1019</v>
      </c>
      <c r="F451" s="145" t="s">
        <v>658</v>
      </c>
      <c r="G451" s="111" t="s">
        <v>1732</v>
      </c>
      <c r="H451" s="146" t="s">
        <v>1733</v>
      </c>
      <c r="I451" s="119" t="s">
        <v>5</v>
      </c>
      <c r="J451" s="232"/>
      <c r="K451" s="145" t="s">
        <v>1666</v>
      </c>
      <c r="L451" s="145">
        <v>15842</v>
      </c>
      <c r="M451" s="147" t="s">
        <v>13</v>
      </c>
      <c r="N451" s="146" t="s">
        <v>1734</v>
      </c>
      <c r="O451" s="146" t="s">
        <v>28</v>
      </c>
      <c r="P451" s="146" t="s">
        <v>103</v>
      </c>
      <c r="Q451" s="232" t="s">
        <v>1527</v>
      </c>
      <c r="R451" s="146" t="s">
        <v>145</v>
      </c>
      <c r="S451" s="146"/>
      <c r="T451" s="232"/>
      <c r="U451" s="232"/>
      <c r="V451" s="158" t="s">
        <v>6</v>
      </c>
      <c r="W451" s="145" t="s">
        <v>221</v>
      </c>
      <c r="X451" s="143">
        <v>44433</v>
      </c>
      <c r="Y451" s="144">
        <f t="shared" si="39"/>
        <v>44524</v>
      </c>
      <c r="Z451" s="235">
        <v>45268</v>
      </c>
      <c r="AA451" s="161" t="str">
        <f t="shared" ca="1" si="83"/>
        <v>NO</v>
      </c>
      <c r="AB451" s="246">
        <v>44428</v>
      </c>
      <c r="AC451" s="190">
        <v>44434</v>
      </c>
      <c r="AD451" s="235">
        <v>44742</v>
      </c>
      <c r="AE451" s="235">
        <v>45268</v>
      </c>
      <c r="AF451" s="114" t="str">
        <f t="shared" ca="1" si="80"/>
        <v>NO</v>
      </c>
      <c r="AG451" s="197">
        <v>53279</v>
      </c>
      <c r="AH451" s="197">
        <v>99041</v>
      </c>
      <c r="AI451" s="196">
        <f t="shared" si="81"/>
        <v>152320</v>
      </c>
      <c r="AJ451" s="237"/>
      <c r="AK451" s="232"/>
      <c r="AL451" s="232"/>
      <c r="AM451" s="184" t="str">
        <f t="shared" ref="AM451:AM457" si="84">CONCATENATE(B451," ",G451)</f>
        <v>21021 Cargill Haubourdin</v>
      </c>
      <c r="AN451" s="184" t="str">
        <f t="shared" si="82"/>
        <v>21021 Cargill Haubourdin : Resin leakage : EPDM gasket pb, rubber lining pb</v>
      </c>
    </row>
    <row r="452" spans="1:40" s="76" customFormat="1" ht="14.5" hidden="1" x14ac:dyDescent="0.35">
      <c r="A452" s="153" t="s">
        <v>1735</v>
      </c>
      <c r="B452" s="154">
        <v>21022</v>
      </c>
      <c r="C452" s="143" t="s">
        <v>4</v>
      </c>
      <c r="D452" s="144">
        <v>44433</v>
      </c>
      <c r="E452" s="145" t="s">
        <v>1019</v>
      </c>
      <c r="F452" s="145" t="s">
        <v>658</v>
      </c>
      <c r="G452" s="146" t="s">
        <v>1736</v>
      </c>
      <c r="H452" s="146" t="s">
        <v>1041</v>
      </c>
      <c r="I452" s="119" t="s">
        <v>2056</v>
      </c>
      <c r="J452" s="70" t="s">
        <v>1332</v>
      </c>
      <c r="K452" s="145"/>
      <c r="L452" s="145" t="s">
        <v>1737</v>
      </c>
      <c r="M452" s="147" t="s">
        <v>13</v>
      </c>
      <c r="N452" s="146" t="s">
        <v>1738</v>
      </c>
      <c r="O452" s="146" t="s">
        <v>28</v>
      </c>
      <c r="P452" s="146" t="s">
        <v>103</v>
      </c>
      <c r="Q452" s="232" t="s">
        <v>510</v>
      </c>
      <c r="R452" s="146" t="s">
        <v>145</v>
      </c>
      <c r="S452" s="146"/>
      <c r="T452" s="112" t="s">
        <v>1394</v>
      </c>
      <c r="U452" s="238"/>
      <c r="V452" s="158" t="s">
        <v>10</v>
      </c>
      <c r="W452" s="145"/>
      <c r="X452" s="143"/>
      <c r="Y452" s="144">
        <f t="shared" si="39"/>
        <v>44525</v>
      </c>
      <c r="Z452" s="235">
        <v>44502</v>
      </c>
      <c r="AA452" s="161" t="str">
        <f t="shared" ca="1" si="83"/>
        <v>YES</v>
      </c>
      <c r="AB452" s="113"/>
      <c r="AC452" s="232"/>
      <c r="AD452" s="232"/>
      <c r="AE452" s="232"/>
      <c r="AF452" s="114" t="str">
        <f t="shared" ca="1" si="80"/>
        <v>N/A</v>
      </c>
      <c r="AG452" s="197">
        <v>190</v>
      </c>
      <c r="AH452" s="197">
        <v>0</v>
      </c>
      <c r="AI452" s="196">
        <f t="shared" si="81"/>
        <v>190</v>
      </c>
      <c r="AJ452" s="148" t="s">
        <v>6</v>
      </c>
      <c r="AK452" s="235">
        <v>44860</v>
      </c>
      <c r="AL452" s="232"/>
      <c r="AM452" s="184" t="str">
        <f t="shared" si="84"/>
        <v>21022 Hochdorf Swiss Nutrition AG</v>
      </c>
      <c r="AN452" s="184" t="str">
        <f t="shared" si="82"/>
        <v>21022 Hochdorf Swiss Nutrition AG : No resins relabelling by our Logistic Supplier</v>
      </c>
    </row>
    <row r="453" spans="1:40" s="76" customFormat="1" ht="14.5" hidden="1" x14ac:dyDescent="0.35">
      <c r="A453" s="202"/>
      <c r="B453" s="154">
        <v>21023</v>
      </c>
      <c r="C453" s="143" t="s">
        <v>8</v>
      </c>
      <c r="D453" s="144">
        <v>44445</v>
      </c>
      <c r="E453" s="145" t="s">
        <v>1739</v>
      </c>
      <c r="F453" s="145" t="s">
        <v>164</v>
      </c>
      <c r="G453" s="146" t="s">
        <v>1740</v>
      </c>
      <c r="H453" s="146"/>
      <c r="I453" s="119" t="s">
        <v>2057</v>
      </c>
      <c r="J453" s="232"/>
      <c r="K453" s="145">
        <v>2007</v>
      </c>
      <c r="L453" s="145">
        <v>11179</v>
      </c>
      <c r="M453" s="147" t="s">
        <v>338</v>
      </c>
      <c r="N453" s="111" t="s">
        <v>1741</v>
      </c>
      <c r="O453" s="146" t="s">
        <v>29</v>
      </c>
      <c r="P453" s="146" t="s">
        <v>1742</v>
      </c>
      <c r="Q453" s="232"/>
      <c r="R453" s="146" t="s">
        <v>1552</v>
      </c>
      <c r="S453" s="146"/>
      <c r="T453" s="232"/>
      <c r="U453" s="79"/>
      <c r="V453" s="145" t="s">
        <v>10</v>
      </c>
      <c r="W453" s="143" t="s">
        <v>1739</v>
      </c>
      <c r="X453" s="144"/>
      <c r="Y453" s="240">
        <f t="shared" si="39"/>
        <v>44536</v>
      </c>
      <c r="Z453" s="161" t="s">
        <v>1743</v>
      </c>
      <c r="AA453" s="203" t="str">
        <f t="shared" ca="1" si="83"/>
        <v>NO</v>
      </c>
      <c r="AB453" s="70"/>
      <c r="AC453" s="235"/>
      <c r="AD453" s="232"/>
      <c r="AE453" s="114"/>
      <c r="AF453" s="197" t="str">
        <f t="shared" ca="1" si="80"/>
        <v>N/A</v>
      </c>
      <c r="AG453" s="197"/>
      <c r="AH453" s="196"/>
      <c r="AI453" s="237">
        <f t="shared" si="81"/>
        <v>0</v>
      </c>
      <c r="AJ453" s="232"/>
      <c r="AK453" s="232"/>
      <c r="AL453" s="184"/>
      <c r="AM453" s="184" t="str">
        <f t="shared" si="84"/>
        <v>21023 Fufeng Zhalantun</v>
      </c>
      <c r="AN453" s="114" t="str">
        <f t="shared" si="82"/>
        <v>21023 Fufeng Zhalantun : Financial unbalance caused by closed project purchase</v>
      </c>
    </row>
    <row r="454" spans="1:40" s="76" customFormat="1" ht="14.5" hidden="1" x14ac:dyDescent="0.35">
      <c r="A454" s="153" t="s">
        <v>1744</v>
      </c>
      <c r="B454" s="154">
        <v>21024</v>
      </c>
      <c r="C454" s="143" t="s">
        <v>8</v>
      </c>
      <c r="D454" s="144">
        <v>44461</v>
      </c>
      <c r="E454" s="145" t="s">
        <v>1745</v>
      </c>
      <c r="F454" s="145" t="s">
        <v>1699</v>
      </c>
      <c r="G454" s="146" t="s">
        <v>1746</v>
      </c>
      <c r="H454" s="146" t="s">
        <v>357</v>
      </c>
      <c r="I454" s="119" t="s">
        <v>5</v>
      </c>
      <c r="J454" s="232"/>
      <c r="K454" s="145">
        <v>75</v>
      </c>
      <c r="L454" s="145">
        <v>2253</v>
      </c>
      <c r="M454" s="147" t="s">
        <v>338</v>
      </c>
      <c r="N454" s="111" t="s">
        <v>1747</v>
      </c>
      <c r="O454" s="146" t="s">
        <v>28</v>
      </c>
      <c r="P454" s="146" t="s">
        <v>103</v>
      </c>
      <c r="Q454" s="232" t="s">
        <v>1527</v>
      </c>
      <c r="R454" s="146" t="s">
        <v>145</v>
      </c>
      <c r="S454" s="146"/>
      <c r="T454" s="112" t="s">
        <v>357</v>
      </c>
      <c r="U454" s="238"/>
      <c r="V454" s="158" t="s">
        <v>6</v>
      </c>
      <c r="W454" s="145" t="s">
        <v>1745</v>
      </c>
      <c r="X454" s="143">
        <v>44459</v>
      </c>
      <c r="Y454" s="144">
        <f t="shared" si="39"/>
        <v>44552</v>
      </c>
      <c r="Z454" s="235">
        <v>44560</v>
      </c>
      <c r="AA454" s="161" t="str">
        <f t="shared" ca="1" si="83"/>
        <v>NO</v>
      </c>
      <c r="AB454" s="168">
        <v>44457</v>
      </c>
      <c r="AC454" s="232"/>
      <c r="AD454" s="235" t="s">
        <v>1748</v>
      </c>
      <c r="AE454" s="235">
        <v>44560</v>
      </c>
      <c r="AF454" s="114" t="str">
        <f t="shared" ca="1" si="80"/>
        <v>YES</v>
      </c>
      <c r="AG454" s="197">
        <v>2008</v>
      </c>
      <c r="AH454" s="197">
        <v>32250</v>
      </c>
      <c r="AI454" s="196">
        <f t="shared" si="81"/>
        <v>34258</v>
      </c>
      <c r="AJ454" s="237"/>
      <c r="AK454" s="232"/>
      <c r="AL454" s="232"/>
      <c r="AM454" s="184" t="str">
        <f t="shared" si="84"/>
        <v>21024 Fufeng Longjiang</v>
      </c>
      <c r="AN454" s="184" t="str">
        <f t="shared" si="82"/>
        <v>21024 Fufeng Longjiang : membrane breakage issue</v>
      </c>
    </row>
    <row r="455" spans="1:40" ht="14.5" hidden="1" x14ac:dyDescent="0.35">
      <c r="A455" s="78" t="s">
        <v>1749</v>
      </c>
      <c r="B455" s="154">
        <v>21025</v>
      </c>
      <c r="C455" s="143" t="s">
        <v>4</v>
      </c>
      <c r="D455" s="144">
        <v>44466</v>
      </c>
      <c r="E455" s="145" t="s">
        <v>221</v>
      </c>
      <c r="F455" s="145" t="s">
        <v>658</v>
      </c>
      <c r="G455" s="146" t="s">
        <v>602</v>
      </c>
      <c r="H455" s="146" t="s">
        <v>1100</v>
      </c>
      <c r="I455" s="119" t="s">
        <v>2057</v>
      </c>
      <c r="J455" s="232"/>
      <c r="K455" s="145"/>
      <c r="L455" s="152" t="s">
        <v>1700</v>
      </c>
      <c r="M455" s="147" t="s">
        <v>672</v>
      </c>
      <c r="N455" s="111" t="s">
        <v>1750</v>
      </c>
      <c r="O455" s="146" t="s">
        <v>28</v>
      </c>
      <c r="P455" s="146" t="s">
        <v>103</v>
      </c>
      <c r="Q455" s="70" t="s">
        <v>176</v>
      </c>
      <c r="R455" s="111" t="s">
        <v>15</v>
      </c>
      <c r="S455" s="146"/>
      <c r="T455" s="232"/>
      <c r="U455" s="238"/>
      <c r="V455" s="158" t="s">
        <v>10</v>
      </c>
      <c r="W455" s="145"/>
      <c r="X455" s="143"/>
      <c r="Y455" s="144">
        <f t="shared" ref="Y455:Y478" si="85">EDATE(D455,3)</f>
        <v>44557</v>
      </c>
      <c r="Z455" s="235">
        <v>44902</v>
      </c>
      <c r="AA455" s="161" t="str">
        <f t="shared" ca="1" si="83"/>
        <v>NO</v>
      </c>
      <c r="AB455" s="113"/>
      <c r="AC455" s="232"/>
      <c r="AD455" s="232"/>
      <c r="AE455" s="232"/>
      <c r="AF455" s="114" t="str">
        <f t="shared" ref="AF455:AF460" ca="1" si="86">IF(I455="Claim",IF(AD455="","",IF(AE455="",IF(TODAY()&gt;AD455,"NO","YES"),IF(AE455&gt;AD455,"NO",IF(AE455&lt;AD455,"YES",IF(AD455=AE455,"YES","N/A"))))),"N/A")</f>
        <v>N/A</v>
      </c>
      <c r="AG455" s="197">
        <v>1425</v>
      </c>
      <c r="AH455" s="197">
        <v>16388</v>
      </c>
      <c r="AI455" s="196">
        <f t="shared" ref="AI455:AI460" si="87">AH455+AG455</f>
        <v>17813</v>
      </c>
      <c r="AJ455" s="237" t="s">
        <v>6</v>
      </c>
      <c r="AK455" s="187">
        <v>45236</v>
      </c>
      <c r="AL455" s="232"/>
      <c r="AM455" s="184" t="str">
        <f t="shared" si="84"/>
        <v>21025 Cevital</v>
      </c>
      <c r="AN455" s="184" t="str">
        <f t="shared" ref="AN455:AN460" si="88">CONCATENATE(B455," ",G455," : ",N455)</f>
        <v>21025 Cevital : European origin goods</v>
      </c>
    </row>
    <row r="456" spans="1:40" s="76" customFormat="1" ht="14.5" hidden="1" x14ac:dyDescent="0.35">
      <c r="A456" s="153" t="s">
        <v>1751</v>
      </c>
      <c r="B456" s="154">
        <v>21026</v>
      </c>
      <c r="C456" s="143" t="s">
        <v>4</v>
      </c>
      <c r="D456" s="144">
        <v>44467</v>
      </c>
      <c r="E456" s="145" t="s">
        <v>1396</v>
      </c>
      <c r="F456" s="145" t="s">
        <v>164</v>
      </c>
      <c r="G456" s="146" t="s">
        <v>1752</v>
      </c>
      <c r="H456" s="146"/>
      <c r="I456" s="119" t="s">
        <v>2057</v>
      </c>
      <c r="J456" s="232"/>
      <c r="K456" s="145">
        <v>2116</v>
      </c>
      <c r="L456" s="145">
        <v>16253</v>
      </c>
      <c r="M456" s="147" t="s">
        <v>700</v>
      </c>
      <c r="N456" s="146" t="s">
        <v>1753</v>
      </c>
      <c r="O456" s="146" t="s">
        <v>29</v>
      </c>
      <c r="P456" s="146" t="s">
        <v>86</v>
      </c>
      <c r="Q456" s="232" t="s">
        <v>1754</v>
      </c>
      <c r="R456" s="146" t="s">
        <v>9</v>
      </c>
      <c r="S456" s="146"/>
      <c r="T456" s="232"/>
      <c r="U456" s="238"/>
      <c r="V456" s="158" t="s">
        <v>6</v>
      </c>
      <c r="W456" s="145" t="s">
        <v>1396</v>
      </c>
      <c r="X456" s="143">
        <v>44474</v>
      </c>
      <c r="Y456" s="144">
        <f t="shared" si="85"/>
        <v>44558</v>
      </c>
      <c r="Z456" s="235">
        <v>44533</v>
      </c>
      <c r="AA456" s="161" t="str">
        <f t="shared" ref="AA456:AA462" ca="1" si="89">IF(Z456="",IF(TODAY()&gt;Y456,"NO","YES"),IF(Z456&gt;Y456,"NO",IF(Z456&lt;Y456,"YES",IF(Y456=Z456,"YES","N/A"))))</f>
        <v>YES</v>
      </c>
      <c r="AB456" s="113"/>
      <c r="AC456" s="232"/>
      <c r="AD456" s="232"/>
      <c r="AE456" s="232"/>
      <c r="AF456" s="114" t="str">
        <f t="shared" ca="1" si="86"/>
        <v>N/A</v>
      </c>
      <c r="AG456" s="197">
        <v>0</v>
      </c>
      <c r="AH456" s="197">
        <v>200261.5</v>
      </c>
      <c r="AI456" s="196">
        <f t="shared" si="87"/>
        <v>200261.5</v>
      </c>
      <c r="AJ456" s="237" t="s">
        <v>6</v>
      </c>
      <c r="AK456" s="187">
        <v>45240</v>
      </c>
      <c r="AL456" s="232"/>
      <c r="AM456" s="184" t="str">
        <f t="shared" si="84"/>
        <v>21026 Bonumose</v>
      </c>
      <c r="AN456" s="184" t="str">
        <f t="shared" si="88"/>
        <v>21026 Bonumose : Extra cost for heating system</v>
      </c>
    </row>
    <row r="457" spans="1:40" s="76" customFormat="1" ht="14.5" hidden="1" x14ac:dyDescent="0.35">
      <c r="A457" s="153" t="s">
        <v>1755</v>
      </c>
      <c r="B457" s="154">
        <v>21027</v>
      </c>
      <c r="C457" s="143" t="s">
        <v>4</v>
      </c>
      <c r="D457" s="144">
        <v>44467</v>
      </c>
      <c r="E457" s="145" t="s">
        <v>1396</v>
      </c>
      <c r="F457" s="145" t="s">
        <v>164</v>
      </c>
      <c r="G457" s="146" t="s">
        <v>1752</v>
      </c>
      <c r="H457" s="146"/>
      <c r="I457" s="119" t="s">
        <v>2057</v>
      </c>
      <c r="J457" s="232"/>
      <c r="K457" s="145">
        <v>2116</v>
      </c>
      <c r="L457" s="145">
        <v>16253</v>
      </c>
      <c r="M457" s="147" t="s">
        <v>700</v>
      </c>
      <c r="N457" s="146" t="s">
        <v>1756</v>
      </c>
      <c r="O457" s="146" t="s">
        <v>29</v>
      </c>
      <c r="P457" s="146" t="s">
        <v>86</v>
      </c>
      <c r="Q457" s="232" t="s">
        <v>1754</v>
      </c>
      <c r="R457" s="146" t="s">
        <v>9</v>
      </c>
      <c r="S457" s="146"/>
      <c r="T457" s="232"/>
      <c r="U457" s="238"/>
      <c r="V457" s="158" t="s">
        <v>10</v>
      </c>
      <c r="W457" s="145"/>
      <c r="X457" s="143"/>
      <c r="Y457" s="144">
        <f t="shared" si="85"/>
        <v>44558</v>
      </c>
      <c r="Z457" s="235">
        <v>44533</v>
      </c>
      <c r="AA457" s="161" t="str">
        <f t="shared" ca="1" si="89"/>
        <v>YES</v>
      </c>
      <c r="AB457" s="113"/>
      <c r="AC457" s="232"/>
      <c r="AD457" s="232"/>
      <c r="AE457" s="232"/>
      <c r="AF457" s="114" t="str">
        <f t="shared" ca="1" si="86"/>
        <v>N/A</v>
      </c>
      <c r="AG457" s="197">
        <v>1900</v>
      </c>
      <c r="AH457" s="197">
        <v>40000</v>
      </c>
      <c r="AI457" s="196">
        <f t="shared" si="87"/>
        <v>41900</v>
      </c>
      <c r="AJ457" s="237" t="s">
        <v>6</v>
      </c>
      <c r="AK457" s="187">
        <v>45240</v>
      </c>
      <c r="AL457" s="232"/>
      <c r="AM457" s="184" t="str">
        <f t="shared" si="84"/>
        <v>21027 Bonumose</v>
      </c>
      <c r="AN457" s="184" t="str">
        <f t="shared" si="88"/>
        <v>21027 Bonumose : Extra cost for UF unit</v>
      </c>
    </row>
    <row r="458" spans="1:40" s="76" customFormat="1" ht="14.5" hidden="1" x14ac:dyDescent="0.35">
      <c r="A458" s="153" t="s">
        <v>1757</v>
      </c>
      <c r="B458" s="154">
        <v>21028</v>
      </c>
      <c r="C458" s="143" t="s">
        <v>4</v>
      </c>
      <c r="D458" s="144">
        <v>44469</v>
      </c>
      <c r="E458" s="145" t="s">
        <v>1396</v>
      </c>
      <c r="F458" s="145" t="s">
        <v>164</v>
      </c>
      <c r="G458" s="146" t="s">
        <v>1758</v>
      </c>
      <c r="H458" s="146"/>
      <c r="I458" s="119" t="s">
        <v>2057</v>
      </c>
      <c r="J458" s="232"/>
      <c r="K458" s="145">
        <v>2105</v>
      </c>
      <c r="L458" s="145">
        <v>15099</v>
      </c>
      <c r="M458" s="147" t="s">
        <v>672</v>
      </c>
      <c r="N458" s="146" t="s">
        <v>1759</v>
      </c>
      <c r="O458" s="146" t="s">
        <v>29</v>
      </c>
      <c r="P458" s="146" t="s">
        <v>86</v>
      </c>
      <c r="Q458" s="232" t="s">
        <v>1036</v>
      </c>
      <c r="R458" s="146" t="s">
        <v>9</v>
      </c>
      <c r="S458" s="146"/>
      <c r="T458" s="232"/>
      <c r="U458" s="238"/>
      <c r="V458" s="158" t="s">
        <v>6</v>
      </c>
      <c r="W458" s="145" t="s">
        <v>1760</v>
      </c>
      <c r="X458" s="143">
        <v>44475</v>
      </c>
      <c r="Y458" s="144">
        <f t="shared" si="85"/>
        <v>44560</v>
      </c>
      <c r="Z458" s="235">
        <v>44546</v>
      </c>
      <c r="AA458" s="161" t="str">
        <f t="shared" ca="1" si="89"/>
        <v>YES</v>
      </c>
      <c r="AB458" s="113"/>
      <c r="AC458" s="232"/>
      <c r="AD458" s="232"/>
      <c r="AE458" s="232"/>
      <c r="AF458" s="114" t="str">
        <f t="shared" ca="1" si="86"/>
        <v>N/A</v>
      </c>
      <c r="AG458" s="197">
        <v>1045</v>
      </c>
      <c r="AH458" s="197">
        <v>4050</v>
      </c>
      <c r="AI458" s="196">
        <f t="shared" si="87"/>
        <v>5095</v>
      </c>
      <c r="AJ458" s="148" t="s">
        <v>6</v>
      </c>
      <c r="AK458" s="235">
        <v>44874</v>
      </c>
      <c r="AL458" s="232"/>
      <c r="AM458" s="184" t="str">
        <f t="shared" ref="AM458:AM463" si="90">CONCATENATE(B458," ",G458)</f>
        <v xml:space="preserve">21028 Savola </v>
      </c>
      <c r="AN458" s="184" t="str">
        <f t="shared" si="88"/>
        <v>21028 Savola  : NF Skid level in tank and counterpressure</v>
      </c>
    </row>
    <row r="459" spans="1:40" s="76" customFormat="1" ht="14.5" hidden="1" x14ac:dyDescent="0.35">
      <c r="A459" s="153" t="s">
        <v>1761</v>
      </c>
      <c r="B459" s="154">
        <v>21029</v>
      </c>
      <c r="C459" s="143" t="s">
        <v>4</v>
      </c>
      <c r="D459" s="144">
        <v>44473</v>
      </c>
      <c r="E459" s="145" t="s">
        <v>1575</v>
      </c>
      <c r="F459" s="145" t="s">
        <v>164</v>
      </c>
      <c r="G459" s="146" t="s">
        <v>1499</v>
      </c>
      <c r="H459" s="146" t="s">
        <v>1762</v>
      </c>
      <c r="I459" s="119" t="s">
        <v>2057</v>
      </c>
      <c r="J459" s="232"/>
      <c r="K459" s="145" t="s">
        <v>1763</v>
      </c>
      <c r="L459" s="145">
        <v>15457</v>
      </c>
      <c r="M459" s="147" t="s">
        <v>13</v>
      </c>
      <c r="N459" s="111" t="s">
        <v>1764</v>
      </c>
      <c r="O459" s="146" t="s">
        <v>28</v>
      </c>
      <c r="P459" s="146" t="s">
        <v>86</v>
      </c>
      <c r="Q459" s="232" t="s">
        <v>885</v>
      </c>
      <c r="R459" s="146" t="s">
        <v>9</v>
      </c>
      <c r="S459" s="146"/>
      <c r="T459" s="232"/>
      <c r="U459" s="238"/>
      <c r="V459" s="158" t="s">
        <v>6</v>
      </c>
      <c r="W459" s="145" t="s">
        <v>120</v>
      </c>
      <c r="X459" s="143">
        <v>44481</v>
      </c>
      <c r="Y459" s="144">
        <f t="shared" si="85"/>
        <v>44565</v>
      </c>
      <c r="Z459" s="235">
        <v>44532</v>
      </c>
      <c r="AA459" s="161" t="str">
        <f t="shared" ca="1" si="89"/>
        <v>YES</v>
      </c>
      <c r="AB459" s="113"/>
      <c r="AC459" s="232"/>
      <c r="AD459" s="232"/>
      <c r="AE459" s="232"/>
      <c r="AF459" s="114" t="str">
        <f t="shared" ca="1" si="86"/>
        <v>N/A</v>
      </c>
      <c r="AG459" s="197">
        <v>285</v>
      </c>
      <c r="AH459" s="197"/>
      <c r="AI459" s="196">
        <f t="shared" si="87"/>
        <v>285</v>
      </c>
      <c r="AJ459" s="148" t="s">
        <v>6</v>
      </c>
      <c r="AK459" s="235">
        <v>44860</v>
      </c>
      <c r="AL459" s="232" t="s">
        <v>1765</v>
      </c>
      <c r="AM459" s="184" t="str">
        <f t="shared" si="90"/>
        <v>21029 Rousselot</v>
      </c>
      <c r="AN459" s="184" t="str">
        <f t="shared" si="88"/>
        <v>21029 Rousselot : SS strainers mounting issue</v>
      </c>
    </row>
    <row r="460" spans="1:40" s="76" customFormat="1" ht="14.5" hidden="1" x14ac:dyDescent="0.35">
      <c r="A460" s="153" t="s">
        <v>1766</v>
      </c>
      <c r="B460" s="154">
        <v>21030</v>
      </c>
      <c r="C460" s="143" t="s">
        <v>4</v>
      </c>
      <c r="D460" s="144">
        <v>44474</v>
      </c>
      <c r="E460" s="145" t="s">
        <v>273</v>
      </c>
      <c r="F460" s="145" t="s">
        <v>658</v>
      </c>
      <c r="G460" s="146" t="s">
        <v>1767</v>
      </c>
      <c r="H460" s="146" t="s">
        <v>1768</v>
      </c>
      <c r="I460" s="119" t="s">
        <v>2056</v>
      </c>
      <c r="J460" s="232"/>
      <c r="K460" s="145"/>
      <c r="L460" s="145" t="s">
        <v>1769</v>
      </c>
      <c r="M460" s="147" t="s">
        <v>338</v>
      </c>
      <c r="N460" s="146" t="s">
        <v>1770</v>
      </c>
      <c r="O460" s="146" t="s">
        <v>28</v>
      </c>
      <c r="P460" s="146" t="s">
        <v>103</v>
      </c>
      <c r="Q460" s="232" t="s">
        <v>176</v>
      </c>
      <c r="R460" s="146" t="s">
        <v>145</v>
      </c>
      <c r="S460" s="146"/>
      <c r="T460" s="112" t="s">
        <v>1771</v>
      </c>
      <c r="U460" s="238"/>
      <c r="V460" s="158" t="s">
        <v>6</v>
      </c>
      <c r="W460" s="145" t="s">
        <v>273</v>
      </c>
      <c r="X460" s="143">
        <v>44474</v>
      </c>
      <c r="Y460" s="144">
        <f t="shared" si="85"/>
        <v>44566</v>
      </c>
      <c r="Z460" s="235">
        <v>44539</v>
      </c>
      <c r="AA460" s="161" t="str">
        <f t="shared" ca="1" si="89"/>
        <v>YES</v>
      </c>
      <c r="AB460" s="113"/>
      <c r="AC460" s="232"/>
      <c r="AD460" s="232"/>
      <c r="AE460" s="232"/>
      <c r="AF460" s="114" t="str">
        <f t="shared" ca="1" si="86"/>
        <v>N/A</v>
      </c>
      <c r="AG460" s="197">
        <v>950</v>
      </c>
      <c r="AH460" s="197">
        <v>500</v>
      </c>
      <c r="AI460" s="196">
        <f t="shared" si="87"/>
        <v>1450</v>
      </c>
      <c r="AJ460" s="148" t="s">
        <v>6</v>
      </c>
      <c r="AK460" s="235">
        <v>44874</v>
      </c>
      <c r="AL460" s="232"/>
      <c r="AM460" s="184" t="str">
        <f t="shared" si="90"/>
        <v>21030 KIE</v>
      </c>
      <c r="AN460" s="184" t="str">
        <f t="shared" si="88"/>
        <v>21030 KIE : Quality issue on membranes delivery</v>
      </c>
    </row>
    <row r="461" spans="1:40" s="76" customFormat="1" ht="14.5" hidden="1" x14ac:dyDescent="0.35">
      <c r="A461" s="153" t="s">
        <v>1772</v>
      </c>
      <c r="B461" s="154">
        <v>21031</v>
      </c>
      <c r="C461" s="143" t="s">
        <v>4</v>
      </c>
      <c r="D461" s="144">
        <v>44496</v>
      </c>
      <c r="E461" s="145" t="s">
        <v>1019</v>
      </c>
      <c r="F461" s="145" t="s">
        <v>658</v>
      </c>
      <c r="G461" s="146" t="s">
        <v>1499</v>
      </c>
      <c r="H461" s="146" t="s">
        <v>1762</v>
      </c>
      <c r="I461" s="119" t="s">
        <v>2056</v>
      </c>
      <c r="J461" s="232"/>
      <c r="K461" s="145" t="s">
        <v>1763</v>
      </c>
      <c r="L461" s="145">
        <v>15457</v>
      </c>
      <c r="M461" s="147" t="s">
        <v>13</v>
      </c>
      <c r="N461" s="146" t="s">
        <v>1773</v>
      </c>
      <c r="O461" s="146" t="s">
        <v>28</v>
      </c>
      <c r="P461" s="146" t="s">
        <v>103</v>
      </c>
      <c r="Q461" s="232" t="s">
        <v>1774</v>
      </c>
      <c r="R461" s="146" t="s">
        <v>145</v>
      </c>
      <c r="S461" s="146"/>
      <c r="T461" s="112" t="s">
        <v>1775</v>
      </c>
      <c r="U461" s="238"/>
      <c r="V461" s="158" t="s">
        <v>6</v>
      </c>
      <c r="W461" s="145" t="s">
        <v>120</v>
      </c>
      <c r="X461" s="143">
        <v>44497</v>
      </c>
      <c r="Y461" s="144">
        <f t="shared" si="85"/>
        <v>44588</v>
      </c>
      <c r="Z461" s="235">
        <v>44571</v>
      </c>
      <c r="AA461" s="161" t="str">
        <f t="shared" ca="1" si="89"/>
        <v>YES</v>
      </c>
      <c r="AB461" s="113"/>
      <c r="AC461" s="232"/>
      <c r="AD461" s="232"/>
      <c r="AE461" s="232"/>
      <c r="AF461" s="114" t="str">
        <f t="shared" ref="AF461:AF466" ca="1" si="91">IF(I461="Claim",IF(AD461="","",IF(AE461="",IF(TODAY()&gt;AD461,"NO","YES"),IF(AE461&gt;AD461,"NO",IF(AE461&lt;AD461,"YES",IF(AD461=AE461,"YES","N/A"))))),"N/A")</f>
        <v>N/A</v>
      </c>
      <c r="AG461" s="197">
        <v>190</v>
      </c>
      <c r="AH461" s="197">
        <v>0</v>
      </c>
      <c r="AI461" s="196">
        <f t="shared" ref="AI461:AI466" si="92">AH461+AG461</f>
        <v>190</v>
      </c>
      <c r="AJ461" s="148" t="s">
        <v>6</v>
      </c>
      <c r="AK461" s="235">
        <v>44860</v>
      </c>
      <c r="AL461" s="232" t="s">
        <v>1776</v>
      </c>
      <c r="AM461" s="184" t="str">
        <f t="shared" si="90"/>
        <v>21031 Rousselot</v>
      </c>
      <c r="AN461" s="184" t="str">
        <f t="shared" ref="AN461:AN466" si="93">CONCATENATE(B461," ",G461," : ",N461)</f>
        <v>21031 Rousselot : Bad positioning of reinfortement ring</v>
      </c>
    </row>
    <row r="462" spans="1:40" s="76" customFormat="1" ht="15" hidden="1" customHeight="1" x14ac:dyDescent="0.35">
      <c r="A462" s="153" t="s">
        <v>1777</v>
      </c>
      <c r="B462" s="154">
        <v>21032</v>
      </c>
      <c r="C462" s="143" t="s">
        <v>4</v>
      </c>
      <c r="D462" s="144">
        <v>44496</v>
      </c>
      <c r="E462" s="145" t="s">
        <v>1019</v>
      </c>
      <c r="F462" s="145" t="s">
        <v>658</v>
      </c>
      <c r="G462" s="146" t="s">
        <v>1499</v>
      </c>
      <c r="H462" s="146" t="s">
        <v>1762</v>
      </c>
      <c r="I462" s="119" t="s">
        <v>5</v>
      </c>
      <c r="J462" s="232"/>
      <c r="K462" s="145" t="s">
        <v>1763</v>
      </c>
      <c r="L462" s="145">
        <v>15457</v>
      </c>
      <c r="M462" s="147" t="s">
        <v>13</v>
      </c>
      <c r="N462" s="146" t="s">
        <v>1778</v>
      </c>
      <c r="O462" s="146" t="s">
        <v>28</v>
      </c>
      <c r="P462" s="146" t="s">
        <v>103</v>
      </c>
      <c r="Q462" s="232" t="s">
        <v>1774</v>
      </c>
      <c r="R462" s="146" t="s">
        <v>145</v>
      </c>
      <c r="S462" s="146"/>
      <c r="T462" s="112" t="s">
        <v>1775</v>
      </c>
      <c r="U462" s="238"/>
      <c r="V462" s="158" t="s">
        <v>6</v>
      </c>
      <c r="W462" s="145" t="s">
        <v>120</v>
      </c>
      <c r="X462" s="143">
        <v>44497</v>
      </c>
      <c r="Y462" s="144">
        <f t="shared" si="85"/>
        <v>44588</v>
      </c>
      <c r="Z462" s="235">
        <v>44571</v>
      </c>
      <c r="AA462" s="161" t="str">
        <f t="shared" ca="1" si="89"/>
        <v>YES</v>
      </c>
      <c r="AB462" s="168">
        <v>44490</v>
      </c>
      <c r="AC462" s="190">
        <v>44490</v>
      </c>
      <c r="AD462" s="235">
        <v>44592</v>
      </c>
      <c r="AE462" s="235">
        <v>44571</v>
      </c>
      <c r="AF462" s="114" t="str">
        <f t="shared" ca="1" si="91"/>
        <v>YES</v>
      </c>
      <c r="AG462" s="197">
        <v>285</v>
      </c>
      <c r="AH462" s="197">
        <v>0</v>
      </c>
      <c r="AI462" s="196">
        <f t="shared" si="92"/>
        <v>285</v>
      </c>
      <c r="AJ462" s="148" t="s">
        <v>6</v>
      </c>
      <c r="AK462" s="235">
        <v>44860</v>
      </c>
      <c r="AL462" s="232" t="s">
        <v>1776</v>
      </c>
      <c r="AM462" s="184" t="str">
        <f t="shared" si="90"/>
        <v>21032 Rousselot</v>
      </c>
      <c r="AN462" s="184" t="str">
        <f t="shared" si="93"/>
        <v>21032 Rousselot : DIN connection supply instead of SMS</v>
      </c>
    </row>
    <row r="463" spans="1:40" s="76" customFormat="1" ht="14.5" hidden="1" x14ac:dyDescent="0.35">
      <c r="A463" s="153" t="s">
        <v>1779</v>
      </c>
      <c r="B463" s="154">
        <v>21033</v>
      </c>
      <c r="C463" s="143" t="s">
        <v>4</v>
      </c>
      <c r="D463" s="144">
        <v>44524</v>
      </c>
      <c r="E463" s="145" t="s">
        <v>1476</v>
      </c>
      <c r="F463" s="145" t="s">
        <v>658</v>
      </c>
      <c r="G463" s="146" t="s">
        <v>1780</v>
      </c>
      <c r="H463" s="146" t="s">
        <v>1781</v>
      </c>
      <c r="I463" s="119" t="s">
        <v>2056</v>
      </c>
      <c r="J463" s="232"/>
      <c r="K463" s="145"/>
      <c r="L463" s="145" t="s">
        <v>1782</v>
      </c>
      <c r="M463" s="147"/>
      <c r="N463" s="111" t="s">
        <v>1783</v>
      </c>
      <c r="O463" s="146" t="s">
        <v>28</v>
      </c>
      <c r="P463" s="146" t="s">
        <v>103</v>
      </c>
      <c r="Q463" s="232" t="s">
        <v>176</v>
      </c>
      <c r="R463" s="146" t="s">
        <v>145</v>
      </c>
      <c r="S463" s="146"/>
      <c r="T463" s="112" t="s">
        <v>1781</v>
      </c>
      <c r="U463" s="239"/>
      <c r="V463" s="158" t="s">
        <v>10</v>
      </c>
      <c r="W463" s="143"/>
      <c r="X463" s="143"/>
      <c r="Y463" s="144">
        <f t="shared" si="85"/>
        <v>44616</v>
      </c>
      <c r="Z463" s="143">
        <v>44601</v>
      </c>
      <c r="AA463" s="241" t="str">
        <f t="shared" ref="AA463:AA468" ca="1" si="94">IF(Z463="",IF(TODAY()&gt;Y463,"NO","YES"),IF(Z463&gt;Y463,"NO",IF(Z463&lt;Y463,"YES",IF(Y463=Z463,"YES","N/A"))))</f>
        <v>YES</v>
      </c>
      <c r="AB463" s="204"/>
      <c r="AC463" s="235"/>
      <c r="AD463" s="232"/>
      <c r="AE463" s="232"/>
      <c r="AF463" s="197" t="str">
        <f t="shared" ca="1" si="91"/>
        <v>N/A</v>
      </c>
      <c r="AG463" s="197">
        <v>95</v>
      </c>
      <c r="AH463" s="197">
        <v>12000</v>
      </c>
      <c r="AI463" s="195">
        <f t="shared" si="92"/>
        <v>12095</v>
      </c>
      <c r="AJ463" s="148" t="s">
        <v>6</v>
      </c>
      <c r="AK463" s="235">
        <v>44860</v>
      </c>
      <c r="AL463" s="184"/>
      <c r="AM463" s="184" t="str">
        <f t="shared" si="90"/>
        <v>21033 SQ-NVS trading</v>
      </c>
      <c r="AN463" s="184" t="str">
        <f t="shared" si="93"/>
        <v>21033 SQ-NVS trading : Issue of size range gravel</v>
      </c>
    </row>
    <row r="464" spans="1:40" s="76" customFormat="1" ht="14.5" hidden="1" x14ac:dyDescent="0.35">
      <c r="A464" s="153" t="s">
        <v>1784</v>
      </c>
      <c r="B464" s="154">
        <v>21034</v>
      </c>
      <c r="C464" s="143" t="s">
        <v>4</v>
      </c>
      <c r="D464" s="144">
        <v>44525</v>
      </c>
      <c r="E464" s="145" t="s">
        <v>91</v>
      </c>
      <c r="F464" s="145" t="s">
        <v>164</v>
      </c>
      <c r="G464" s="146" t="s">
        <v>1729</v>
      </c>
      <c r="H464" s="146" t="s">
        <v>1785</v>
      </c>
      <c r="I464" s="119" t="s">
        <v>2056</v>
      </c>
      <c r="J464" s="232"/>
      <c r="K464" s="145">
        <v>2101</v>
      </c>
      <c r="L464" s="145">
        <v>16382</v>
      </c>
      <c r="M464" s="147" t="s">
        <v>13</v>
      </c>
      <c r="N464" s="146" t="s">
        <v>1786</v>
      </c>
      <c r="O464" s="146" t="s">
        <v>28</v>
      </c>
      <c r="P464" s="146" t="s">
        <v>86</v>
      </c>
      <c r="Q464" s="232" t="s">
        <v>1774</v>
      </c>
      <c r="R464" s="146" t="s">
        <v>145</v>
      </c>
      <c r="S464" s="146"/>
      <c r="T464" s="232"/>
      <c r="U464" s="238"/>
      <c r="V464" s="158" t="s">
        <v>6</v>
      </c>
      <c r="W464" s="145" t="s">
        <v>1664</v>
      </c>
      <c r="X464" s="143">
        <v>44530</v>
      </c>
      <c r="Y464" s="144">
        <f t="shared" si="85"/>
        <v>44617</v>
      </c>
      <c r="Z464" s="235">
        <v>44578</v>
      </c>
      <c r="AA464" s="161" t="str">
        <f t="shared" ca="1" si="94"/>
        <v>YES</v>
      </c>
      <c r="AB464" s="113"/>
      <c r="AC464" s="232"/>
      <c r="AD464" s="232"/>
      <c r="AE464" s="232"/>
      <c r="AF464" s="114" t="str">
        <f t="shared" ca="1" si="91"/>
        <v>N/A</v>
      </c>
      <c r="AG464" s="197">
        <v>984</v>
      </c>
      <c r="AH464" s="197">
        <v>2075</v>
      </c>
      <c r="AI464" s="196">
        <f t="shared" si="92"/>
        <v>3059</v>
      </c>
      <c r="AJ464" s="237"/>
      <c r="AK464" s="70" t="s">
        <v>2045</v>
      </c>
      <c r="AL464" s="232"/>
      <c r="AM464" s="184" t="str">
        <f t="shared" ref="AM464:AM469" si="95">CONCATENATE(B464," ",G464)</f>
        <v>21034 Cargill MicroBA</v>
      </c>
      <c r="AN464" s="184" t="str">
        <f t="shared" si="93"/>
        <v>21034 Cargill MicroBA : Inversion of the columns tags plates</v>
      </c>
    </row>
    <row r="465" spans="1:40" ht="14.5" hidden="1" x14ac:dyDescent="0.35">
      <c r="A465" s="78" t="s">
        <v>1787</v>
      </c>
      <c r="B465" s="154">
        <v>21035</v>
      </c>
      <c r="C465" s="143" t="s">
        <v>4</v>
      </c>
      <c r="D465" s="144">
        <v>44536</v>
      </c>
      <c r="E465" s="145" t="s">
        <v>1019</v>
      </c>
      <c r="F465" s="145" t="s">
        <v>658</v>
      </c>
      <c r="G465" s="146" t="s">
        <v>1558</v>
      </c>
      <c r="H465" s="146" t="s">
        <v>1788</v>
      </c>
      <c r="I465" s="119" t="s">
        <v>2056</v>
      </c>
      <c r="J465" s="232"/>
      <c r="K465" s="145"/>
      <c r="L465" s="205" t="s">
        <v>1559</v>
      </c>
      <c r="M465" s="147" t="s">
        <v>18</v>
      </c>
      <c r="N465" s="146" t="s">
        <v>1789</v>
      </c>
      <c r="O465" s="111" t="s">
        <v>28</v>
      </c>
      <c r="P465" s="111" t="s">
        <v>103</v>
      </c>
      <c r="Q465" s="232" t="s">
        <v>1036</v>
      </c>
      <c r="R465" s="111" t="s">
        <v>145</v>
      </c>
      <c r="S465" s="146"/>
      <c r="T465" s="112" t="s">
        <v>1788</v>
      </c>
      <c r="U465" s="238"/>
      <c r="V465" s="158" t="s">
        <v>6</v>
      </c>
      <c r="W465" s="145" t="s">
        <v>221</v>
      </c>
      <c r="X465" s="143">
        <v>44538</v>
      </c>
      <c r="Y465" s="144">
        <f t="shared" si="85"/>
        <v>44626</v>
      </c>
      <c r="Z465" s="235">
        <v>44635</v>
      </c>
      <c r="AA465" s="161" t="str">
        <f t="shared" ca="1" si="94"/>
        <v>NO</v>
      </c>
      <c r="AB465" s="113"/>
      <c r="AC465" s="232"/>
      <c r="AD465" s="232"/>
      <c r="AE465" s="232"/>
      <c r="AF465" s="114" t="str">
        <f t="shared" ca="1" si="91"/>
        <v>N/A</v>
      </c>
      <c r="AG465" s="197">
        <v>579</v>
      </c>
      <c r="AH465" s="194">
        <v>3637.39</v>
      </c>
      <c r="AI465" s="196">
        <f t="shared" si="92"/>
        <v>4216.3899999999994</v>
      </c>
      <c r="AJ465" s="237"/>
      <c r="AK465" s="70" t="s">
        <v>2045</v>
      </c>
      <c r="AL465" s="232"/>
      <c r="AM465" s="184" t="str">
        <f t="shared" si="95"/>
        <v>21035 Etihad</v>
      </c>
      <c r="AN465" s="184" t="str">
        <f t="shared" si="93"/>
        <v>21035 Etihad : Leakage, pressure vessels coating quality  problem</v>
      </c>
    </row>
    <row r="466" spans="1:40" ht="14.15" hidden="1" customHeight="1" x14ac:dyDescent="0.35">
      <c r="A466" s="153" t="s">
        <v>1790</v>
      </c>
      <c r="B466" s="154">
        <v>21036</v>
      </c>
      <c r="C466" s="143" t="s">
        <v>4</v>
      </c>
      <c r="D466" s="144">
        <v>44537</v>
      </c>
      <c r="E466" s="145" t="s">
        <v>621</v>
      </c>
      <c r="F466" s="145" t="s">
        <v>164</v>
      </c>
      <c r="G466" s="146" t="s">
        <v>1729</v>
      </c>
      <c r="H466" s="146" t="s">
        <v>1791</v>
      </c>
      <c r="I466" s="119" t="s">
        <v>2056</v>
      </c>
      <c r="J466" s="232"/>
      <c r="K466" s="145">
        <v>2101</v>
      </c>
      <c r="L466" s="145">
        <v>16382</v>
      </c>
      <c r="M466" s="147" t="s">
        <v>13</v>
      </c>
      <c r="N466" s="111" t="s">
        <v>1792</v>
      </c>
      <c r="O466" s="146" t="s">
        <v>29</v>
      </c>
      <c r="P466" s="146" t="s">
        <v>176</v>
      </c>
      <c r="Q466" s="70" t="s">
        <v>916</v>
      </c>
      <c r="R466" s="146" t="s">
        <v>145</v>
      </c>
      <c r="S466" s="146"/>
      <c r="T466" s="112" t="s">
        <v>1791</v>
      </c>
      <c r="U466" s="238"/>
      <c r="V466" s="158" t="s">
        <v>10</v>
      </c>
      <c r="W466" s="145"/>
      <c r="X466" s="143"/>
      <c r="Y466" s="144">
        <f t="shared" si="85"/>
        <v>44627</v>
      </c>
      <c r="Z466" s="235">
        <v>44623</v>
      </c>
      <c r="AA466" s="161" t="str">
        <f t="shared" ca="1" si="94"/>
        <v>YES</v>
      </c>
      <c r="AB466" s="113"/>
      <c r="AC466" s="232"/>
      <c r="AD466" s="232"/>
      <c r="AE466" s="232"/>
      <c r="AF466" s="114" t="str">
        <f t="shared" ca="1" si="91"/>
        <v>N/A</v>
      </c>
      <c r="AG466" s="197">
        <v>1045</v>
      </c>
      <c r="AH466" s="197">
        <v>0</v>
      </c>
      <c r="AI466" s="196">
        <f t="shared" si="92"/>
        <v>1045</v>
      </c>
      <c r="AJ466" s="148" t="s">
        <v>6</v>
      </c>
      <c r="AK466" s="187">
        <v>44873</v>
      </c>
      <c r="AL466" s="232"/>
      <c r="AM466" s="184" t="str">
        <f t="shared" si="95"/>
        <v>21036 Cargill MicroBA</v>
      </c>
      <c r="AN466" s="184" t="str">
        <f t="shared" si="93"/>
        <v>21036 Cargill MicroBA : Reference error of the supplied pressure sensors</v>
      </c>
    </row>
    <row r="467" spans="1:40" ht="15.65" hidden="1" customHeight="1" x14ac:dyDescent="0.35">
      <c r="A467" s="153" t="s">
        <v>1793</v>
      </c>
      <c r="B467" s="154">
        <v>21037</v>
      </c>
      <c r="C467" s="143" t="s">
        <v>8</v>
      </c>
      <c r="D467" s="144">
        <v>44539</v>
      </c>
      <c r="E467" s="145" t="s">
        <v>1794</v>
      </c>
      <c r="F467" s="145" t="s">
        <v>164</v>
      </c>
      <c r="G467" s="111" t="s">
        <v>1795</v>
      </c>
      <c r="H467" s="146" t="s">
        <v>1796</v>
      </c>
      <c r="I467" s="119" t="s">
        <v>2056</v>
      </c>
      <c r="J467" s="232"/>
      <c r="K467" s="145">
        <v>10</v>
      </c>
      <c r="L467" s="145">
        <v>16017</v>
      </c>
      <c r="M467" s="147" t="s">
        <v>11</v>
      </c>
      <c r="N467" s="146" t="s">
        <v>1797</v>
      </c>
      <c r="O467" s="146" t="s">
        <v>28</v>
      </c>
      <c r="P467" s="146" t="s">
        <v>86</v>
      </c>
      <c r="Q467" s="70" t="s">
        <v>916</v>
      </c>
      <c r="R467" s="146" t="s">
        <v>145</v>
      </c>
      <c r="S467" s="146"/>
      <c r="T467" s="232" t="s">
        <v>1796</v>
      </c>
      <c r="U467" s="238"/>
      <c r="V467" s="158" t="s">
        <v>6</v>
      </c>
      <c r="W467" s="145" t="s">
        <v>1794</v>
      </c>
      <c r="X467" s="144">
        <v>44539</v>
      </c>
      <c r="Y467" s="144">
        <f t="shared" si="85"/>
        <v>44629</v>
      </c>
      <c r="Z467" s="235">
        <v>44628</v>
      </c>
      <c r="AA467" s="161" t="str">
        <f t="shared" ca="1" si="94"/>
        <v>YES</v>
      </c>
      <c r="AB467" s="113"/>
      <c r="AC467" s="232"/>
      <c r="AD467" s="232"/>
      <c r="AE467" s="232"/>
      <c r="AF467" s="114" t="str">
        <f t="shared" ref="AF467:AF472" ca="1" si="96">IF(I467="Claim",IF(AD467="","",IF(AE467="",IF(TODAY()&gt;AD467,"NO","YES"),IF(AE467&gt;AD467,"NO",IF(AE467&lt;AD467,"YES",IF(AD467=AE467,"YES","N/A"))))),"N/A")</f>
        <v>N/A</v>
      </c>
      <c r="AG467" s="197">
        <v>500</v>
      </c>
      <c r="AH467" s="197">
        <v>0</v>
      </c>
      <c r="AI467" s="196">
        <f t="shared" ref="AI467:AI472" si="97">AH467+AG467</f>
        <v>500</v>
      </c>
      <c r="AJ467" s="237"/>
      <c r="AK467" s="232"/>
      <c r="AL467" s="232"/>
      <c r="AM467" s="184" t="str">
        <f t="shared" si="95"/>
        <v>21037 Lvyuan</v>
      </c>
      <c r="AN467" s="184" t="str">
        <f t="shared" ref="AN467:AN472" si="98">CONCATENATE(B467," ",G467," : ",N467)</f>
        <v>21037 Lvyuan : Dysfunction of supplier Guanxing</v>
      </c>
    </row>
    <row r="468" spans="1:40" s="76" customFormat="1" ht="14.15" hidden="1" customHeight="1" x14ac:dyDescent="0.35">
      <c r="A468" s="153" t="s">
        <v>1798</v>
      </c>
      <c r="B468" s="154">
        <v>21038</v>
      </c>
      <c r="C468" s="143" t="s">
        <v>4</v>
      </c>
      <c r="D468" s="144">
        <v>44553</v>
      </c>
      <c r="E468" s="145" t="s">
        <v>273</v>
      </c>
      <c r="F468" s="145" t="s">
        <v>658</v>
      </c>
      <c r="G468" s="146" t="s">
        <v>1799</v>
      </c>
      <c r="H468" s="146" t="s">
        <v>357</v>
      </c>
      <c r="I468" s="119" t="s">
        <v>2056</v>
      </c>
      <c r="J468" s="70"/>
      <c r="K468" s="145"/>
      <c r="L468" s="145" t="s">
        <v>1800</v>
      </c>
      <c r="M468" s="147" t="s">
        <v>359</v>
      </c>
      <c r="N468" s="146" t="s">
        <v>1801</v>
      </c>
      <c r="O468" s="146" t="s">
        <v>28</v>
      </c>
      <c r="P468" s="146" t="s">
        <v>103</v>
      </c>
      <c r="Q468" s="232" t="s">
        <v>176</v>
      </c>
      <c r="R468" s="146" t="s">
        <v>145</v>
      </c>
      <c r="S468" s="146"/>
      <c r="T468" s="112" t="s">
        <v>357</v>
      </c>
      <c r="U468" s="238"/>
      <c r="V468" s="158" t="s">
        <v>10</v>
      </c>
      <c r="W468" s="145"/>
      <c r="X468" s="143"/>
      <c r="Y468" s="144">
        <f t="shared" si="85"/>
        <v>44643</v>
      </c>
      <c r="Z468" s="235">
        <v>44602</v>
      </c>
      <c r="AA468" s="161" t="str">
        <f t="shared" ca="1" si="94"/>
        <v>YES</v>
      </c>
      <c r="AB468" s="113"/>
      <c r="AC468" s="232"/>
      <c r="AD468" s="232"/>
      <c r="AE468" s="232"/>
      <c r="AF468" s="114" t="str">
        <f t="shared" ca="1" si="96"/>
        <v>N/A</v>
      </c>
      <c r="AG468" s="197">
        <v>285</v>
      </c>
      <c r="AH468" s="197">
        <v>0</v>
      </c>
      <c r="AI468" s="196">
        <f t="shared" si="97"/>
        <v>285</v>
      </c>
      <c r="AJ468" s="148" t="s">
        <v>6</v>
      </c>
      <c r="AK468" s="235">
        <v>44874</v>
      </c>
      <c r="AL468" s="232"/>
      <c r="AM468" s="184" t="str">
        <f t="shared" si="95"/>
        <v>21038 Gambro</v>
      </c>
      <c r="AN468" s="184" t="str">
        <f t="shared" si="98"/>
        <v>21038 Gambro : Cut off labeling error on Kerasep mbre</v>
      </c>
    </row>
    <row r="469" spans="1:40" ht="14.15" hidden="1" customHeight="1" x14ac:dyDescent="0.35">
      <c r="A469" s="78" t="s">
        <v>1802</v>
      </c>
      <c r="B469" s="154">
        <v>22001</v>
      </c>
      <c r="C469" s="143" t="s">
        <v>4</v>
      </c>
      <c r="D469" s="144">
        <v>44578</v>
      </c>
      <c r="E469" s="145" t="s">
        <v>1019</v>
      </c>
      <c r="F469" s="145" t="s">
        <v>658</v>
      </c>
      <c r="G469" s="146" t="s">
        <v>664</v>
      </c>
      <c r="H469" s="111" t="s">
        <v>1578</v>
      </c>
      <c r="I469" s="119" t="s">
        <v>5</v>
      </c>
      <c r="J469" s="70" t="s">
        <v>1332</v>
      </c>
      <c r="K469" s="145"/>
      <c r="L469" s="118" t="s">
        <v>1803</v>
      </c>
      <c r="M469" s="147" t="s">
        <v>18</v>
      </c>
      <c r="N469" s="146" t="s">
        <v>1716</v>
      </c>
      <c r="O469" s="146" t="s">
        <v>28</v>
      </c>
      <c r="P469" s="146" t="s">
        <v>103</v>
      </c>
      <c r="Q469" s="70" t="s">
        <v>1527</v>
      </c>
      <c r="R469" s="146" t="s">
        <v>145</v>
      </c>
      <c r="S469" s="146"/>
      <c r="T469" s="112" t="s">
        <v>1578</v>
      </c>
      <c r="U469" s="238"/>
      <c r="V469" s="158" t="s">
        <v>6</v>
      </c>
      <c r="W469" s="145" t="s">
        <v>1019</v>
      </c>
      <c r="X469" s="143">
        <v>44580</v>
      </c>
      <c r="Y469" s="144">
        <f t="shared" si="85"/>
        <v>44668</v>
      </c>
      <c r="Z469" s="235">
        <v>44645</v>
      </c>
      <c r="AA469" s="161" t="str">
        <f t="shared" ref="AA469:AA474" ca="1" si="99">IF(Z469="",IF(TODAY()&gt;Y469,"NO","YES"),IF(Z469&gt;Y469,"NO",IF(Z469&lt;Y469,"YES",IF(Y469=Z469,"YES","N/A"))))</f>
        <v>YES</v>
      </c>
      <c r="AB469" s="113">
        <v>44574</v>
      </c>
      <c r="AC469" s="190">
        <v>44575</v>
      </c>
      <c r="AD469" s="235">
        <v>44681</v>
      </c>
      <c r="AE469" s="235">
        <v>44645</v>
      </c>
      <c r="AF469" s="114" t="str">
        <f t="shared" ca="1" si="96"/>
        <v>YES</v>
      </c>
      <c r="AG469" s="197">
        <v>190</v>
      </c>
      <c r="AH469" s="197">
        <v>0</v>
      </c>
      <c r="AI469" s="196">
        <f t="shared" si="97"/>
        <v>190</v>
      </c>
      <c r="AJ469" s="148" t="s">
        <v>6</v>
      </c>
      <c r="AK469" s="235">
        <v>44860</v>
      </c>
      <c r="AL469" s="232"/>
      <c r="AM469" s="184" t="str">
        <f t="shared" si="95"/>
        <v xml:space="preserve">22001 TEREOS NESLE </v>
      </c>
      <c r="AN469" s="184" t="str">
        <f t="shared" si="98"/>
        <v>22001 TEREOS NESLE  : NF mbre performance out of specification at start up</v>
      </c>
    </row>
    <row r="470" spans="1:40" ht="15.65" hidden="1" customHeight="1" x14ac:dyDescent="0.35">
      <c r="A470" s="78" t="s">
        <v>1804</v>
      </c>
      <c r="B470" s="154">
        <v>22002</v>
      </c>
      <c r="C470" s="143" t="s">
        <v>4</v>
      </c>
      <c r="D470" s="144">
        <v>44580</v>
      </c>
      <c r="E470" s="145" t="s">
        <v>1805</v>
      </c>
      <c r="F470" s="145" t="s">
        <v>1806</v>
      </c>
      <c r="G470" s="146" t="s">
        <v>1807</v>
      </c>
      <c r="H470" s="146"/>
      <c r="I470" s="119" t="s">
        <v>2057</v>
      </c>
      <c r="J470" s="232"/>
      <c r="K470" s="145">
        <v>2082</v>
      </c>
      <c r="L470" s="145">
        <v>14552</v>
      </c>
      <c r="M470" s="147" t="s">
        <v>11</v>
      </c>
      <c r="N470" s="146" t="s">
        <v>1808</v>
      </c>
      <c r="O470" s="146" t="s">
        <v>29</v>
      </c>
      <c r="P470" s="146" t="s">
        <v>86</v>
      </c>
      <c r="Q470" s="232" t="s">
        <v>1358</v>
      </c>
      <c r="R470" s="111" t="s">
        <v>9</v>
      </c>
      <c r="S470" s="146"/>
      <c r="T470" s="232"/>
      <c r="U470" s="238"/>
      <c r="V470" s="158" t="s">
        <v>6</v>
      </c>
      <c r="W470" s="145" t="s">
        <v>1809</v>
      </c>
      <c r="X470" s="143">
        <v>44582</v>
      </c>
      <c r="Y470" s="144">
        <f t="shared" si="85"/>
        <v>44670</v>
      </c>
      <c r="Z470" s="235">
        <v>44670</v>
      </c>
      <c r="AA470" s="161" t="str">
        <f t="shared" ca="1" si="99"/>
        <v>YES</v>
      </c>
      <c r="AB470" s="113"/>
      <c r="AC470" s="232"/>
      <c r="AD470" s="232"/>
      <c r="AE470" s="232"/>
      <c r="AF470" s="114" t="str">
        <f t="shared" ca="1" si="96"/>
        <v>N/A</v>
      </c>
      <c r="AG470" s="197">
        <v>2874</v>
      </c>
      <c r="AH470" s="197">
        <v>20437</v>
      </c>
      <c r="AI470" s="196">
        <f t="shared" si="97"/>
        <v>23311</v>
      </c>
      <c r="AJ470" s="237"/>
      <c r="AK470" s="70" t="s">
        <v>2045</v>
      </c>
      <c r="AL470" s="232"/>
      <c r="AM470" s="184" t="str">
        <f t="shared" ref="AM470:AM475" si="100">CONCATENATE(B470," ",G470)</f>
        <v>22002 SQ10</v>
      </c>
      <c r="AN470" s="184" t="str">
        <f t="shared" si="98"/>
        <v>22002 SQ10 : Lost polarimeter</v>
      </c>
    </row>
    <row r="471" spans="1:40" ht="14.5" hidden="1" x14ac:dyDescent="0.35">
      <c r="A471" s="78" t="s">
        <v>1810</v>
      </c>
      <c r="B471" s="154">
        <v>22003</v>
      </c>
      <c r="C471" s="143" t="s">
        <v>8</v>
      </c>
      <c r="D471" s="144">
        <v>44585</v>
      </c>
      <c r="E471" s="145" t="s">
        <v>1664</v>
      </c>
      <c r="F471" s="145" t="s">
        <v>164</v>
      </c>
      <c r="G471" s="146" t="s">
        <v>2109</v>
      </c>
      <c r="H471" s="146" t="s">
        <v>433</v>
      </c>
      <c r="I471" s="119" t="s">
        <v>2056</v>
      </c>
      <c r="J471" s="232"/>
      <c r="K471" s="145">
        <v>2097</v>
      </c>
      <c r="L471" s="145">
        <v>16108</v>
      </c>
      <c r="M471" s="147" t="s">
        <v>11</v>
      </c>
      <c r="N471" s="146" t="s">
        <v>1812</v>
      </c>
      <c r="O471" s="146" t="s">
        <v>29</v>
      </c>
      <c r="P471" s="146" t="s">
        <v>86</v>
      </c>
      <c r="Q471" s="70" t="s">
        <v>916</v>
      </c>
      <c r="R471" s="146" t="s">
        <v>145</v>
      </c>
      <c r="S471" s="146"/>
      <c r="T471" s="232" t="s">
        <v>433</v>
      </c>
      <c r="U471" s="238"/>
      <c r="V471" s="158" t="s">
        <v>6</v>
      </c>
      <c r="W471" s="145" t="s">
        <v>1664</v>
      </c>
      <c r="X471" s="143">
        <v>44578</v>
      </c>
      <c r="Y471" s="144">
        <f>EDATE(D471,3)</f>
        <v>44675</v>
      </c>
      <c r="Z471" s="235">
        <v>44673</v>
      </c>
      <c r="AA471" s="161" t="str">
        <f t="shared" ca="1" si="99"/>
        <v>YES</v>
      </c>
      <c r="AB471" s="113">
        <v>44553</v>
      </c>
      <c r="AC471" s="232"/>
      <c r="AD471" s="232"/>
      <c r="AE471" s="232"/>
      <c r="AF471" s="114" t="str">
        <f t="shared" ca="1" si="96"/>
        <v>N/A</v>
      </c>
      <c r="AG471" s="197">
        <v>1250</v>
      </c>
      <c r="AH471" s="197">
        <v>243</v>
      </c>
      <c r="AI471" s="196">
        <f t="shared" si="97"/>
        <v>1493</v>
      </c>
      <c r="AJ471" s="237"/>
      <c r="AK471" s="232"/>
      <c r="AL471" s="232"/>
      <c r="AM471" s="184" t="str">
        <f t="shared" si="100"/>
        <v>22003 SQ13</v>
      </c>
      <c r="AN471" s="184" t="str">
        <f t="shared" si="98"/>
        <v>22003 SQ13 : Name plates misplaced</v>
      </c>
    </row>
    <row r="472" spans="1:40" ht="14.5" hidden="1" x14ac:dyDescent="0.35">
      <c r="A472" s="78" t="s">
        <v>1810</v>
      </c>
      <c r="B472" s="154">
        <v>22004</v>
      </c>
      <c r="C472" s="143" t="s">
        <v>8</v>
      </c>
      <c r="D472" s="144">
        <v>44585</v>
      </c>
      <c r="E472" s="145" t="s">
        <v>1664</v>
      </c>
      <c r="F472" s="145" t="s">
        <v>164</v>
      </c>
      <c r="G472" s="146" t="s">
        <v>2111</v>
      </c>
      <c r="H472" s="111" t="s">
        <v>1796</v>
      </c>
      <c r="I472" s="119" t="s">
        <v>2056</v>
      </c>
      <c r="J472" s="232"/>
      <c r="K472" s="145">
        <v>2092</v>
      </c>
      <c r="L472" s="145" t="s">
        <v>1814</v>
      </c>
      <c r="M472" s="147" t="s">
        <v>859</v>
      </c>
      <c r="N472" s="146" t="s">
        <v>1815</v>
      </c>
      <c r="O472" s="146" t="s">
        <v>29</v>
      </c>
      <c r="P472" s="146" t="s">
        <v>86</v>
      </c>
      <c r="Q472" s="232" t="s">
        <v>1629</v>
      </c>
      <c r="R472" s="146" t="s">
        <v>145</v>
      </c>
      <c r="S472" s="146"/>
      <c r="T472" s="146" t="s">
        <v>1813</v>
      </c>
      <c r="U472" s="238"/>
      <c r="V472" s="158" t="s">
        <v>6</v>
      </c>
      <c r="W472" s="145" t="s">
        <v>1664</v>
      </c>
      <c r="X472" s="143">
        <v>44564</v>
      </c>
      <c r="Y472" s="144">
        <f t="shared" si="85"/>
        <v>44675</v>
      </c>
      <c r="Z472" s="235">
        <v>44673</v>
      </c>
      <c r="AA472" s="161" t="str">
        <f t="shared" ca="1" si="99"/>
        <v>YES</v>
      </c>
      <c r="AB472" s="113">
        <v>44556</v>
      </c>
      <c r="AC472" s="232"/>
      <c r="AD472" s="232"/>
      <c r="AE472" s="232"/>
      <c r="AF472" s="114" t="str">
        <f t="shared" ca="1" si="96"/>
        <v>N/A</v>
      </c>
      <c r="AG472" s="197">
        <v>1250</v>
      </c>
      <c r="AH472" s="197">
        <v>243</v>
      </c>
      <c r="AI472" s="196">
        <f t="shared" si="97"/>
        <v>1493</v>
      </c>
      <c r="AJ472" s="237"/>
      <c r="AK472" s="232"/>
      <c r="AL472" s="232"/>
      <c r="AM472" s="184" t="str">
        <f t="shared" si="100"/>
        <v xml:space="preserve">22004 SQ12 </v>
      </c>
      <c r="AN472" s="184" t="str">
        <f t="shared" si="98"/>
        <v>22004 SQ12  : Column rods broken or missing</v>
      </c>
    </row>
    <row r="473" spans="1:40" ht="14.5" hidden="1" x14ac:dyDescent="0.35">
      <c r="A473" s="78" t="s">
        <v>1816</v>
      </c>
      <c r="B473" s="154">
        <v>22005</v>
      </c>
      <c r="C473" s="143" t="s">
        <v>4</v>
      </c>
      <c r="D473" s="144">
        <v>44586</v>
      </c>
      <c r="E473" s="145" t="s">
        <v>1019</v>
      </c>
      <c r="F473" s="145" t="s">
        <v>658</v>
      </c>
      <c r="G473" s="146" t="s">
        <v>1817</v>
      </c>
      <c r="H473" s="146" t="s">
        <v>1267</v>
      </c>
      <c r="I473" s="119" t="s">
        <v>5</v>
      </c>
      <c r="J473" s="232"/>
      <c r="K473" s="145"/>
      <c r="L473" s="145" t="s">
        <v>1818</v>
      </c>
      <c r="M473" s="147" t="s">
        <v>672</v>
      </c>
      <c r="N473" s="146" t="s">
        <v>1819</v>
      </c>
      <c r="O473" s="146" t="s">
        <v>28</v>
      </c>
      <c r="P473" s="146" t="s">
        <v>103</v>
      </c>
      <c r="Q473" s="232" t="s">
        <v>1820</v>
      </c>
      <c r="R473" s="146" t="s">
        <v>87</v>
      </c>
      <c r="S473" s="146"/>
      <c r="T473" s="112" t="s">
        <v>1267</v>
      </c>
      <c r="U473" s="238"/>
      <c r="V473" s="158" t="s">
        <v>6</v>
      </c>
      <c r="W473" s="145" t="s">
        <v>1019</v>
      </c>
      <c r="X473" s="143">
        <v>44588</v>
      </c>
      <c r="Y473" s="144">
        <f t="shared" si="85"/>
        <v>44676</v>
      </c>
      <c r="Z473" s="235">
        <v>44636</v>
      </c>
      <c r="AA473" s="161" t="str">
        <f t="shared" ca="1" si="99"/>
        <v>YES</v>
      </c>
      <c r="AB473" s="113">
        <v>44579</v>
      </c>
      <c r="AC473" s="190">
        <v>44579</v>
      </c>
      <c r="AD473" s="235">
        <v>44681</v>
      </c>
      <c r="AE473" s="235">
        <v>44636</v>
      </c>
      <c r="AF473" s="114" t="str">
        <f t="shared" ref="AF473:AF478" ca="1" si="101">IF(I473="Claim",IF(AD473="","",IF(AE473="",IF(TODAY()&gt;AD473,"NO","YES"),IF(AE473&gt;AD473,"NO",IF(AE473&lt;AD473,"YES",IF(AD473=AE473,"YES","N/A"))))),"N/A")</f>
        <v>YES</v>
      </c>
      <c r="AG473" s="197">
        <v>285</v>
      </c>
      <c r="AH473" s="197">
        <v>40</v>
      </c>
      <c r="AI473" s="196">
        <f t="shared" ref="AI473:AI478" si="102">AH473+AG473</f>
        <v>325</v>
      </c>
      <c r="AJ473" s="148" t="s">
        <v>6</v>
      </c>
      <c r="AK473" s="187">
        <v>44860</v>
      </c>
      <c r="AL473" s="70"/>
      <c r="AM473" s="184" t="str">
        <f t="shared" si="100"/>
        <v>22005 RAM Sucre</v>
      </c>
      <c r="AN473" s="184" t="str">
        <f t="shared" ref="AN473:AN478" si="103">CONCATENATE(B473," ",G473," : ",N473)</f>
        <v>22005 RAM Sucre : Issue of nozzle rod length</v>
      </c>
    </row>
    <row r="474" spans="1:40" ht="14.5" hidden="1" x14ac:dyDescent="0.35">
      <c r="A474" s="78" t="s">
        <v>1821</v>
      </c>
      <c r="B474" s="154">
        <v>22006</v>
      </c>
      <c r="C474" s="143" t="s">
        <v>4</v>
      </c>
      <c r="D474" s="144">
        <v>44593</v>
      </c>
      <c r="E474" s="145" t="s">
        <v>621</v>
      </c>
      <c r="F474" s="145" t="s">
        <v>164</v>
      </c>
      <c r="G474" s="146" t="s">
        <v>1822</v>
      </c>
      <c r="H474" s="146" t="s">
        <v>1065</v>
      </c>
      <c r="I474" s="119" t="s">
        <v>2056</v>
      </c>
      <c r="J474" s="232"/>
      <c r="K474" s="145">
        <v>2113</v>
      </c>
      <c r="L474" s="145">
        <v>16809</v>
      </c>
      <c r="M474" s="147" t="s">
        <v>672</v>
      </c>
      <c r="N474" s="146" t="s">
        <v>1823</v>
      </c>
      <c r="O474" s="146" t="s">
        <v>29</v>
      </c>
      <c r="P474" s="146" t="s">
        <v>86</v>
      </c>
      <c r="Q474" s="232" t="s">
        <v>1289</v>
      </c>
      <c r="R474" s="146" t="s">
        <v>145</v>
      </c>
      <c r="S474" s="146"/>
      <c r="T474" s="112" t="s">
        <v>1065</v>
      </c>
      <c r="U474" s="238"/>
      <c r="V474" s="158" t="s">
        <v>10</v>
      </c>
      <c r="W474" s="145"/>
      <c r="X474" s="143"/>
      <c r="Y474" s="144">
        <f t="shared" si="85"/>
        <v>44682</v>
      </c>
      <c r="Z474" s="235">
        <v>44664</v>
      </c>
      <c r="AA474" s="161" t="str">
        <f t="shared" ca="1" si="99"/>
        <v>YES</v>
      </c>
      <c r="AB474" s="113"/>
      <c r="AC474" s="232"/>
      <c r="AD474" s="232"/>
      <c r="AE474" s="232"/>
      <c r="AF474" s="114" t="str">
        <f t="shared" ca="1" si="101"/>
        <v>N/A</v>
      </c>
      <c r="AG474" s="197">
        <v>1143.69</v>
      </c>
      <c r="AH474" s="197">
        <v>0</v>
      </c>
      <c r="AI474" s="196">
        <f t="shared" si="102"/>
        <v>1143.69</v>
      </c>
      <c r="AJ474" s="237"/>
      <c r="AK474" s="70" t="s">
        <v>2045</v>
      </c>
      <c r="AL474" s="70" t="s">
        <v>1824</v>
      </c>
      <c r="AM474" s="184" t="str">
        <f t="shared" si="100"/>
        <v>22006 SUCRO</v>
      </c>
      <c r="AN474" s="184" t="str">
        <f t="shared" si="103"/>
        <v>22006 SUCRO : CPU size too small</v>
      </c>
    </row>
    <row r="475" spans="1:40" ht="14.5" hidden="1" x14ac:dyDescent="0.35">
      <c r="A475" s="78" t="s">
        <v>1825</v>
      </c>
      <c r="B475" s="154">
        <v>22007</v>
      </c>
      <c r="C475" s="143" t="s">
        <v>4</v>
      </c>
      <c r="D475" s="144">
        <v>44594</v>
      </c>
      <c r="E475" s="145" t="s">
        <v>177</v>
      </c>
      <c r="F475" s="145" t="s">
        <v>1103</v>
      </c>
      <c r="G475" s="146" t="s">
        <v>1826</v>
      </c>
      <c r="H475" s="146" t="s">
        <v>597</v>
      </c>
      <c r="I475" s="119" t="s">
        <v>2057</v>
      </c>
      <c r="J475" s="232"/>
      <c r="K475" s="145">
        <v>2115</v>
      </c>
      <c r="L475" s="145">
        <v>16573</v>
      </c>
      <c r="M475" s="147" t="s">
        <v>1827</v>
      </c>
      <c r="N475" s="111" t="s">
        <v>1828</v>
      </c>
      <c r="O475" s="146" t="s">
        <v>29</v>
      </c>
      <c r="P475" s="111" t="s">
        <v>1829</v>
      </c>
      <c r="Q475" s="232" t="s">
        <v>1830</v>
      </c>
      <c r="R475" s="146" t="s">
        <v>9</v>
      </c>
      <c r="S475" s="111" t="s">
        <v>1332</v>
      </c>
      <c r="T475" s="232"/>
      <c r="U475" s="238"/>
      <c r="V475" s="158" t="s">
        <v>6</v>
      </c>
      <c r="W475" s="118" t="s">
        <v>268</v>
      </c>
      <c r="X475" s="143">
        <v>44595</v>
      </c>
      <c r="Y475" s="144">
        <f t="shared" si="85"/>
        <v>44683</v>
      </c>
      <c r="Z475" s="235">
        <v>44680</v>
      </c>
      <c r="AA475" s="161" t="str">
        <f ca="1">IF(Z475="",IF(TODAY()&gt;Y475,"NO","YES"),IF(Z475&gt;Y475,"NO",IF(Z475&lt;Y475,"YES",IF(Y475=Z475,"YES","N/A"))))</f>
        <v>YES</v>
      </c>
      <c r="AB475" s="113"/>
      <c r="AC475" s="232"/>
      <c r="AD475" s="232"/>
      <c r="AE475" s="232"/>
      <c r="AF475" s="114" t="str">
        <f t="shared" ca="1" si="101"/>
        <v>N/A</v>
      </c>
      <c r="AG475" s="197">
        <v>1568</v>
      </c>
      <c r="AH475" s="197">
        <v>111540</v>
      </c>
      <c r="AI475" s="196">
        <f t="shared" si="102"/>
        <v>113108</v>
      </c>
      <c r="AJ475" s="237" t="s">
        <v>6</v>
      </c>
      <c r="AK475" s="187">
        <v>45239</v>
      </c>
      <c r="AL475" s="232"/>
      <c r="AM475" s="184" t="str">
        <f t="shared" si="100"/>
        <v>22007 Cristal Union</v>
      </c>
      <c r="AN475" s="184" t="str">
        <f t="shared" si="103"/>
        <v>22007 Cristal Union : Front piping budget underestimated</v>
      </c>
    </row>
    <row r="476" spans="1:40" ht="15" hidden="1" customHeight="1" x14ac:dyDescent="0.35">
      <c r="A476" s="78" t="s">
        <v>1831</v>
      </c>
      <c r="B476" s="154">
        <v>22008</v>
      </c>
      <c r="C476" s="143" t="s">
        <v>4</v>
      </c>
      <c r="D476" s="144">
        <v>44599</v>
      </c>
      <c r="E476" s="145" t="s">
        <v>273</v>
      </c>
      <c r="F476" s="145" t="s">
        <v>658</v>
      </c>
      <c r="G476" s="146" t="s">
        <v>1832</v>
      </c>
      <c r="H476" s="146" t="s">
        <v>1833</v>
      </c>
      <c r="I476" s="119" t="s">
        <v>5</v>
      </c>
      <c r="J476" s="232"/>
      <c r="K476" s="145"/>
      <c r="L476" s="145" t="s">
        <v>1834</v>
      </c>
      <c r="M476" s="147"/>
      <c r="N476" s="146" t="s">
        <v>1835</v>
      </c>
      <c r="O476" s="146" t="s">
        <v>28</v>
      </c>
      <c r="P476" s="146" t="s">
        <v>103</v>
      </c>
      <c r="Q476" s="232" t="s">
        <v>1358</v>
      </c>
      <c r="R476" s="146" t="s">
        <v>145</v>
      </c>
      <c r="S476" s="146"/>
      <c r="T476" s="232"/>
      <c r="U476" s="238"/>
      <c r="V476" s="158" t="s">
        <v>6</v>
      </c>
      <c r="W476" s="118" t="s">
        <v>273</v>
      </c>
      <c r="X476" s="143">
        <v>44601</v>
      </c>
      <c r="Y476" s="144">
        <f t="shared" si="85"/>
        <v>44688</v>
      </c>
      <c r="Z476" s="235">
        <v>44687</v>
      </c>
      <c r="AA476" s="161" t="str">
        <f ca="1">IF(Z476="",IF(TODAY()&gt;Y476,"NO","YES"),IF(Z476&gt;Y476,"NO",IF(Z476&lt;Y476,"YES",IF(Y476=Z476,"YES","N/A"))))</f>
        <v>YES</v>
      </c>
      <c r="AB476" s="113">
        <v>44582</v>
      </c>
      <c r="AC476" s="190">
        <v>44582</v>
      </c>
      <c r="AD476" s="235">
        <v>44712</v>
      </c>
      <c r="AE476" s="235">
        <v>44687</v>
      </c>
      <c r="AF476" s="114" t="str">
        <f t="shared" ca="1" si="101"/>
        <v>YES</v>
      </c>
      <c r="AG476" s="197">
        <v>784</v>
      </c>
      <c r="AH476" s="197">
        <v>1100</v>
      </c>
      <c r="AI476" s="196">
        <f t="shared" si="102"/>
        <v>1884</v>
      </c>
      <c r="AJ476" s="148" t="s">
        <v>6</v>
      </c>
      <c r="AK476" s="235">
        <v>44874</v>
      </c>
      <c r="AL476" s="232"/>
      <c r="AM476" s="184" t="str">
        <f t="shared" ref="AM476:AM481" si="104">CONCATENATE(B476," ",G476)</f>
        <v>22008 Tessier</v>
      </c>
      <c r="AN476" s="184" t="str">
        <f t="shared" si="103"/>
        <v>22008 Tessier : Broken membranes upon client receipt</v>
      </c>
    </row>
    <row r="477" spans="1:40" ht="14.5" hidden="1" x14ac:dyDescent="0.35">
      <c r="A477" s="78" t="s">
        <v>1810</v>
      </c>
      <c r="B477" s="154">
        <v>22009</v>
      </c>
      <c r="C477" s="143" t="s">
        <v>8</v>
      </c>
      <c r="D477" s="144">
        <v>44603</v>
      </c>
      <c r="E477" s="145" t="s">
        <v>1745</v>
      </c>
      <c r="F477" s="145" t="s">
        <v>658</v>
      </c>
      <c r="G477" s="146" t="s">
        <v>1836</v>
      </c>
      <c r="H477" s="146" t="s">
        <v>1771</v>
      </c>
      <c r="I477" s="119" t="s">
        <v>2056</v>
      </c>
      <c r="J477" s="232"/>
      <c r="K477" s="145"/>
      <c r="L477" s="145">
        <v>75.226900000000001</v>
      </c>
      <c r="M477" s="147" t="s">
        <v>338</v>
      </c>
      <c r="N477" s="146" t="s">
        <v>1837</v>
      </c>
      <c r="O477" s="146" t="s">
        <v>28</v>
      </c>
      <c r="P477" s="146" t="s">
        <v>103</v>
      </c>
      <c r="Q477" s="232" t="s">
        <v>176</v>
      </c>
      <c r="R477" s="146" t="s">
        <v>145</v>
      </c>
      <c r="S477" s="146"/>
      <c r="T477" s="232"/>
      <c r="U477" s="158"/>
      <c r="V477" s="118" t="s">
        <v>6</v>
      </c>
      <c r="W477" s="143" t="s">
        <v>1745</v>
      </c>
      <c r="X477" s="144">
        <v>44561</v>
      </c>
      <c r="Y477" s="235">
        <f t="shared" si="85"/>
        <v>44692</v>
      </c>
      <c r="Z477" s="113">
        <v>44691</v>
      </c>
      <c r="AA477" s="113" t="str">
        <f t="shared" ref="AA477" ca="1" si="105">IF(Z477="",IF(TODAY()&gt;Y477,"NO","YES"),IF(Z477&gt;Y477,"NO",IF(Z477&lt;Y477,"YES",IF(Y477=Z477,"YES","N/A"))))</f>
        <v>YES</v>
      </c>
      <c r="AB477" s="235"/>
      <c r="AC477" s="235"/>
      <c r="AD477" s="235"/>
      <c r="AE477" s="114"/>
      <c r="AF477" s="197" t="str">
        <f t="shared" ca="1" si="101"/>
        <v>N/A</v>
      </c>
      <c r="AG477" s="197">
        <v>1500</v>
      </c>
      <c r="AH477" s="196">
        <v>694</v>
      </c>
      <c r="AI477" s="237">
        <f t="shared" si="102"/>
        <v>2194</v>
      </c>
      <c r="AJ477" s="70"/>
      <c r="AK477" s="232"/>
      <c r="AL477" s="184"/>
      <c r="AM477" s="184" t="str">
        <f t="shared" si="104"/>
        <v>22009 DYG</v>
      </c>
      <c r="AN477" s="184" t="str">
        <f t="shared" si="103"/>
        <v xml:space="preserve">22009 DYG : Ends of alpha mbre worn out after 3 months usage </v>
      </c>
    </row>
    <row r="478" spans="1:40" ht="14.5" hidden="1" x14ac:dyDescent="0.35">
      <c r="A478" s="78" t="s">
        <v>1838</v>
      </c>
      <c r="B478" s="154">
        <v>22010</v>
      </c>
      <c r="C478" s="143" t="s">
        <v>4</v>
      </c>
      <c r="D478" s="144">
        <v>44607</v>
      </c>
      <c r="E478" s="145" t="s">
        <v>1046</v>
      </c>
      <c r="F478" s="145" t="s">
        <v>420</v>
      </c>
      <c r="G478" s="146" t="s">
        <v>1839</v>
      </c>
      <c r="H478" s="146"/>
      <c r="I478" s="119" t="s">
        <v>2058</v>
      </c>
      <c r="J478" s="232"/>
      <c r="K478" s="145" t="s">
        <v>1840</v>
      </c>
      <c r="L478" s="145"/>
      <c r="M478" s="147"/>
      <c r="N478" s="146" t="s">
        <v>1841</v>
      </c>
      <c r="O478" s="146" t="s">
        <v>420</v>
      </c>
      <c r="P478" s="146" t="s">
        <v>80</v>
      </c>
      <c r="Q478" s="232" t="s">
        <v>1842</v>
      </c>
      <c r="R478" s="146" t="s">
        <v>87</v>
      </c>
      <c r="S478" s="146"/>
      <c r="T478" s="232"/>
      <c r="U478" s="238"/>
      <c r="V478" s="158" t="s">
        <v>6</v>
      </c>
      <c r="W478" s="145" t="s">
        <v>1647</v>
      </c>
      <c r="X478" s="143">
        <v>44609</v>
      </c>
      <c r="Y478" s="144">
        <f t="shared" si="85"/>
        <v>44696</v>
      </c>
      <c r="Z478" s="235">
        <v>44670</v>
      </c>
      <c r="AA478" s="161" t="str">
        <f t="shared" ref="AA478:AA483" ca="1" si="106">IF(Z478="",IF(TODAY()&gt;Y478,"NO","YES"),IF(Z478&gt;Y478,"NO",IF(Z478&lt;Y478,"YES",IF(Y478=Z478,"YES","N/A"))))</f>
        <v>YES</v>
      </c>
      <c r="AB478" s="113"/>
      <c r="AC478" s="232"/>
      <c r="AD478" s="232"/>
      <c r="AE478" s="232"/>
      <c r="AF478" s="148" t="str">
        <f t="shared" ca="1" si="101"/>
        <v>N/A</v>
      </c>
      <c r="AG478" s="242">
        <v>588</v>
      </c>
      <c r="AH478" s="197">
        <v>200</v>
      </c>
      <c r="AI478" s="195">
        <f t="shared" si="102"/>
        <v>788</v>
      </c>
      <c r="AJ478" s="237"/>
      <c r="AK478" s="70" t="s">
        <v>2045</v>
      </c>
      <c r="AL478" s="232"/>
      <c r="AM478" s="184" t="str">
        <f t="shared" si="104"/>
        <v>22010 Abbott</v>
      </c>
      <c r="AN478" s="184" t="str">
        <f t="shared" si="103"/>
        <v>22010 Abbott : Water leak</v>
      </c>
    </row>
    <row r="479" spans="1:40" ht="14.5" hidden="1" x14ac:dyDescent="0.35">
      <c r="A479" s="78" t="s">
        <v>1843</v>
      </c>
      <c r="B479" s="154">
        <v>22011</v>
      </c>
      <c r="C479" s="113" t="s">
        <v>4</v>
      </c>
      <c r="D479" s="117">
        <v>44622</v>
      </c>
      <c r="E479" s="118" t="s">
        <v>1844</v>
      </c>
      <c r="F479" s="118" t="s">
        <v>164</v>
      </c>
      <c r="G479" s="111" t="s">
        <v>1822</v>
      </c>
      <c r="H479" s="111" t="s">
        <v>1845</v>
      </c>
      <c r="I479" s="119" t="s">
        <v>2057</v>
      </c>
      <c r="J479" s="70"/>
      <c r="K479" s="118">
        <v>2113</v>
      </c>
      <c r="L479" s="118">
        <v>16809</v>
      </c>
      <c r="M479" s="147" t="s">
        <v>18</v>
      </c>
      <c r="N479" s="111" t="s">
        <v>1846</v>
      </c>
      <c r="O479" s="111" t="s">
        <v>29</v>
      </c>
      <c r="P479" s="111" t="s">
        <v>86</v>
      </c>
      <c r="Q479" s="70" t="s">
        <v>1036</v>
      </c>
      <c r="R479" s="111" t="s">
        <v>9</v>
      </c>
      <c r="S479" s="111"/>
      <c r="T479" s="70"/>
      <c r="U479" s="70"/>
      <c r="V479" s="158" t="s">
        <v>6</v>
      </c>
      <c r="W479" s="118" t="s">
        <v>319</v>
      </c>
      <c r="X479" s="113">
        <v>44623</v>
      </c>
      <c r="Y479" s="117">
        <f t="shared" ref="Y479:Y485" si="107">EDATE(D479,3)</f>
        <v>44714</v>
      </c>
      <c r="Z479" s="187">
        <v>44698</v>
      </c>
      <c r="AA479" s="161" t="str">
        <f t="shared" ca="1" si="106"/>
        <v>YES</v>
      </c>
      <c r="AB479" s="113"/>
      <c r="AC479" s="70"/>
      <c r="AD479" s="70"/>
      <c r="AE479" s="70"/>
      <c r="AF479" s="114" t="str">
        <f t="shared" ref="AF479:AF485" ca="1" si="108">IF(I479="Claim",IF(AD479="","",IF(AE479="",IF(TODAY()&gt;AD479,"NO","YES"),IF(AE479&gt;AD479,"NO",IF(AE479&lt;AD479,"YES",IF(AD479=AE479,"YES","N/A"))))),"N/A")</f>
        <v>N/A</v>
      </c>
      <c r="AG479" s="194">
        <v>2994</v>
      </c>
      <c r="AH479" s="194">
        <v>0</v>
      </c>
      <c r="AI479" s="196">
        <f t="shared" ref="AI479:AI485" si="109">AH479+AG479</f>
        <v>2994</v>
      </c>
      <c r="AJ479" s="148"/>
      <c r="AK479" s="70" t="s">
        <v>2045</v>
      </c>
      <c r="AL479" s="70"/>
      <c r="AM479" s="165" t="str">
        <f t="shared" si="104"/>
        <v>22011 SUCRO</v>
      </c>
      <c r="AN479" s="165" t="str">
        <f t="shared" ref="AN479:AN485" si="110">CONCATENATE(B479," ",G479," : ",N479)</f>
        <v>22011 SUCRO : Inconsistences between PID and 3D Model of NF Skid</v>
      </c>
    </row>
    <row r="480" spans="1:40" ht="14.5" hidden="1" x14ac:dyDescent="0.35">
      <c r="A480" s="78" t="s">
        <v>1847</v>
      </c>
      <c r="B480" s="154">
        <v>22012</v>
      </c>
      <c r="C480" s="113" t="s">
        <v>4</v>
      </c>
      <c r="D480" s="117">
        <v>44622</v>
      </c>
      <c r="E480" s="118" t="s">
        <v>1848</v>
      </c>
      <c r="F480" s="118" t="s">
        <v>658</v>
      </c>
      <c r="G480" s="111" t="s">
        <v>1849</v>
      </c>
      <c r="H480" s="111" t="s">
        <v>1850</v>
      </c>
      <c r="I480" s="119" t="s">
        <v>2056</v>
      </c>
      <c r="J480" s="70"/>
      <c r="K480" s="118" t="s">
        <v>1851</v>
      </c>
      <c r="L480" s="118">
        <v>17223</v>
      </c>
      <c r="M480" s="147" t="s">
        <v>13</v>
      </c>
      <c r="N480" s="111" t="s">
        <v>1852</v>
      </c>
      <c r="O480" s="111" t="s">
        <v>28</v>
      </c>
      <c r="P480" s="111" t="s">
        <v>103</v>
      </c>
      <c r="Q480" s="70" t="s">
        <v>1683</v>
      </c>
      <c r="R480" s="111" t="s">
        <v>145</v>
      </c>
      <c r="S480" s="111"/>
      <c r="T480" s="70"/>
      <c r="U480" s="70"/>
      <c r="V480" s="158" t="s">
        <v>10</v>
      </c>
      <c r="W480" s="118"/>
      <c r="X480" s="113"/>
      <c r="Y480" s="117">
        <f t="shared" si="107"/>
        <v>44714</v>
      </c>
      <c r="Z480" s="187">
        <v>44698</v>
      </c>
      <c r="AA480" s="161" t="str">
        <f t="shared" ca="1" si="106"/>
        <v>YES</v>
      </c>
      <c r="AB480" s="113"/>
      <c r="AC480" s="70"/>
      <c r="AD480" s="70"/>
      <c r="AE480" s="70"/>
      <c r="AF480" s="114" t="str">
        <f t="shared" ca="1" si="108"/>
        <v>N/A</v>
      </c>
      <c r="AG480" s="194">
        <v>490</v>
      </c>
      <c r="AH480" s="194">
        <v>0</v>
      </c>
      <c r="AI480" s="196">
        <f t="shared" si="109"/>
        <v>490</v>
      </c>
      <c r="AJ480" s="148"/>
      <c r="AK480" s="70" t="s">
        <v>2045</v>
      </c>
      <c r="AL480" s="70"/>
      <c r="AM480" s="165" t="str">
        <f t="shared" si="104"/>
        <v>22012 Beneo Oreye</v>
      </c>
      <c r="AN480" s="165" t="str">
        <f t="shared" si="110"/>
        <v>22012 Beneo Oreye : Reliability of supplier (deadlines and quality)</v>
      </c>
    </row>
    <row r="481" spans="1:40" ht="14.5" hidden="1" x14ac:dyDescent="0.35">
      <c r="A481" s="78" t="s">
        <v>1853</v>
      </c>
      <c r="B481" s="154">
        <v>22013</v>
      </c>
      <c r="C481" s="113" t="s">
        <v>8</v>
      </c>
      <c r="D481" s="117">
        <v>44627</v>
      </c>
      <c r="E481" s="118" t="s">
        <v>1854</v>
      </c>
      <c r="F481" s="118" t="s">
        <v>164</v>
      </c>
      <c r="G481" s="111" t="s">
        <v>1855</v>
      </c>
      <c r="H481" s="111" t="s">
        <v>433</v>
      </c>
      <c r="I481" s="119" t="s">
        <v>5</v>
      </c>
      <c r="J481" s="70"/>
      <c r="K481" s="118"/>
      <c r="L481" s="118">
        <v>14619</v>
      </c>
      <c r="M481" s="147" t="s">
        <v>13</v>
      </c>
      <c r="N481" s="111" t="s">
        <v>1856</v>
      </c>
      <c r="O481" s="111" t="s">
        <v>29</v>
      </c>
      <c r="P481" s="111" t="s">
        <v>86</v>
      </c>
      <c r="Q481" s="70" t="s">
        <v>916</v>
      </c>
      <c r="R481" s="111" t="s">
        <v>145</v>
      </c>
      <c r="S481" s="111"/>
      <c r="T481" s="70"/>
      <c r="U481" s="74"/>
      <c r="V481" s="158" t="s">
        <v>6</v>
      </c>
      <c r="W481" s="118" t="s">
        <v>1854</v>
      </c>
      <c r="X481" s="113">
        <v>44627</v>
      </c>
      <c r="Y481" s="117">
        <f t="shared" si="107"/>
        <v>44719</v>
      </c>
      <c r="Z481" s="187">
        <v>44911</v>
      </c>
      <c r="AA481" s="161" t="str">
        <f t="shared" ca="1" si="106"/>
        <v>NO</v>
      </c>
      <c r="AB481" s="113">
        <v>44609</v>
      </c>
      <c r="AC481" s="187">
        <v>44609</v>
      </c>
      <c r="AD481" s="187">
        <v>44926</v>
      </c>
      <c r="AE481" s="187">
        <v>44911</v>
      </c>
      <c r="AF481" s="114" t="str">
        <f t="shared" ca="1" si="108"/>
        <v>YES</v>
      </c>
      <c r="AG481" s="194">
        <v>5125</v>
      </c>
      <c r="AH481" s="194">
        <v>32166</v>
      </c>
      <c r="AI481" s="196">
        <f t="shared" si="109"/>
        <v>37291</v>
      </c>
      <c r="AJ481" s="148"/>
      <c r="AK481" s="70"/>
      <c r="AL481" s="70"/>
      <c r="AM481" s="165" t="str">
        <f t="shared" si="104"/>
        <v>22013 ENSIGN</v>
      </c>
      <c r="AN481" s="165" t="str">
        <f t="shared" si="110"/>
        <v xml:space="preserve">22013 ENSIGN : Rubber lining cracking </v>
      </c>
    </row>
    <row r="482" spans="1:40" ht="14.5" hidden="1" x14ac:dyDescent="0.35">
      <c r="A482" s="78" t="s">
        <v>1857</v>
      </c>
      <c r="B482" s="154">
        <v>22014</v>
      </c>
      <c r="C482" s="113" t="s">
        <v>4</v>
      </c>
      <c r="D482" s="117">
        <v>44637</v>
      </c>
      <c r="E482" s="118" t="s">
        <v>1698</v>
      </c>
      <c r="F482" s="118" t="s">
        <v>1699</v>
      </c>
      <c r="G482" s="111" t="s">
        <v>1504</v>
      </c>
      <c r="H482" s="111" t="s">
        <v>1858</v>
      </c>
      <c r="I482" s="119" t="s">
        <v>5</v>
      </c>
      <c r="J482" s="70"/>
      <c r="K482" s="118"/>
      <c r="L482" s="118" t="s">
        <v>1859</v>
      </c>
      <c r="M482" s="147"/>
      <c r="N482" s="111" t="s">
        <v>1860</v>
      </c>
      <c r="O482" s="111" t="s">
        <v>28</v>
      </c>
      <c r="P482" s="111" t="s">
        <v>103</v>
      </c>
      <c r="Q482" s="70" t="s">
        <v>510</v>
      </c>
      <c r="R482" s="111" t="s">
        <v>145</v>
      </c>
      <c r="S482" s="111"/>
      <c r="T482" s="70"/>
      <c r="U482" s="74"/>
      <c r="V482" s="158" t="s">
        <v>6</v>
      </c>
      <c r="W482" s="118" t="s">
        <v>1476</v>
      </c>
      <c r="X482" s="113">
        <v>44641</v>
      </c>
      <c r="Y482" s="117">
        <f t="shared" si="107"/>
        <v>44729</v>
      </c>
      <c r="Z482" s="187">
        <v>44683</v>
      </c>
      <c r="AA482" s="161" t="str">
        <f t="shared" ca="1" si="106"/>
        <v>YES</v>
      </c>
      <c r="AB482" s="113">
        <v>44629</v>
      </c>
      <c r="AC482" s="190">
        <v>44631</v>
      </c>
      <c r="AD482" s="187">
        <v>44742</v>
      </c>
      <c r="AE482" s="187">
        <v>44683</v>
      </c>
      <c r="AF482" s="114" t="str">
        <f t="shared" ca="1" si="108"/>
        <v>YES</v>
      </c>
      <c r="AG482" s="194">
        <v>98</v>
      </c>
      <c r="AH482" s="194">
        <v>0</v>
      </c>
      <c r="AI482" s="196">
        <f t="shared" si="109"/>
        <v>98</v>
      </c>
      <c r="AJ482" s="148" t="s">
        <v>6</v>
      </c>
      <c r="AK482" s="187">
        <v>44874</v>
      </c>
      <c r="AL482" s="70"/>
      <c r="AM482" s="165" t="str">
        <f t="shared" ref="AM482:AM487" si="111">CONCATENATE(B482," ",G482)</f>
        <v>22014 Parry Sugar</v>
      </c>
      <c r="AN482" s="165" t="str">
        <f t="shared" si="110"/>
        <v>22014 Parry Sugar : Wrong packing list</v>
      </c>
    </row>
    <row r="483" spans="1:40" ht="14.5" hidden="1" x14ac:dyDescent="0.35">
      <c r="A483" s="78" t="s">
        <v>1853</v>
      </c>
      <c r="B483" s="154">
        <v>22015</v>
      </c>
      <c r="C483" s="113" t="s">
        <v>8</v>
      </c>
      <c r="D483" s="117">
        <v>44651</v>
      </c>
      <c r="E483" s="118" t="s">
        <v>1664</v>
      </c>
      <c r="F483" s="118" t="s">
        <v>164</v>
      </c>
      <c r="G483" s="111" t="s">
        <v>1822</v>
      </c>
      <c r="H483" s="111" t="s">
        <v>1861</v>
      </c>
      <c r="I483" s="119" t="s">
        <v>2056</v>
      </c>
      <c r="J483" s="70"/>
      <c r="K483" s="118">
        <v>2113</v>
      </c>
      <c r="L483" s="118">
        <v>16809</v>
      </c>
      <c r="M483" s="147"/>
      <c r="N483" s="111" t="s">
        <v>1862</v>
      </c>
      <c r="O483" s="111" t="s">
        <v>29</v>
      </c>
      <c r="P483" s="111" t="s">
        <v>86</v>
      </c>
      <c r="Q483" s="70" t="s">
        <v>1629</v>
      </c>
      <c r="R483" s="111" t="s">
        <v>145</v>
      </c>
      <c r="S483" s="111"/>
      <c r="T483" s="70"/>
      <c r="U483" s="74"/>
      <c r="V483" s="158" t="s">
        <v>6</v>
      </c>
      <c r="W483" s="118" t="s">
        <v>1664</v>
      </c>
      <c r="X483" s="113">
        <v>44645</v>
      </c>
      <c r="Y483" s="117">
        <f t="shared" si="107"/>
        <v>44742</v>
      </c>
      <c r="Z483" s="187">
        <v>44712</v>
      </c>
      <c r="AA483" s="161" t="str">
        <f t="shared" ca="1" si="106"/>
        <v>YES</v>
      </c>
      <c r="AB483" s="113"/>
      <c r="AC483" s="70"/>
      <c r="AD483" s="70"/>
      <c r="AE483" s="70"/>
      <c r="AF483" s="114" t="str">
        <f t="shared" ca="1" si="108"/>
        <v>N/A</v>
      </c>
      <c r="AG483" s="194">
        <v>500</v>
      </c>
      <c r="AH483" s="194">
        <v>0</v>
      </c>
      <c r="AI483" s="196">
        <f t="shared" si="109"/>
        <v>500</v>
      </c>
      <c r="AJ483" s="148"/>
      <c r="AK483" s="70"/>
      <c r="AL483" s="70"/>
      <c r="AM483" s="165" t="str">
        <f t="shared" si="111"/>
        <v>22015 SUCRO</v>
      </c>
      <c r="AN483" s="165" t="str">
        <f t="shared" si="110"/>
        <v xml:space="preserve">22015 SUCRO : FRP sand filter nozzle plate thickness issue </v>
      </c>
    </row>
    <row r="484" spans="1:40" ht="14.5" hidden="1" x14ac:dyDescent="0.35">
      <c r="A484" s="206" t="s">
        <v>1863</v>
      </c>
      <c r="B484" s="154">
        <v>22016</v>
      </c>
      <c r="C484" s="113" t="s">
        <v>4</v>
      </c>
      <c r="D484" s="117">
        <v>44658</v>
      </c>
      <c r="E484" s="118" t="s">
        <v>1575</v>
      </c>
      <c r="F484" s="118" t="s">
        <v>164</v>
      </c>
      <c r="G484" s="111" t="s">
        <v>1864</v>
      </c>
      <c r="H484" s="111" t="s">
        <v>930</v>
      </c>
      <c r="I484" s="119" t="s">
        <v>2057</v>
      </c>
      <c r="J484" s="70"/>
      <c r="K484" s="118">
        <v>2104</v>
      </c>
      <c r="L484" s="118">
        <v>15841</v>
      </c>
      <c r="M484" s="147" t="s">
        <v>13</v>
      </c>
      <c r="N484" s="111" t="s">
        <v>1865</v>
      </c>
      <c r="O484" s="111" t="s">
        <v>29</v>
      </c>
      <c r="P484" s="111" t="s">
        <v>86</v>
      </c>
      <c r="Q484" s="70" t="s">
        <v>885</v>
      </c>
      <c r="R484" s="111" t="s">
        <v>9</v>
      </c>
      <c r="S484" s="111"/>
      <c r="T484" s="70"/>
      <c r="U484" s="74"/>
      <c r="V484" s="158" t="s">
        <v>6</v>
      </c>
      <c r="W484" s="118" t="s">
        <v>319</v>
      </c>
      <c r="X484" s="113">
        <v>44665</v>
      </c>
      <c r="Y484" s="117">
        <f t="shared" si="107"/>
        <v>44749</v>
      </c>
      <c r="Z484" s="187">
        <v>44749</v>
      </c>
      <c r="AA484" s="161" t="str">
        <f t="shared" ref="AA484:AA491" ca="1" si="112">IF(Z484="",IF(TODAY()&gt;Y484,"NO","YES"),IF(Z484&gt;Y484,"NO",IF(Z484&lt;Y484,"YES",IF(Y484=Z484,"YES","N/A"))))</f>
        <v>YES</v>
      </c>
      <c r="AB484" s="113"/>
      <c r="AC484" s="70"/>
      <c r="AD484" s="70"/>
      <c r="AE484" s="70"/>
      <c r="AF484" s="114" t="str">
        <f t="shared" ca="1" si="108"/>
        <v>N/A</v>
      </c>
      <c r="AG484" s="194">
        <v>980</v>
      </c>
      <c r="AH484" s="194">
        <v>21000</v>
      </c>
      <c r="AI484" s="196">
        <f t="shared" si="109"/>
        <v>21980</v>
      </c>
      <c r="AJ484" s="148" t="s">
        <v>6</v>
      </c>
      <c r="AK484" s="187">
        <v>45237</v>
      </c>
      <c r="AL484" s="70"/>
      <c r="AM484" s="165" t="str">
        <f t="shared" si="111"/>
        <v>22016 Cargill BOZ</v>
      </c>
      <c r="AN484" s="165" t="str">
        <f t="shared" si="110"/>
        <v>22016 Cargill BOZ : Manholes and davit design</v>
      </c>
    </row>
    <row r="485" spans="1:40" ht="14.5" hidden="1" x14ac:dyDescent="0.35">
      <c r="A485" s="78" t="s">
        <v>1866</v>
      </c>
      <c r="B485" s="154">
        <v>22017</v>
      </c>
      <c r="C485" s="113" t="s">
        <v>4</v>
      </c>
      <c r="D485" s="117">
        <v>44658</v>
      </c>
      <c r="E485" s="118" t="s">
        <v>273</v>
      </c>
      <c r="F485" s="118" t="s">
        <v>658</v>
      </c>
      <c r="G485" s="111" t="s">
        <v>2047</v>
      </c>
      <c r="H485" s="111" t="s">
        <v>807</v>
      </c>
      <c r="I485" s="119" t="s">
        <v>2058</v>
      </c>
      <c r="J485" s="70"/>
      <c r="K485" s="118"/>
      <c r="L485" s="118"/>
      <c r="M485" s="147"/>
      <c r="N485" s="111" t="s">
        <v>1867</v>
      </c>
      <c r="O485" s="111" t="s">
        <v>28</v>
      </c>
      <c r="P485" s="111" t="s">
        <v>103</v>
      </c>
      <c r="Q485" s="70" t="s">
        <v>1868</v>
      </c>
      <c r="R485" s="111" t="s">
        <v>87</v>
      </c>
      <c r="S485" s="111"/>
      <c r="T485" s="70"/>
      <c r="U485" s="74"/>
      <c r="V485" s="158" t="s">
        <v>6</v>
      </c>
      <c r="W485" s="118" t="s">
        <v>273</v>
      </c>
      <c r="X485" s="113">
        <v>44663</v>
      </c>
      <c r="Y485" s="117">
        <f t="shared" si="107"/>
        <v>44749</v>
      </c>
      <c r="Z485" s="187">
        <v>44732</v>
      </c>
      <c r="AA485" s="161" t="str">
        <f t="shared" ca="1" si="112"/>
        <v>YES</v>
      </c>
      <c r="AB485" s="113"/>
      <c r="AC485" s="70"/>
      <c r="AD485" s="70"/>
      <c r="AE485" s="70"/>
      <c r="AF485" s="114" t="str">
        <f t="shared" ca="1" si="108"/>
        <v>N/A</v>
      </c>
      <c r="AG485" s="194">
        <v>1470</v>
      </c>
      <c r="AH485" s="194">
        <v>0</v>
      </c>
      <c r="AI485" s="196">
        <f t="shared" si="109"/>
        <v>1470</v>
      </c>
      <c r="AJ485" s="148" t="s">
        <v>6</v>
      </c>
      <c r="AK485" s="187">
        <v>44874</v>
      </c>
      <c r="AL485" s="70"/>
      <c r="AM485" s="165" t="str">
        <f t="shared" si="111"/>
        <v>22017 interne</v>
      </c>
      <c r="AN485" s="165" t="str">
        <f t="shared" si="110"/>
        <v>22017 interne : Hot water leakage</v>
      </c>
    </row>
    <row r="486" spans="1:40" ht="14.15" hidden="1" customHeight="1" x14ac:dyDescent="0.35">
      <c r="A486" s="153" t="s">
        <v>1869</v>
      </c>
      <c r="B486" s="154">
        <v>22018</v>
      </c>
      <c r="C486" s="113" t="s">
        <v>4</v>
      </c>
      <c r="D486" s="117">
        <v>44659</v>
      </c>
      <c r="E486" s="118" t="s">
        <v>1396</v>
      </c>
      <c r="F486" s="118" t="s">
        <v>164</v>
      </c>
      <c r="G486" s="111" t="s">
        <v>1704</v>
      </c>
      <c r="H486" s="111"/>
      <c r="I486" s="119" t="s">
        <v>2057</v>
      </c>
      <c r="J486" s="70"/>
      <c r="K486" s="118">
        <v>2105</v>
      </c>
      <c r="L486" s="118">
        <v>15099</v>
      </c>
      <c r="M486" s="147" t="s">
        <v>672</v>
      </c>
      <c r="N486" s="111" t="s">
        <v>1870</v>
      </c>
      <c r="O486" s="111" t="s">
        <v>29</v>
      </c>
      <c r="P486" s="111" t="s">
        <v>176</v>
      </c>
      <c r="Q486" s="70" t="s">
        <v>1358</v>
      </c>
      <c r="R486" s="111" t="s">
        <v>9</v>
      </c>
      <c r="S486" s="111"/>
      <c r="T486" s="70"/>
      <c r="U486" s="74"/>
      <c r="V486" s="158" t="s">
        <v>6</v>
      </c>
      <c r="W486" s="118" t="s">
        <v>1871</v>
      </c>
      <c r="X486" s="113">
        <v>44685</v>
      </c>
      <c r="Y486" s="117">
        <f t="shared" ref="Y486:Y491" si="113">EDATE(D486,3)</f>
        <v>44750</v>
      </c>
      <c r="Z486" s="187">
        <v>44742</v>
      </c>
      <c r="AA486" s="161" t="str">
        <f t="shared" ca="1" si="112"/>
        <v>YES</v>
      </c>
      <c r="AB486" s="113"/>
      <c r="AC486" s="70"/>
      <c r="AD486" s="70"/>
      <c r="AE486" s="70"/>
      <c r="AF486" s="114" t="str">
        <f ca="1">IF(I486="Claim",IF(AD486="","",IF(AE486="",IF(TODAY()&gt;AD486,"NO","YES"),IF(AE486&gt;AD486,"NO",IF(AE486&lt;AD486,"YES",IF(AD486=AE486,"YES","N/A"))))),"N/A")</f>
        <v>N/A</v>
      </c>
      <c r="AG486" s="194">
        <v>490</v>
      </c>
      <c r="AH486" s="194">
        <v>0</v>
      </c>
      <c r="AI486" s="196">
        <f>AH486+AG486</f>
        <v>490</v>
      </c>
      <c r="AJ486" s="148" t="s">
        <v>6</v>
      </c>
      <c r="AK486" s="187">
        <v>45240</v>
      </c>
      <c r="AL486" s="70"/>
      <c r="AM486" s="165" t="str">
        <f t="shared" si="111"/>
        <v>22018 Savola</v>
      </c>
      <c r="AN486" s="165" t="str">
        <f t="shared" ref="AN486:AN491" si="114">CONCATENATE(B486," ",G486," : ",N486)</f>
        <v>22018 Savola : Shipping documents and custom clearance issues</v>
      </c>
    </row>
    <row r="487" spans="1:40" ht="14.5" hidden="1" x14ac:dyDescent="0.35">
      <c r="A487" s="78" t="s">
        <v>1872</v>
      </c>
      <c r="B487" s="154">
        <v>22019</v>
      </c>
      <c r="C487" s="113" t="s">
        <v>4</v>
      </c>
      <c r="D487" s="117">
        <v>44663</v>
      </c>
      <c r="E487" s="118" t="s">
        <v>91</v>
      </c>
      <c r="F487" s="118" t="s">
        <v>658</v>
      </c>
      <c r="G487" s="111" t="s">
        <v>1873</v>
      </c>
      <c r="H487" s="111" t="s">
        <v>597</v>
      </c>
      <c r="I487" s="119" t="s">
        <v>2057</v>
      </c>
      <c r="J487" s="70" t="s">
        <v>1332</v>
      </c>
      <c r="K487" s="118" t="s">
        <v>1874</v>
      </c>
      <c r="L487" s="118">
        <v>18076</v>
      </c>
      <c r="M487" s="147" t="s">
        <v>11</v>
      </c>
      <c r="N487" s="111" t="s">
        <v>1875</v>
      </c>
      <c r="O487" s="111" t="s">
        <v>28</v>
      </c>
      <c r="P487" s="111" t="s">
        <v>103</v>
      </c>
      <c r="Q487" s="70" t="s">
        <v>1830</v>
      </c>
      <c r="R487" s="111" t="s">
        <v>9</v>
      </c>
      <c r="S487" s="111"/>
      <c r="T487" s="70"/>
      <c r="U487" s="74"/>
      <c r="V487" s="158" t="s">
        <v>6</v>
      </c>
      <c r="W487" s="118" t="s">
        <v>120</v>
      </c>
      <c r="X487" s="113">
        <v>44684</v>
      </c>
      <c r="Y487" s="117">
        <f t="shared" si="113"/>
        <v>44754</v>
      </c>
      <c r="Z487" s="187">
        <v>44732</v>
      </c>
      <c r="AA487" s="161" t="str">
        <f t="shared" ca="1" si="112"/>
        <v>YES</v>
      </c>
      <c r="AB487" s="113"/>
      <c r="AC487" s="70"/>
      <c r="AD487" s="70"/>
      <c r="AE487" s="70"/>
      <c r="AF487" s="114" t="str">
        <f ca="1">IF(I487="Claim",IF(AD487="","",IF(AE487="",IF(TODAY()&gt;AD487,"NO","YES"),IF(AE487&gt;AD487,"NO",IF(AE487&lt;AD487,"YES",IF(AD487=AE487,"YES","N/A"))))),"N/A")</f>
        <v>N/A</v>
      </c>
      <c r="AG487" s="194">
        <v>294</v>
      </c>
      <c r="AH487" s="194">
        <v>9500</v>
      </c>
      <c r="AI487" s="196">
        <f>AH487+AG487</f>
        <v>9794</v>
      </c>
      <c r="AJ487" s="148" t="s">
        <v>6</v>
      </c>
      <c r="AK487" s="187">
        <v>45236</v>
      </c>
      <c r="AL487" s="70" t="s">
        <v>1876</v>
      </c>
      <c r="AM487" s="165" t="str">
        <f t="shared" si="111"/>
        <v>22019 ADM Chamtor</v>
      </c>
      <c r="AN487" s="165" t="str">
        <f t="shared" si="114"/>
        <v>22019 ADM Chamtor : Piping budget underestimated</v>
      </c>
    </row>
    <row r="488" spans="1:40" ht="14.5" hidden="1" x14ac:dyDescent="0.35">
      <c r="A488" s="78" t="s">
        <v>1877</v>
      </c>
      <c r="B488" s="154">
        <v>22020</v>
      </c>
      <c r="C488" s="113" t="s">
        <v>4</v>
      </c>
      <c r="D488" s="117">
        <v>44677</v>
      </c>
      <c r="E488" s="118" t="s">
        <v>195</v>
      </c>
      <c r="F488" s="118" t="s">
        <v>420</v>
      </c>
      <c r="G488" s="111" t="s">
        <v>1878</v>
      </c>
      <c r="H488" s="111"/>
      <c r="I488" s="119" t="s">
        <v>2058</v>
      </c>
      <c r="J488" s="70"/>
      <c r="K488" s="118" t="s">
        <v>1879</v>
      </c>
      <c r="L488" s="118"/>
      <c r="M488" s="147"/>
      <c r="N488" s="111" t="s">
        <v>1880</v>
      </c>
      <c r="O488" s="111" t="s">
        <v>420</v>
      </c>
      <c r="P488" s="111" t="s">
        <v>80</v>
      </c>
      <c r="Q488" s="70" t="s">
        <v>1543</v>
      </c>
      <c r="R488" s="111" t="s">
        <v>87</v>
      </c>
      <c r="S488" s="111"/>
      <c r="T488" s="70"/>
      <c r="U488" s="74"/>
      <c r="V488" s="158" t="s">
        <v>6</v>
      </c>
      <c r="W488" s="118" t="s">
        <v>1647</v>
      </c>
      <c r="X488" s="113">
        <v>44690</v>
      </c>
      <c r="Y488" s="117">
        <f t="shared" si="113"/>
        <v>44768</v>
      </c>
      <c r="Z488" s="187">
        <v>44733</v>
      </c>
      <c r="AA488" s="161" t="str">
        <f t="shared" ca="1" si="112"/>
        <v>YES</v>
      </c>
      <c r="AB488" s="113"/>
      <c r="AC488" s="70"/>
      <c r="AD488" s="70"/>
      <c r="AE488" s="70"/>
      <c r="AF488" s="114" t="str">
        <f ca="1">IF(I488="Claim",IF(AD488="","",IF(AE488="",IF(TODAY()&gt;AD488,"NO","YES"),IF(AE488&gt;AD488,"NO",IF(AE488&lt;AD488,"YES",IF(AD488=AE488,"YES","N/A"))))),"N/A")</f>
        <v>N/A</v>
      </c>
      <c r="AG488" s="194">
        <v>294</v>
      </c>
      <c r="AH488" s="194">
        <v>0</v>
      </c>
      <c r="AI488" s="196">
        <f>AH488+AG488</f>
        <v>294</v>
      </c>
      <c r="AJ488" s="148" t="s">
        <v>6</v>
      </c>
      <c r="AK488" s="187">
        <v>45238</v>
      </c>
      <c r="AL488" s="70"/>
      <c r="AM488" s="165" t="str">
        <f t="shared" ref="AM488:AM493" si="115">CONCATENATE(B488," ",G488)</f>
        <v>22020 TREDI</v>
      </c>
      <c r="AN488" s="165" t="str">
        <f t="shared" si="114"/>
        <v>22020 TREDI : Brine IBC leak</v>
      </c>
    </row>
    <row r="489" spans="1:40" ht="14.5" hidden="1" x14ac:dyDescent="0.35">
      <c r="A489" s="78" t="s">
        <v>1881</v>
      </c>
      <c r="B489" s="154">
        <v>22021</v>
      </c>
      <c r="C489" s="113" t="s">
        <v>4</v>
      </c>
      <c r="D489" s="117">
        <v>44677</v>
      </c>
      <c r="E489" s="118" t="s">
        <v>195</v>
      </c>
      <c r="F489" s="118" t="s">
        <v>420</v>
      </c>
      <c r="G489" s="111" t="s">
        <v>1882</v>
      </c>
      <c r="H489" s="111"/>
      <c r="I489" s="119" t="s">
        <v>2058</v>
      </c>
      <c r="J489" s="70"/>
      <c r="K489" s="118" t="s">
        <v>1883</v>
      </c>
      <c r="L489" s="118"/>
      <c r="M489" s="147" t="s">
        <v>955</v>
      </c>
      <c r="N489" s="111" t="s">
        <v>1884</v>
      </c>
      <c r="O489" s="111" t="s">
        <v>420</v>
      </c>
      <c r="P489" s="111" t="s">
        <v>80</v>
      </c>
      <c r="Q489" s="70" t="s">
        <v>1543</v>
      </c>
      <c r="R489" s="111" t="s">
        <v>87</v>
      </c>
      <c r="S489" s="111"/>
      <c r="T489" s="70"/>
      <c r="U489" s="74"/>
      <c r="V489" s="158" t="s">
        <v>6</v>
      </c>
      <c r="W489" s="118" t="s">
        <v>1647</v>
      </c>
      <c r="X489" s="113">
        <v>44690</v>
      </c>
      <c r="Y489" s="117">
        <f t="shared" si="113"/>
        <v>44768</v>
      </c>
      <c r="Z489" s="187">
        <v>44733</v>
      </c>
      <c r="AA489" s="161" t="str">
        <f t="shared" ca="1" si="112"/>
        <v>YES</v>
      </c>
      <c r="AB489" s="113"/>
      <c r="AC489" s="70"/>
      <c r="AD489" s="70"/>
      <c r="AE489" s="70"/>
      <c r="AF489" s="114" t="str">
        <f ca="1">IF(I489="Claim",IF(AD489="","",IF(AE489="",IF(TODAY()&gt;AD489,"NO","YES"),IF(AE489&gt;AD489,"NO",IF(AE489&lt;AD489,"YES",IF(AD489=AE489,"YES","N/A"))))),"N/A")</f>
        <v>N/A</v>
      </c>
      <c r="AG489" s="194">
        <v>490</v>
      </c>
      <c r="AH489" s="194">
        <v>1163</v>
      </c>
      <c r="AI489" s="196">
        <f>AH489+AG489</f>
        <v>1653</v>
      </c>
      <c r="AJ489" s="148" t="s">
        <v>6</v>
      </c>
      <c r="AK489" s="187">
        <v>45238</v>
      </c>
      <c r="AL489" s="70"/>
      <c r="AM489" s="165" t="str">
        <f t="shared" si="115"/>
        <v>22021 Damhert</v>
      </c>
      <c r="AN489" s="165" t="str">
        <f t="shared" si="114"/>
        <v>22021 Damhert : Glycol water leak on 7l evapo</v>
      </c>
    </row>
    <row r="490" spans="1:40" ht="14.5" hidden="1" x14ac:dyDescent="0.35">
      <c r="A490" s="78" t="s">
        <v>1885</v>
      </c>
      <c r="B490" s="154">
        <v>22022</v>
      </c>
      <c r="C490" s="113" t="s">
        <v>4</v>
      </c>
      <c r="D490" s="117">
        <v>44700</v>
      </c>
      <c r="E490" s="118" t="s">
        <v>1019</v>
      </c>
      <c r="F490" s="118" t="s">
        <v>658</v>
      </c>
      <c r="G490" s="111" t="s">
        <v>1886</v>
      </c>
      <c r="H490" s="111"/>
      <c r="I490" s="119" t="s">
        <v>5</v>
      </c>
      <c r="J490" s="70"/>
      <c r="K490" s="118"/>
      <c r="L490" s="118" t="s">
        <v>1887</v>
      </c>
      <c r="M490" s="147" t="s">
        <v>13</v>
      </c>
      <c r="N490" s="111" t="s">
        <v>1888</v>
      </c>
      <c r="O490" s="111" t="s">
        <v>28</v>
      </c>
      <c r="P490" s="111" t="s">
        <v>103</v>
      </c>
      <c r="Q490" s="70" t="s">
        <v>1889</v>
      </c>
      <c r="R490" s="111" t="s">
        <v>1890</v>
      </c>
      <c r="S490" s="111"/>
      <c r="T490" s="70"/>
      <c r="U490" s="74"/>
      <c r="V490" s="158" t="s">
        <v>6</v>
      </c>
      <c r="W490" s="118" t="s">
        <v>1891</v>
      </c>
      <c r="X490" s="113">
        <v>44697</v>
      </c>
      <c r="Y490" s="117">
        <f t="shared" si="113"/>
        <v>44792</v>
      </c>
      <c r="Z490" s="187">
        <v>44803</v>
      </c>
      <c r="AA490" s="161" t="str">
        <f t="shared" ca="1" si="112"/>
        <v>NO</v>
      </c>
      <c r="AB490" s="113">
        <v>44691</v>
      </c>
      <c r="AC490" s="187">
        <v>44691</v>
      </c>
      <c r="AD490" s="187">
        <v>44804</v>
      </c>
      <c r="AE490" s="187">
        <v>44803</v>
      </c>
      <c r="AF490" s="114" t="str">
        <f t="shared" ref="AF490:AF491" ca="1" si="116">IF(I490="Claim",IF(AD490="","",IF(AE490="",IF(TODAY()&gt;AD490,"NO","YES"),IF(AE490&gt;AD490,"NO",IF(AE490&lt;AD490,"YES",IF(AD490=AE490,"YES","N/A"))))),"N/A")</f>
        <v>YES</v>
      </c>
      <c r="AG490" s="194">
        <v>2450</v>
      </c>
      <c r="AH490" s="194">
        <v>0</v>
      </c>
      <c r="AI490" s="196">
        <f>AH490+AG490</f>
        <v>2450</v>
      </c>
      <c r="AJ490" s="148"/>
      <c r="AK490" s="70" t="s">
        <v>2045</v>
      </c>
      <c r="AL490" s="70"/>
      <c r="AM490" s="165" t="str">
        <f t="shared" si="115"/>
        <v>22022 CJ Bio</v>
      </c>
      <c r="AN490" s="165" t="str">
        <f t="shared" si="114"/>
        <v>22022 CJ Bio : Automatic by pass cell procedure cIEX</v>
      </c>
    </row>
    <row r="491" spans="1:40" ht="14.5" hidden="1" x14ac:dyDescent="0.35">
      <c r="A491" s="78" t="s">
        <v>1853</v>
      </c>
      <c r="B491" s="207">
        <v>22023</v>
      </c>
      <c r="C491" s="208" t="s">
        <v>8</v>
      </c>
      <c r="D491" s="209">
        <v>44705</v>
      </c>
      <c r="E491" s="210" t="s">
        <v>1745</v>
      </c>
      <c r="F491" s="210" t="s">
        <v>658</v>
      </c>
      <c r="G491" s="211" t="s">
        <v>782</v>
      </c>
      <c r="H491" s="211" t="s">
        <v>357</v>
      </c>
      <c r="I491" s="212" t="s">
        <v>5</v>
      </c>
      <c r="J491" s="73"/>
      <c r="K491" s="210"/>
      <c r="L491" s="210">
        <v>75.233099999999993</v>
      </c>
      <c r="M491" s="213" t="s">
        <v>338</v>
      </c>
      <c r="N491" s="211" t="s">
        <v>1892</v>
      </c>
      <c r="O491" s="211" t="s">
        <v>28</v>
      </c>
      <c r="P491" s="211" t="s">
        <v>103</v>
      </c>
      <c r="Q491" s="73" t="s">
        <v>176</v>
      </c>
      <c r="R491" s="211" t="s">
        <v>9</v>
      </c>
      <c r="S491" s="211"/>
      <c r="T491" s="73"/>
      <c r="U491" s="74"/>
      <c r="V491" s="215" t="s">
        <v>6</v>
      </c>
      <c r="W491" s="210" t="s">
        <v>1745</v>
      </c>
      <c r="X491" s="208">
        <v>44687</v>
      </c>
      <c r="Y491" s="209">
        <f t="shared" si="113"/>
        <v>44797</v>
      </c>
      <c r="Z491" s="221">
        <v>44796</v>
      </c>
      <c r="AA491" s="216" t="str">
        <f t="shared" ca="1" si="112"/>
        <v>YES</v>
      </c>
      <c r="AB491" s="208">
        <v>44697</v>
      </c>
      <c r="AC491" s="208">
        <v>44697</v>
      </c>
      <c r="AD491" s="221">
        <v>44804</v>
      </c>
      <c r="AE491" s="221">
        <v>44796</v>
      </c>
      <c r="AF491" s="217" t="str">
        <f t="shared" ca="1" si="116"/>
        <v>YES</v>
      </c>
      <c r="AG491" s="218">
        <v>0</v>
      </c>
      <c r="AH491" s="218">
        <v>6595</v>
      </c>
      <c r="AI491" s="222">
        <f>CHRONO_CAP[[#This Row],[Hours (€)]]+CHRONO_CAP[[#This Row],[Eqmt (€)]]</f>
        <v>6595</v>
      </c>
      <c r="AJ491" s="219"/>
      <c r="AK491" s="73"/>
      <c r="AL491" s="73"/>
      <c r="AM491" s="220" t="str">
        <f t="shared" si="115"/>
        <v>22023 BBCA</v>
      </c>
      <c r="AN491" s="220" t="str">
        <f t="shared" si="114"/>
        <v>22023 BBCA : Order placing late</v>
      </c>
    </row>
    <row r="492" spans="1:40" ht="14.5" hidden="1" x14ac:dyDescent="0.35">
      <c r="A492" s="78" t="s">
        <v>1853</v>
      </c>
      <c r="B492" s="207">
        <v>22024</v>
      </c>
      <c r="C492" s="208" t="s">
        <v>8</v>
      </c>
      <c r="D492" s="209">
        <v>44711</v>
      </c>
      <c r="E492" s="210" t="s">
        <v>1664</v>
      </c>
      <c r="F492" s="210" t="s">
        <v>164</v>
      </c>
      <c r="G492" s="211" t="s">
        <v>1811</v>
      </c>
      <c r="H492" s="211" t="s">
        <v>1796</v>
      </c>
      <c r="I492" s="212" t="s">
        <v>17</v>
      </c>
      <c r="J492" s="73"/>
      <c r="K492" s="210">
        <v>2092</v>
      </c>
      <c r="L492" s="210">
        <v>15490</v>
      </c>
      <c r="M492" s="213" t="s">
        <v>11</v>
      </c>
      <c r="N492" s="214" t="s">
        <v>1893</v>
      </c>
      <c r="O492" s="211" t="s">
        <v>29</v>
      </c>
      <c r="P492" s="211" t="s">
        <v>86</v>
      </c>
      <c r="Q492" s="73" t="s">
        <v>1036</v>
      </c>
      <c r="R492" s="211" t="s">
        <v>9</v>
      </c>
      <c r="S492" s="211"/>
      <c r="T492" s="73"/>
      <c r="U492" s="74"/>
      <c r="V492" s="215" t="s">
        <v>6</v>
      </c>
      <c r="W492" s="210" t="s">
        <v>1664</v>
      </c>
      <c r="X492" s="208">
        <v>44706</v>
      </c>
      <c r="Y492" s="209">
        <f t="shared" ref="Y492:Y497" si="117">EDATE(D492,3)</f>
        <v>44803</v>
      </c>
      <c r="Z492" s="221">
        <v>44776</v>
      </c>
      <c r="AA492" s="216" t="str">
        <f t="shared" ref="AA492:AA497" ca="1" si="118">IF(Z492="",IF(TODAY()&gt;Y492,"NO","YES"),IF(Z492&gt;Y492,"NO",IF(Z492&lt;Y492,"YES",IF(Y492=Z492,"YES","N/A"))))</f>
        <v>YES</v>
      </c>
      <c r="AB492" s="208"/>
      <c r="AC492" s="73"/>
      <c r="AD492" s="73"/>
      <c r="AE492" s="73"/>
      <c r="AF492" s="217" t="s">
        <v>1894</v>
      </c>
      <c r="AG492" s="218">
        <v>1000</v>
      </c>
      <c r="AH492" s="218">
        <v>1667</v>
      </c>
      <c r="AI492" s="196">
        <f>AG492+AH492</f>
        <v>2667</v>
      </c>
      <c r="AJ492" s="219"/>
      <c r="AK492" s="73"/>
      <c r="AL492" s="73"/>
      <c r="AM492" s="220" t="str">
        <f t="shared" si="115"/>
        <v>22024 SQ12</v>
      </c>
      <c r="AN492" s="220" t="str">
        <f t="shared" ref="AN492:AN497" si="119">CONCATENATE(B492," ",G492," : ",N492)</f>
        <v>22024 SQ12 : Internal leakage in rubber lining connection piping</v>
      </c>
    </row>
    <row r="493" spans="1:40" ht="14.5" hidden="1" x14ac:dyDescent="0.35">
      <c r="A493" s="78" t="s">
        <v>1895</v>
      </c>
      <c r="B493" s="154">
        <v>22025</v>
      </c>
      <c r="C493" s="113" t="s">
        <v>8</v>
      </c>
      <c r="D493" s="117">
        <v>44711</v>
      </c>
      <c r="E493" s="118" t="s">
        <v>1896</v>
      </c>
      <c r="F493" s="118" t="s">
        <v>164</v>
      </c>
      <c r="G493" s="111" t="s">
        <v>1807</v>
      </c>
      <c r="H493" s="111" t="s">
        <v>1897</v>
      </c>
      <c r="I493" s="119" t="s">
        <v>14</v>
      </c>
      <c r="J493" s="70"/>
      <c r="K493" s="145">
        <v>2082</v>
      </c>
      <c r="L493" s="118">
        <v>14552</v>
      </c>
      <c r="M493" s="147" t="s">
        <v>1898</v>
      </c>
      <c r="N493" s="111" t="s">
        <v>1899</v>
      </c>
      <c r="O493" s="111" t="s">
        <v>29</v>
      </c>
      <c r="P493" s="111" t="s">
        <v>86</v>
      </c>
      <c r="Q493" s="70" t="s">
        <v>916</v>
      </c>
      <c r="R493" s="111" t="s">
        <v>145</v>
      </c>
      <c r="S493" s="111"/>
      <c r="T493" s="70"/>
      <c r="U493" s="74"/>
      <c r="V493" s="158" t="s">
        <v>6</v>
      </c>
      <c r="W493" s="118" t="s">
        <v>1900</v>
      </c>
      <c r="X493" s="113">
        <v>44704</v>
      </c>
      <c r="Y493" s="117">
        <f t="shared" si="117"/>
        <v>44803</v>
      </c>
      <c r="Z493" s="187">
        <v>44799</v>
      </c>
      <c r="AA493" s="161" t="str">
        <f t="shared" ca="1" si="118"/>
        <v>YES</v>
      </c>
      <c r="AB493" s="113"/>
      <c r="AC493" s="70"/>
      <c r="AD493" s="70"/>
      <c r="AE493" s="70"/>
      <c r="AF493" s="114" t="str">
        <f t="shared" ref="AF493:AF498" ca="1" si="120">IF(I493="Claim",IF(AD493="","",IF(AE493="",IF(TODAY()&gt;AD493,"NO","YES"),IF(AE493&gt;AD493,"NO",IF(AE493&lt;AD493,"YES",IF(AD493=AE493,"YES","N/A"))))),"N/A")</f>
        <v>N/A</v>
      </c>
      <c r="AG493" s="218">
        <v>1500</v>
      </c>
      <c r="AH493" s="218">
        <v>1103</v>
      </c>
      <c r="AI493" s="196">
        <f t="shared" ref="AI493:AI497" si="121">AH493+AG493</f>
        <v>2603</v>
      </c>
      <c r="AJ493" s="148"/>
      <c r="AK493" s="70"/>
      <c r="AL493" s="70"/>
      <c r="AM493" s="165" t="str">
        <f t="shared" si="115"/>
        <v>22025 SQ10</v>
      </c>
      <c r="AN493" s="165" t="str">
        <f t="shared" si="119"/>
        <v>22025 SQ10 : Fine particle in gravel of SQ10 SSMB</v>
      </c>
    </row>
    <row r="494" spans="1:40" ht="14.5" hidden="1" x14ac:dyDescent="0.35">
      <c r="A494" s="78" t="s">
        <v>1901</v>
      </c>
      <c r="B494" s="154">
        <v>22026</v>
      </c>
      <c r="C494" s="113" t="s">
        <v>4</v>
      </c>
      <c r="D494" s="117">
        <v>44715</v>
      </c>
      <c r="E494" s="118" t="s">
        <v>621</v>
      </c>
      <c r="F494" s="118" t="s">
        <v>164</v>
      </c>
      <c r="G494" s="146" t="s">
        <v>1291</v>
      </c>
      <c r="H494" s="111"/>
      <c r="I494" s="119" t="s">
        <v>2057</v>
      </c>
      <c r="J494" s="70"/>
      <c r="K494" s="118">
        <v>2066</v>
      </c>
      <c r="L494" s="118">
        <v>13829</v>
      </c>
      <c r="M494" s="147" t="s">
        <v>700</v>
      </c>
      <c r="N494" s="111" t="s">
        <v>1902</v>
      </c>
      <c r="O494" s="111" t="s">
        <v>29</v>
      </c>
      <c r="P494" s="111" t="s">
        <v>86</v>
      </c>
      <c r="Q494" s="70" t="s">
        <v>605</v>
      </c>
      <c r="R494" s="111" t="s">
        <v>9</v>
      </c>
      <c r="S494" s="111"/>
      <c r="T494" s="70"/>
      <c r="U494" s="74"/>
      <c r="V494" s="158" t="s">
        <v>6</v>
      </c>
      <c r="W494" s="118" t="s">
        <v>319</v>
      </c>
      <c r="X494" s="113">
        <v>44719</v>
      </c>
      <c r="Y494" s="117">
        <f t="shared" si="117"/>
        <v>44807</v>
      </c>
      <c r="Z494" s="187">
        <v>44797</v>
      </c>
      <c r="AA494" s="161" t="str">
        <f t="shared" ca="1" si="118"/>
        <v>YES</v>
      </c>
      <c r="AB494" s="113"/>
      <c r="AC494" s="70"/>
      <c r="AD494" s="70"/>
      <c r="AE494" s="70"/>
      <c r="AF494" s="114" t="str">
        <f t="shared" ca="1" si="120"/>
        <v>N/A</v>
      </c>
      <c r="AG494" s="194">
        <v>784</v>
      </c>
      <c r="AH494" s="194">
        <v>0</v>
      </c>
      <c r="AI494" s="196">
        <f t="shared" si="121"/>
        <v>784</v>
      </c>
      <c r="AJ494" s="148"/>
      <c r="AK494" s="70" t="s">
        <v>2045</v>
      </c>
      <c r="AL494" s="70" t="s">
        <v>2099</v>
      </c>
      <c r="AM494" s="165" t="str">
        <f t="shared" ref="AM494:AM499" si="122">CONCATENATE(B494," ",G494)</f>
        <v>22026 BENEO Chili</v>
      </c>
      <c r="AN494" s="165" t="str">
        <f t="shared" si="119"/>
        <v>22026 BENEO Chili : Wrong installation of Flowmeters on front pipings</v>
      </c>
    </row>
    <row r="495" spans="1:40" ht="14.5" hidden="1" x14ac:dyDescent="0.35">
      <c r="A495" s="78" t="s">
        <v>1903</v>
      </c>
      <c r="B495" s="154">
        <v>22027</v>
      </c>
      <c r="C495" s="113" t="s">
        <v>4</v>
      </c>
      <c r="D495" s="117">
        <v>44715</v>
      </c>
      <c r="E495" s="118" t="s">
        <v>1844</v>
      </c>
      <c r="F495" s="118" t="s">
        <v>164</v>
      </c>
      <c r="G495" s="111" t="s">
        <v>1904</v>
      </c>
      <c r="H495" s="111"/>
      <c r="I495" s="119" t="s">
        <v>5</v>
      </c>
      <c r="J495" s="70"/>
      <c r="K495" s="118">
        <v>2137</v>
      </c>
      <c r="L495" s="118">
        <v>18080</v>
      </c>
      <c r="M495" s="147" t="s">
        <v>11</v>
      </c>
      <c r="N495" s="111" t="s">
        <v>1905</v>
      </c>
      <c r="O495" s="111" t="s">
        <v>29</v>
      </c>
      <c r="P495" s="111" t="s">
        <v>86</v>
      </c>
      <c r="Q495" s="70" t="s">
        <v>522</v>
      </c>
      <c r="R495" s="111" t="s">
        <v>9</v>
      </c>
      <c r="S495" s="111"/>
      <c r="T495" s="70"/>
      <c r="U495" s="74"/>
      <c r="V495" s="158" t="s">
        <v>6</v>
      </c>
      <c r="W495" s="118" t="s">
        <v>319</v>
      </c>
      <c r="X495" s="113">
        <v>44719</v>
      </c>
      <c r="Y495" s="117">
        <f t="shared" si="117"/>
        <v>44807</v>
      </c>
      <c r="Z495" s="187">
        <v>44768</v>
      </c>
      <c r="AA495" s="161" t="str">
        <f t="shared" ca="1" si="118"/>
        <v>YES</v>
      </c>
      <c r="AB495" s="113">
        <v>44694</v>
      </c>
      <c r="AC495" s="187">
        <v>44700</v>
      </c>
      <c r="AD495" s="187">
        <v>44834</v>
      </c>
      <c r="AE495" s="187">
        <v>44768</v>
      </c>
      <c r="AF495" s="114" t="str">
        <f t="shared" ca="1" si="120"/>
        <v>YES</v>
      </c>
      <c r="AG495" s="194">
        <v>588</v>
      </c>
      <c r="AH495" s="194">
        <v>0</v>
      </c>
      <c r="AI495" s="196">
        <f t="shared" si="121"/>
        <v>588</v>
      </c>
      <c r="AJ495" s="148"/>
      <c r="AK495" s="70" t="s">
        <v>2045</v>
      </c>
      <c r="AL495" s="70"/>
      <c r="AM495" s="165" t="str">
        <f t="shared" si="122"/>
        <v>22027 LEKAI</v>
      </c>
      <c r="AN495" s="165" t="str">
        <f t="shared" si="119"/>
        <v>22027 LEKAI : Layout and Civil work drawings</v>
      </c>
    </row>
    <row r="496" spans="1:40" ht="14.5" hidden="1" x14ac:dyDescent="0.35">
      <c r="A496" s="78" t="s">
        <v>1906</v>
      </c>
      <c r="B496" s="154">
        <v>22028</v>
      </c>
      <c r="C496" s="113" t="s">
        <v>4</v>
      </c>
      <c r="D496" s="117">
        <v>44760</v>
      </c>
      <c r="E496" s="118" t="s">
        <v>1907</v>
      </c>
      <c r="F496" s="118" t="s">
        <v>164</v>
      </c>
      <c r="G496" s="111" t="s">
        <v>1908</v>
      </c>
      <c r="H496" s="111" t="s">
        <v>1041</v>
      </c>
      <c r="I496" s="119" t="s">
        <v>2057</v>
      </c>
      <c r="J496" s="70"/>
      <c r="K496" s="118">
        <v>2107</v>
      </c>
      <c r="L496" s="118">
        <v>13737</v>
      </c>
      <c r="M496" s="147" t="s">
        <v>1827</v>
      </c>
      <c r="N496" s="111" t="s">
        <v>1909</v>
      </c>
      <c r="O496" s="111" t="s">
        <v>29</v>
      </c>
      <c r="P496" s="111" t="s">
        <v>176</v>
      </c>
      <c r="Q496" s="70" t="s">
        <v>510</v>
      </c>
      <c r="R496" s="111" t="s">
        <v>9</v>
      </c>
      <c r="S496" s="111"/>
      <c r="T496" s="70"/>
      <c r="U496" s="74"/>
      <c r="V496" s="158" t="s">
        <v>6</v>
      </c>
      <c r="W496" s="118" t="s">
        <v>1907</v>
      </c>
      <c r="X496" s="113">
        <v>44762</v>
      </c>
      <c r="Y496" s="117">
        <f t="shared" si="117"/>
        <v>44852</v>
      </c>
      <c r="Z496" s="187">
        <v>44844</v>
      </c>
      <c r="AA496" s="161" t="str">
        <f t="shared" ca="1" si="118"/>
        <v>YES</v>
      </c>
      <c r="AB496" s="113"/>
      <c r="AC496" s="70"/>
      <c r="AD496" s="70"/>
      <c r="AE496" s="70"/>
      <c r="AF496" s="114" t="str">
        <f t="shared" ca="1" si="120"/>
        <v>N/A</v>
      </c>
      <c r="AG496" s="194">
        <v>490</v>
      </c>
      <c r="AH496" s="194">
        <v>2680</v>
      </c>
      <c r="AI496" s="196">
        <f t="shared" si="121"/>
        <v>3170</v>
      </c>
      <c r="AJ496" s="148" t="s">
        <v>6</v>
      </c>
      <c r="AK496" s="187">
        <v>45233</v>
      </c>
      <c r="AL496" s="70"/>
      <c r="AM496" s="165" t="str">
        <f t="shared" si="122"/>
        <v>22028 KIRSANOV</v>
      </c>
      <c r="AN496" s="165" t="str">
        <f t="shared" si="119"/>
        <v>22028 KIRSANOV : Forgot to ship the gravel</v>
      </c>
    </row>
    <row r="497" spans="1:40" ht="14.5" hidden="1" x14ac:dyDescent="0.35">
      <c r="A497" s="78" t="s">
        <v>1910</v>
      </c>
      <c r="B497" s="154">
        <v>22029</v>
      </c>
      <c r="C497" s="113" t="s">
        <v>4</v>
      </c>
      <c r="D497" s="117">
        <v>44762</v>
      </c>
      <c r="E497" s="118" t="s">
        <v>1848</v>
      </c>
      <c r="F497" s="118" t="s">
        <v>658</v>
      </c>
      <c r="G497" s="111" t="s">
        <v>1849</v>
      </c>
      <c r="H497" s="111" t="s">
        <v>1850</v>
      </c>
      <c r="I497" s="119" t="s">
        <v>2056</v>
      </c>
      <c r="J497" s="70"/>
      <c r="K497" s="118" t="s">
        <v>1911</v>
      </c>
      <c r="L497" s="118">
        <v>18021</v>
      </c>
      <c r="M497" s="147" t="s">
        <v>13</v>
      </c>
      <c r="N497" s="111" t="s">
        <v>1912</v>
      </c>
      <c r="O497" s="111" t="s">
        <v>28</v>
      </c>
      <c r="P497" s="111" t="s">
        <v>103</v>
      </c>
      <c r="Q497" s="70" t="s">
        <v>1683</v>
      </c>
      <c r="R497" s="111" t="s">
        <v>145</v>
      </c>
      <c r="S497" s="111"/>
      <c r="T497" s="112" t="s">
        <v>1913</v>
      </c>
      <c r="U497" s="74"/>
      <c r="V497" s="158" t="s">
        <v>10</v>
      </c>
      <c r="W497" s="118"/>
      <c r="X497" s="113"/>
      <c r="Y497" s="117">
        <f t="shared" si="117"/>
        <v>44854</v>
      </c>
      <c r="Z497" s="187">
        <v>44851</v>
      </c>
      <c r="AA497" s="161" t="str">
        <f t="shared" ca="1" si="118"/>
        <v>YES</v>
      </c>
      <c r="AB497" s="113"/>
      <c r="AC497" s="70"/>
      <c r="AD497" s="70"/>
      <c r="AE497" s="70"/>
      <c r="AF497" s="114" t="str">
        <f t="shared" ca="1" si="120"/>
        <v>N/A</v>
      </c>
      <c r="AG497" s="194">
        <v>490</v>
      </c>
      <c r="AH497" s="194">
        <v>0</v>
      </c>
      <c r="AI497" s="196">
        <f t="shared" si="121"/>
        <v>490</v>
      </c>
      <c r="AJ497" s="148"/>
      <c r="AK497" s="70" t="s">
        <v>2045</v>
      </c>
      <c r="AL497" s="70"/>
      <c r="AM497" s="165" t="str">
        <f t="shared" si="122"/>
        <v>22029 Beneo Oreye</v>
      </c>
      <c r="AN497" s="165" t="str">
        <f t="shared" si="119"/>
        <v>22029 Beneo Oreye : Hole diameter error in lower network</v>
      </c>
    </row>
    <row r="498" spans="1:40" ht="14.5" hidden="1" x14ac:dyDescent="0.35">
      <c r="A498" s="78" t="s">
        <v>1914</v>
      </c>
      <c r="B498" s="154">
        <v>22030</v>
      </c>
      <c r="C498" s="113" t="s">
        <v>4</v>
      </c>
      <c r="D498" s="117">
        <v>44767</v>
      </c>
      <c r="E498" s="118" t="s">
        <v>273</v>
      </c>
      <c r="F498" s="118" t="s">
        <v>658</v>
      </c>
      <c r="G498" s="111" t="s">
        <v>1397</v>
      </c>
      <c r="H498" s="111" t="s">
        <v>357</v>
      </c>
      <c r="I498" s="119" t="s">
        <v>2056</v>
      </c>
      <c r="J498" s="70"/>
      <c r="K498" s="118"/>
      <c r="L498" s="118" t="s">
        <v>1915</v>
      </c>
      <c r="M498" s="147" t="s">
        <v>338</v>
      </c>
      <c r="N498" s="111" t="s">
        <v>1916</v>
      </c>
      <c r="O498" s="111" t="s">
        <v>28</v>
      </c>
      <c r="P498" s="111" t="s">
        <v>103</v>
      </c>
      <c r="Q498" s="70" t="s">
        <v>176</v>
      </c>
      <c r="R498" s="111" t="s">
        <v>145</v>
      </c>
      <c r="S498" s="111"/>
      <c r="T498" s="112" t="s">
        <v>357</v>
      </c>
      <c r="U498" s="74"/>
      <c r="V498" s="158" t="s">
        <v>6</v>
      </c>
      <c r="W498" s="118" t="s">
        <v>273</v>
      </c>
      <c r="X498" s="113">
        <v>44767</v>
      </c>
      <c r="Y498" s="117">
        <f t="shared" ref="Y498:Y502" si="123">EDATE(D498,3)</f>
        <v>44859</v>
      </c>
      <c r="Z498" s="187">
        <v>44851</v>
      </c>
      <c r="AA498" s="161" t="str">
        <f t="shared" ref="AA498:AA502" ca="1" si="124">IF(Z498="",IF(TODAY()&gt;Y498,"NO","YES"),IF(Z498&gt;Y498,"NO",IF(Z498&lt;Y498,"YES",IF(Y498=Z498,"YES","N/A"))))</f>
        <v>YES</v>
      </c>
      <c r="AB498" s="113"/>
      <c r="AC498" s="70"/>
      <c r="AD498" s="70"/>
      <c r="AE498" s="70"/>
      <c r="AF498" s="114" t="str">
        <f t="shared" ca="1" si="120"/>
        <v>N/A</v>
      </c>
      <c r="AG498" s="194">
        <v>6174</v>
      </c>
      <c r="AH498" s="194">
        <v>200</v>
      </c>
      <c r="AI498" s="196">
        <f t="shared" ref="AI498:AI502" si="125">AH498+AG498</f>
        <v>6374</v>
      </c>
      <c r="AJ498" s="148" t="s">
        <v>6</v>
      </c>
      <c r="AK498" s="187">
        <v>45239</v>
      </c>
      <c r="AL498" s="70"/>
      <c r="AM498" s="165" t="str">
        <f t="shared" si="122"/>
        <v>22030 OLON</v>
      </c>
      <c r="AN498" s="165" t="str">
        <f t="shared" ref="AN498:AN502" si="126">CONCATENATE(B498," ",G498," : ",N498)</f>
        <v>22030 OLON : Pollution on the end of Kerasep membranes</v>
      </c>
    </row>
    <row r="499" spans="1:40" ht="14.5" hidden="1" x14ac:dyDescent="0.35">
      <c r="A499" s="206" t="s">
        <v>1917</v>
      </c>
      <c r="B499" s="154">
        <v>22031</v>
      </c>
      <c r="C499" s="113" t="s">
        <v>4</v>
      </c>
      <c r="D499" s="117">
        <v>44768</v>
      </c>
      <c r="E499" s="118" t="s">
        <v>1575</v>
      </c>
      <c r="F499" s="118" t="s">
        <v>164</v>
      </c>
      <c r="G499" s="111" t="s">
        <v>1826</v>
      </c>
      <c r="H499" s="111" t="s">
        <v>1850</v>
      </c>
      <c r="I499" s="119" t="s">
        <v>2056</v>
      </c>
      <c r="J499" s="70"/>
      <c r="K499" s="118">
        <v>2115</v>
      </c>
      <c r="L499" s="118">
        <v>16573</v>
      </c>
      <c r="M499" s="147" t="s">
        <v>1827</v>
      </c>
      <c r="N499" s="111" t="s">
        <v>1918</v>
      </c>
      <c r="O499" s="111" t="s">
        <v>29</v>
      </c>
      <c r="P499" s="111" t="s">
        <v>86</v>
      </c>
      <c r="Q499" s="70" t="s">
        <v>522</v>
      </c>
      <c r="R499" s="111" t="s">
        <v>145</v>
      </c>
      <c r="S499" s="111"/>
      <c r="T499" s="70"/>
      <c r="U499" s="74"/>
      <c r="V499" s="158" t="s">
        <v>10</v>
      </c>
      <c r="W499" s="118"/>
      <c r="X499" s="113"/>
      <c r="Y499" s="117">
        <f t="shared" si="123"/>
        <v>44860</v>
      </c>
      <c r="Z499" s="187">
        <v>44844</v>
      </c>
      <c r="AA499" s="161" t="str">
        <f t="shared" ca="1" si="124"/>
        <v>YES</v>
      </c>
      <c r="AB499" s="113"/>
      <c r="AC499" s="70"/>
      <c r="AD499" s="70"/>
      <c r="AE499" s="70"/>
      <c r="AF499" s="114" t="str">
        <f t="shared" ref="AF499:AF504" ca="1" si="127">IF(I499="Claim",IF(AD499="","",IF(AE499="",IF(TODAY()&gt;AD499,"NO","YES"),IF(AE499&gt;AD499,"NO",IF(AE499&lt;AD499,"YES",IF(AD499=AE499,"YES","N/A"))))),"N/A")</f>
        <v>N/A</v>
      </c>
      <c r="AG499" s="194">
        <v>392</v>
      </c>
      <c r="AH499" s="194">
        <v>1936</v>
      </c>
      <c r="AI499" s="196">
        <f t="shared" si="125"/>
        <v>2328</v>
      </c>
      <c r="AJ499" s="148" t="s">
        <v>6</v>
      </c>
      <c r="AK499" s="187">
        <v>45237</v>
      </c>
      <c r="AL499" s="70"/>
      <c r="AM499" s="165" t="str">
        <f t="shared" si="122"/>
        <v>22031 Cristal Union</v>
      </c>
      <c r="AN499" s="165" t="str">
        <f t="shared" si="126"/>
        <v>22031 Cristal Union : Defective strainers</v>
      </c>
    </row>
    <row r="500" spans="1:40" ht="14.5" hidden="1" x14ac:dyDescent="0.35">
      <c r="A500" s="223"/>
      <c r="B500" s="207">
        <v>22032</v>
      </c>
      <c r="C500" s="208" t="s">
        <v>8</v>
      </c>
      <c r="D500" s="209">
        <v>44796</v>
      </c>
      <c r="E500" s="210" t="s">
        <v>1664</v>
      </c>
      <c r="F500" s="210" t="s">
        <v>164</v>
      </c>
      <c r="G500" s="211" t="s">
        <v>1919</v>
      </c>
      <c r="H500" s="211" t="s">
        <v>1920</v>
      </c>
      <c r="I500" s="212" t="s">
        <v>2057</v>
      </c>
      <c r="J500" s="73"/>
      <c r="K500" s="210">
        <v>2131</v>
      </c>
      <c r="L500" s="210">
        <v>18072</v>
      </c>
      <c r="M500" s="213" t="s">
        <v>11</v>
      </c>
      <c r="N500" s="211" t="s">
        <v>1921</v>
      </c>
      <c r="O500" s="211" t="s">
        <v>29</v>
      </c>
      <c r="P500" s="211" t="s">
        <v>176</v>
      </c>
      <c r="Q500" s="73" t="s">
        <v>1629</v>
      </c>
      <c r="R500" s="211" t="s">
        <v>9</v>
      </c>
      <c r="S500" s="211"/>
      <c r="T500" s="73" t="s">
        <v>1920</v>
      </c>
      <c r="U500" s="74"/>
      <c r="V500" s="215" t="s">
        <v>6</v>
      </c>
      <c r="W500" s="210" t="s">
        <v>1664</v>
      </c>
      <c r="X500" s="208">
        <v>44785</v>
      </c>
      <c r="Y500" s="117">
        <f t="shared" si="123"/>
        <v>44888</v>
      </c>
      <c r="Z500" s="221">
        <v>44832</v>
      </c>
      <c r="AA500" s="216" t="str">
        <f t="shared" ca="1" si="124"/>
        <v>YES</v>
      </c>
      <c r="AB500" s="208"/>
      <c r="AC500" s="73"/>
      <c r="AD500" s="73"/>
      <c r="AE500" s="73"/>
      <c r="AF500" s="217" t="str">
        <f t="shared" ca="1" si="127"/>
        <v>N/A</v>
      </c>
      <c r="AG500" s="218">
        <v>1000</v>
      </c>
      <c r="AH500" s="218"/>
      <c r="AI500" s="222">
        <f t="shared" si="125"/>
        <v>1000</v>
      </c>
      <c r="AJ500" s="219"/>
      <c r="AK500" s="73"/>
      <c r="AL500" s="73"/>
      <c r="AM500" s="220" t="str">
        <f t="shared" ref="AM500:AM506" si="128">CONCATENATE(B500," ",G500)</f>
        <v>22032 SQ21</v>
      </c>
      <c r="AN500" s="220" t="str">
        <f t="shared" si="126"/>
        <v>22032 SQ21 : Cylinder positioning issue for internal mounting</v>
      </c>
    </row>
    <row r="501" spans="1:40" ht="14.5" hidden="1" x14ac:dyDescent="0.35">
      <c r="A501" s="78" t="s">
        <v>1922</v>
      </c>
      <c r="B501" s="154">
        <v>22033</v>
      </c>
      <c r="C501" s="113" t="s">
        <v>4</v>
      </c>
      <c r="D501" s="117">
        <v>44802</v>
      </c>
      <c r="E501" s="118" t="s">
        <v>91</v>
      </c>
      <c r="F501" s="118" t="s">
        <v>164</v>
      </c>
      <c r="G501" s="111" t="s">
        <v>1752</v>
      </c>
      <c r="H501" s="111"/>
      <c r="I501" s="119" t="s">
        <v>17</v>
      </c>
      <c r="J501" s="70"/>
      <c r="K501" s="118">
        <v>2116</v>
      </c>
      <c r="L501" s="118">
        <v>16253</v>
      </c>
      <c r="M501" s="147" t="s">
        <v>13</v>
      </c>
      <c r="N501" s="111" t="s">
        <v>1923</v>
      </c>
      <c r="O501" s="111" t="s">
        <v>29</v>
      </c>
      <c r="P501" s="111" t="s">
        <v>86</v>
      </c>
      <c r="Q501" s="70" t="s">
        <v>522</v>
      </c>
      <c r="R501" s="111" t="s">
        <v>9</v>
      </c>
      <c r="S501" s="111"/>
      <c r="T501" s="70"/>
      <c r="U501" s="74"/>
      <c r="V501" s="158" t="s">
        <v>6</v>
      </c>
      <c r="W501" s="118" t="s">
        <v>319</v>
      </c>
      <c r="X501" s="113">
        <v>44806</v>
      </c>
      <c r="Y501" s="117">
        <f t="shared" si="123"/>
        <v>44894</v>
      </c>
      <c r="Z501" s="187">
        <v>44889</v>
      </c>
      <c r="AA501" s="161" t="str">
        <f t="shared" ca="1" si="124"/>
        <v>YES</v>
      </c>
      <c r="AB501" s="113"/>
      <c r="AC501" s="70"/>
      <c r="AD501" s="70"/>
      <c r="AE501" s="70"/>
      <c r="AF501" s="114" t="str">
        <f t="shared" ca="1" si="127"/>
        <v>N/A</v>
      </c>
      <c r="AG501" s="194">
        <v>1274</v>
      </c>
      <c r="AH501" s="194">
        <v>0</v>
      </c>
      <c r="AI501" s="196">
        <f t="shared" si="125"/>
        <v>1274</v>
      </c>
      <c r="AJ501" s="148"/>
      <c r="AK501" s="70" t="s">
        <v>2045</v>
      </c>
      <c r="AL501" s="70"/>
      <c r="AM501" s="165" t="str">
        <f t="shared" si="128"/>
        <v>22033 Bonumose</v>
      </c>
      <c r="AN501" s="165" t="str">
        <f t="shared" si="126"/>
        <v>22033 Bonumose : Difficult access inside small diameter IEX columns</v>
      </c>
    </row>
    <row r="502" spans="1:40" ht="14.5" hidden="1" x14ac:dyDescent="0.35">
      <c r="A502" s="78" t="s">
        <v>1924</v>
      </c>
      <c r="B502" s="154">
        <v>22034</v>
      </c>
      <c r="C502" s="113" t="s">
        <v>4</v>
      </c>
      <c r="D502" s="117">
        <v>44805</v>
      </c>
      <c r="E502" s="118" t="s">
        <v>1396</v>
      </c>
      <c r="F502" s="118" t="s">
        <v>164</v>
      </c>
      <c r="G502" s="111" t="s">
        <v>1752</v>
      </c>
      <c r="H502" s="111"/>
      <c r="I502" s="119" t="s">
        <v>2057</v>
      </c>
      <c r="J502" s="70" t="s">
        <v>1332</v>
      </c>
      <c r="K502" s="118">
        <v>2116</v>
      </c>
      <c r="L502" s="118">
        <v>16253</v>
      </c>
      <c r="M502" s="147" t="s">
        <v>13</v>
      </c>
      <c r="N502" s="111" t="s">
        <v>1925</v>
      </c>
      <c r="O502" s="111" t="s">
        <v>29</v>
      </c>
      <c r="P502" s="111" t="s">
        <v>176</v>
      </c>
      <c r="Q502" s="70" t="s">
        <v>510</v>
      </c>
      <c r="R502" s="111" t="s">
        <v>9</v>
      </c>
      <c r="S502" s="111"/>
      <c r="T502" s="70"/>
      <c r="U502" s="74"/>
      <c r="V502" s="158" t="s">
        <v>6</v>
      </c>
      <c r="W502" s="118" t="s">
        <v>1396</v>
      </c>
      <c r="X502" s="113">
        <v>44811</v>
      </c>
      <c r="Y502" s="117">
        <f t="shared" si="123"/>
        <v>44896</v>
      </c>
      <c r="Z502" s="187">
        <v>44894</v>
      </c>
      <c r="AA502" s="161" t="str">
        <f t="shared" ca="1" si="124"/>
        <v>YES</v>
      </c>
      <c r="AB502" s="113"/>
      <c r="AC502" s="70"/>
      <c r="AD502" s="70"/>
      <c r="AE502" s="70"/>
      <c r="AF502" s="114" t="str">
        <f t="shared" ca="1" si="127"/>
        <v>N/A</v>
      </c>
      <c r="AG502" s="194">
        <v>294</v>
      </c>
      <c r="AH502" s="194">
        <v>1500</v>
      </c>
      <c r="AI502" s="196">
        <f t="shared" si="125"/>
        <v>1794</v>
      </c>
      <c r="AJ502" s="148" t="s">
        <v>6</v>
      </c>
      <c r="AK502" s="187">
        <v>45240</v>
      </c>
      <c r="AL502" s="70"/>
      <c r="AM502" s="165" t="str">
        <f t="shared" si="128"/>
        <v>22034 Bonumose</v>
      </c>
      <c r="AN502" s="165" t="str">
        <f t="shared" si="126"/>
        <v>22034 Bonumose : Gravels not been sent on site before commissioning</v>
      </c>
    </row>
    <row r="503" spans="1:40" ht="15" hidden="1" customHeight="1" x14ac:dyDescent="0.35">
      <c r="A503" s="78" t="s">
        <v>1926</v>
      </c>
      <c r="B503" s="154">
        <v>22035</v>
      </c>
      <c r="C503" s="113" t="s">
        <v>4</v>
      </c>
      <c r="D503" s="117">
        <v>44823</v>
      </c>
      <c r="E503" s="118" t="s">
        <v>621</v>
      </c>
      <c r="F503" s="118" t="s">
        <v>164</v>
      </c>
      <c r="G503" s="111" t="s">
        <v>1927</v>
      </c>
      <c r="H503" s="111" t="s">
        <v>1928</v>
      </c>
      <c r="I503" s="119" t="s">
        <v>2056</v>
      </c>
      <c r="J503" s="70"/>
      <c r="K503" s="118">
        <v>2066</v>
      </c>
      <c r="L503" s="118">
        <v>13829</v>
      </c>
      <c r="M503" s="147" t="s">
        <v>700</v>
      </c>
      <c r="N503" s="111" t="s">
        <v>1929</v>
      </c>
      <c r="O503" s="111" t="s">
        <v>29</v>
      </c>
      <c r="P503" s="111" t="s">
        <v>86</v>
      </c>
      <c r="Q503" s="70" t="s">
        <v>605</v>
      </c>
      <c r="R503" s="111" t="s">
        <v>145</v>
      </c>
      <c r="S503" s="111"/>
      <c r="T503" s="112" t="s">
        <v>1928</v>
      </c>
      <c r="U503" s="74"/>
      <c r="V503" s="158" t="s">
        <v>6</v>
      </c>
      <c r="W503" s="118" t="s">
        <v>621</v>
      </c>
      <c r="X503" s="113">
        <v>44833</v>
      </c>
      <c r="Y503" s="117">
        <f t="shared" ref="Y503:Y508" si="129">EDATE(D503,3)</f>
        <v>44914</v>
      </c>
      <c r="Z503" s="187">
        <v>44883</v>
      </c>
      <c r="AA503" s="161" t="str">
        <f t="shared" ref="AA503:AA508" ca="1" si="130">IF(Z503="",IF(TODAY()&gt;Y503,"NO","YES"),IF(Z503&gt;Y503,"NO",IF(Z503&lt;Y503,"YES",IF(Y503=Z503,"YES","N/A"))))</f>
        <v>YES</v>
      </c>
      <c r="AB503" s="113"/>
      <c r="AC503" s="70"/>
      <c r="AD503" s="70"/>
      <c r="AE503" s="70"/>
      <c r="AF503" s="114" t="str">
        <f t="shared" ca="1" si="127"/>
        <v>N/A</v>
      </c>
      <c r="AG503" s="194">
        <v>686</v>
      </c>
      <c r="AH503" s="194">
        <v>0</v>
      </c>
      <c r="AI503" s="196">
        <f t="shared" ref="AI503:AI508" si="131">AH503+AG503</f>
        <v>686</v>
      </c>
      <c r="AJ503" s="148"/>
      <c r="AK503" s="70" t="s">
        <v>2045</v>
      </c>
      <c r="AL503" s="70"/>
      <c r="AM503" s="165" t="str">
        <f t="shared" si="128"/>
        <v>22035 Beneo Chili</v>
      </c>
      <c r="AN503" s="165" t="str">
        <f t="shared" ref="AN503:AN508" si="132">CONCATENATE(B503," ",G503," : ",N503)</f>
        <v>22035 Beneo Chili : Calibration certificates missing for Instrumentation</v>
      </c>
    </row>
    <row r="504" spans="1:40" ht="14.5" hidden="1" x14ac:dyDescent="0.35">
      <c r="A504" s="206" t="s">
        <v>1930</v>
      </c>
      <c r="B504" s="154">
        <v>22036</v>
      </c>
      <c r="C504" s="113" t="s">
        <v>4</v>
      </c>
      <c r="D504" s="117">
        <v>44824</v>
      </c>
      <c r="E504" s="118" t="s">
        <v>273</v>
      </c>
      <c r="F504" s="118" t="s">
        <v>658</v>
      </c>
      <c r="G504" s="111" t="s">
        <v>1931</v>
      </c>
      <c r="H504" s="111" t="s">
        <v>357</v>
      </c>
      <c r="I504" s="119" t="s">
        <v>2056</v>
      </c>
      <c r="J504" s="70"/>
      <c r="K504" s="118"/>
      <c r="L504" s="118"/>
      <c r="M504" s="147" t="s">
        <v>16</v>
      </c>
      <c r="N504" s="111" t="s">
        <v>1932</v>
      </c>
      <c r="O504" s="111" t="s">
        <v>28</v>
      </c>
      <c r="P504" s="111" t="s">
        <v>103</v>
      </c>
      <c r="Q504" s="70" t="s">
        <v>176</v>
      </c>
      <c r="R504" s="111" t="s">
        <v>145</v>
      </c>
      <c r="S504" s="111"/>
      <c r="T504" s="70"/>
      <c r="U504" s="74"/>
      <c r="V504" s="158" t="s">
        <v>6</v>
      </c>
      <c r="W504" s="118" t="s">
        <v>273</v>
      </c>
      <c r="X504" s="113">
        <v>44824</v>
      </c>
      <c r="Y504" s="117">
        <f t="shared" si="129"/>
        <v>44915</v>
      </c>
      <c r="Z504" s="187">
        <v>44911</v>
      </c>
      <c r="AA504" s="161" t="str">
        <f t="shared" ca="1" si="130"/>
        <v>YES</v>
      </c>
      <c r="AB504" s="113"/>
      <c r="AC504" s="70"/>
      <c r="AD504" s="70"/>
      <c r="AE504" s="70"/>
      <c r="AF504" s="114" t="str">
        <f t="shared" ca="1" si="127"/>
        <v>N/A</v>
      </c>
      <c r="AG504" s="194">
        <v>784</v>
      </c>
      <c r="AH504" s="194">
        <v>0</v>
      </c>
      <c r="AI504" s="196">
        <f t="shared" si="131"/>
        <v>784</v>
      </c>
      <c r="AJ504" s="148" t="s">
        <v>6</v>
      </c>
      <c r="AK504" s="187">
        <v>45239</v>
      </c>
      <c r="AL504" s="70"/>
      <c r="AM504" s="165" t="str">
        <f t="shared" si="128"/>
        <v>22036 GSK Hamilton</v>
      </c>
      <c r="AN504" s="165" t="str">
        <f t="shared" si="132"/>
        <v>22036 GSK Hamilton : End sealing peeling off inside membrane</v>
      </c>
    </row>
    <row r="505" spans="1:40" ht="14.5" hidden="1" x14ac:dyDescent="0.35">
      <c r="A505" s="78" t="s">
        <v>1933</v>
      </c>
      <c r="B505" s="154">
        <v>22037</v>
      </c>
      <c r="C505" s="113" t="s">
        <v>4</v>
      </c>
      <c r="D505" s="117">
        <v>44830</v>
      </c>
      <c r="E505" s="118" t="s">
        <v>335</v>
      </c>
      <c r="F505" s="118" t="s">
        <v>164</v>
      </c>
      <c r="G505" s="111" t="s">
        <v>1826</v>
      </c>
      <c r="H505" s="111" t="s">
        <v>597</v>
      </c>
      <c r="I505" s="119" t="s">
        <v>2057</v>
      </c>
      <c r="J505" s="70"/>
      <c r="K505" s="118">
        <v>2115</v>
      </c>
      <c r="L505" s="118">
        <v>16573</v>
      </c>
      <c r="M505" s="147" t="s">
        <v>1827</v>
      </c>
      <c r="N505" s="111" t="s">
        <v>1934</v>
      </c>
      <c r="O505" s="111" t="s">
        <v>29</v>
      </c>
      <c r="P505" s="111" t="s">
        <v>86</v>
      </c>
      <c r="Q505" s="70" t="s">
        <v>605</v>
      </c>
      <c r="R505" s="111" t="s">
        <v>9</v>
      </c>
      <c r="S505" s="111"/>
      <c r="T505" s="70"/>
      <c r="U505" s="74"/>
      <c r="V505" s="158" t="s">
        <v>6</v>
      </c>
      <c r="W505" s="118" t="s">
        <v>319</v>
      </c>
      <c r="X505" s="113">
        <v>44841</v>
      </c>
      <c r="Y505" s="117">
        <f t="shared" si="129"/>
        <v>44921</v>
      </c>
      <c r="Z505" s="187">
        <v>44883</v>
      </c>
      <c r="AA505" s="161" t="str">
        <f t="shared" ca="1" si="130"/>
        <v>YES</v>
      </c>
      <c r="AB505" s="113"/>
      <c r="AC505" s="70"/>
      <c r="AD505" s="70"/>
      <c r="AE505" s="70"/>
      <c r="AF505" s="114" t="str">
        <f t="shared" ref="AF505:AF510" ca="1" si="133">IF(I505="Claim",IF(AD505="","",IF(AE505="",IF(TODAY()&gt;AD505,"NO","YES"),IF(AE505&gt;AD505,"NO",IF(AE505&lt;AD505,"YES",IF(AD505=AE505,"YES","N/A"))))),"N/A")</f>
        <v>N/A</v>
      </c>
      <c r="AG505" s="194">
        <v>490</v>
      </c>
      <c r="AH505" s="194">
        <v>0</v>
      </c>
      <c r="AI505" s="196">
        <f t="shared" si="131"/>
        <v>490</v>
      </c>
      <c r="AJ505" s="148" t="s">
        <v>6</v>
      </c>
      <c r="AK505" s="187">
        <v>45239</v>
      </c>
      <c r="AL505" s="70"/>
      <c r="AM505" s="165" t="str">
        <f t="shared" si="128"/>
        <v>22037 Cristal Union</v>
      </c>
      <c r="AN505" s="165" t="str">
        <f t="shared" si="132"/>
        <v>22037 Cristal Union : Insufficient space for FT uncabling</v>
      </c>
    </row>
    <row r="506" spans="1:40" ht="14.5" hidden="1" x14ac:dyDescent="0.35">
      <c r="A506" s="78" t="s">
        <v>1935</v>
      </c>
      <c r="B506" s="154">
        <v>22038</v>
      </c>
      <c r="C506" s="113" t="s">
        <v>4</v>
      </c>
      <c r="D506" s="117">
        <v>44830</v>
      </c>
      <c r="E506" s="118" t="s">
        <v>335</v>
      </c>
      <c r="F506" s="118" t="s">
        <v>164</v>
      </c>
      <c r="G506" s="111" t="s">
        <v>1936</v>
      </c>
      <c r="H506" s="111" t="s">
        <v>597</v>
      </c>
      <c r="I506" s="119" t="s">
        <v>2057</v>
      </c>
      <c r="J506" s="70"/>
      <c r="K506" s="118">
        <v>2126</v>
      </c>
      <c r="L506" s="118">
        <v>17697</v>
      </c>
      <c r="M506" s="147"/>
      <c r="N506" s="111" t="s">
        <v>1937</v>
      </c>
      <c r="O506" s="111" t="s">
        <v>29</v>
      </c>
      <c r="P506" s="111" t="s">
        <v>86</v>
      </c>
      <c r="Q506" s="70" t="s">
        <v>605</v>
      </c>
      <c r="R506" s="111" t="s">
        <v>9</v>
      </c>
      <c r="S506" s="111"/>
      <c r="T506" s="70"/>
      <c r="U506" s="74"/>
      <c r="V506" s="158" t="s">
        <v>6</v>
      </c>
      <c r="W506" s="118" t="s">
        <v>621</v>
      </c>
      <c r="X506" s="113">
        <v>44841</v>
      </c>
      <c r="Y506" s="117">
        <f t="shared" si="129"/>
        <v>44921</v>
      </c>
      <c r="Z506" s="187">
        <v>44895</v>
      </c>
      <c r="AA506" s="161" t="str">
        <f t="shared" ca="1" si="130"/>
        <v>YES</v>
      </c>
      <c r="AB506" s="113"/>
      <c r="AC506" s="70"/>
      <c r="AD506" s="70"/>
      <c r="AE506" s="70"/>
      <c r="AF506" s="114" t="str">
        <f t="shared" ca="1" si="133"/>
        <v>N/A</v>
      </c>
      <c r="AG506" s="194">
        <v>882</v>
      </c>
      <c r="AH506" s="194">
        <v>1500</v>
      </c>
      <c r="AI506" s="196">
        <f t="shared" si="131"/>
        <v>2382</v>
      </c>
      <c r="AJ506" s="148" t="s">
        <v>6</v>
      </c>
      <c r="AK506" s="187">
        <v>45239</v>
      </c>
      <c r="AL506" s="70"/>
      <c r="AM506" s="165" t="str">
        <f t="shared" si="128"/>
        <v>22038 Nexira</v>
      </c>
      <c r="AN506" s="165" t="str">
        <f t="shared" si="132"/>
        <v>22038 Nexira : Pb pipe connection diameter for CT installation</v>
      </c>
    </row>
    <row r="507" spans="1:40" ht="14.5" hidden="1" x14ac:dyDescent="0.35">
      <c r="A507" s="206" t="s">
        <v>1938</v>
      </c>
      <c r="B507" s="154">
        <v>22039</v>
      </c>
      <c r="C507" s="113" t="s">
        <v>4</v>
      </c>
      <c r="D507" s="117">
        <v>44831</v>
      </c>
      <c r="E507" s="118" t="s">
        <v>370</v>
      </c>
      <c r="F507" s="118" t="s">
        <v>420</v>
      </c>
      <c r="G507" s="111" t="s">
        <v>1939</v>
      </c>
      <c r="H507" s="111" t="s">
        <v>1940</v>
      </c>
      <c r="I507" s="119" t="s">
        <v>14</v>
      </c>
      <c r="J507" s="70"/>
      <c r="K507" s="118" t="s">
        <v>454</v>
      </c>
      <c r="L507" s="118" t="s">
        <v>454</v>
      </c>
      <c r="M507" s="147" t="s">
        <v>454</v>
      </c>
      <c r="N507" s="111" t="s">
        <v>1941</v>
      </c>
      <c r="O507" s="111" t="s">
        <v>420</v>
      </c>
      <c r="P507" s="111" t="s">
        <v>80</v>
      </c>
      <c r="Q507" s="70" t="s">
        <v>1942</v>
      </c>
      <c r="R507" s="111" t="s">
        <v>145</v>
      </c>
      <c r="S507" s="111"/>
      <c r="T507" s="112" t="s">
        <v>1940</v>
      </c>
      <c r="U507" s="74"/>
      <c r="V507" s="158" t="s">
        <v>6</v>
      </c>
      <c r="W507" s="118" t="s">
        <v>1647</v>
      </c>
      <c r="X507" s="113">
        <v>44834</v>
      </c>
      <c r="Y507" s="117">
        <f t="shared" si="129"/>
        <v>44922</v>
      </c>
      <c r="Z507" s="187">
        <v>44903</v>
      </c>
      <c r="AA507" s="161" t="str">
        <f t="shared" ca="1" si="130"/>
        <v>YES</v>
      </c>
      <c r="AB507" s="113"/>
      <c r="AC507" s="70"/>
      <c r="AD507" s="70"/>
      <c r="AE507" s="70"/>
      <c r="AF507" s="114" t="str">
        <f t="shared" ca="1" si="133"/>
        <v>N/A</v>
      </c>
      <c r="AG507" s="194">
        <v>784</v>
      </c>
      <c r="AH507" s="194">
        <v>0</v>
      </c>
      <c r="AI507" s="196">
        <f t="shared" si="131"/>
        <v>784</v>
      </c>
      <c r="AJ507" s="148" t="s">
        <v>6</v>
      </c>
      <c r="AK507" s="187">
        <v>45237</v>
      </c>
      <c r="AL507" s="70"/>
      <c r="AM507" s="165" t="str">
        <f t="shared" ref="AM507:AM512" si="134">CONCATENATE(B507," ",G507)</f>
        <v>22039 Interne</v>
      </c>
      <c r="AN507" s="165" t="str">
        <f t="shared" si="132"/>
        <v>22039 Interne : Annual HPLC checking date exceeded</v>
      </c>
    </row>
    <row r="508" spans="1:40" ht="14.5" hidden="1" x14ac:dyDescent="0.35">
      <c r="A508" s="78" t="s">
        <v>1943</v>
      </c>
      <c r="B508" s="154">
        <v>22040</v>
      </c>
      <c r="C508" s="113" t="s">
        <v>4</v>
      </c>
      <c r="D508" s="117">
        <v>44834</v>
      </c>
      <c r="E508" s="118" t="s">
        <v>273</v>
      </c>
      <c r="F508" s="118" t="s">
        <v>658</v>
      </c>
      <c r="G508" s="111" t="s">
        <v>1944</v>
      </c>
      <c r="H508" s="111"/>
      <c r="I508" s="119" t="s">
        <v>5</v>
      </c>
      <c r="J508" s="70"/>
      <c r="K508" s="118"/>
      <c r="L508" s="118" t="s">
        <v>1945</v>
      </c>
      <c r="M508" s="147" t="s">
        <v>16</v>
      </c>
      <c r="N508" s="111" t="s">
        <v>1946</v>
      </c>
      <c r="O508" s="111" t="s">
        <v>28</v>
      </c>
      <c r="P508" s="111" t="s">
        <v>103</v>
      </c>
      <c r="Q508" s="70" t="s">
        <v>1358</v>
      </c>
      <c r="R508" s="111" t="s">
        <v>145</v>
      </c>
      <c r="S508" s="111"/>
      <c r="T508" s="70"/>
      <c r="U508" s="74"/>
      <c r="V508" s="158" t="s">
        <v>10</v>
      </c>
      <c r="W508" s="118"/>
      <c r="X508" s="113"/>
      <c r="Y508" s="117">
        <f t="shared" si="129"/>
        <v>44925</v>
      </c>
      <c r="Z508" s="187">
        <v>44903</v>
      </c>
      <c r="AA508" s="161" t="str">
        <f t="shared" ca="1" si="130"/>
        <v>YES</v>
      </c>
      <c r="AB508" s="203">
        <v>44823</v>
      </c>
      <c r="AC508" s="190">
        <v>44460</v>
      </c>
      <c r="AD508" s="187">
        <v>44925</v>
      </c>
      <c r="AE508" s="187">
        <v>44903</v>
      </c>
      <c r="AF508" s="114" t="str">
        <f t="shared" ca="1" si="133"/>
        <v>YES</v>
      </c>
      <c r="AG508" s="194">
        <v>294</v>
      </c>
      <c r="AH508" s="194">
        <v>0</v>
      </c>
      <c r="AI508" s="196">
        <f t="shared" si="131"/>
        <v>294</v>
      </c>
      <c r="AJ508" s="148" t="s">
        <v>6</v>
      </c>
      <c r="AK508" s="187">
        <v>45239</v>
      </c>
      <c r="AL508" s="70"/>
      <c r="AM508" s="165" t="str">
        <f t="shared" si="134"/>
        <v xml:space="preserve">22040 Sanofi </v>
      </c>
      <c r="AN508" s="165" t="str">
        <f t="shared" si="132"/>
        <v>22040 Sanofi  : Missing label on shipping crate</v>
      </c>
    </row>
    <row r="509" spans="1:40" ht="14.5" hidden="1" x14ac:dyDescent="0.35">
      <c r="A509" s="78" t="s">
        <v>1947</v>
      </c>
      <c r="B509" s="154">
        <v>22041</v>
      </c>
      <c r="C509" s="113" t="s">
        <v>4</v>
      </c>
      <c r="D509" s="117">
        <v>44844</v>
      </c>
      <c r="E509" s="118" t="s">
        <v>273</v>
      </c>
      <c r="F509" s="118" t="s">
        <v>658</v>
      </c>
      <c r="G509" s="111" t="s">
        <v>1948</v>
      </c>
      <c r="H509" s="111" t="s">
        <v>1768</v>
      </c>
      <c r="I509" s="119" t="s">
        <v>2056</v>
      </c>
      <c r="J509" s="70"/>
      <c r="K509" s="118">
        <v>2142</v>
      </c>
      <c r="L509" s="118" t="s">
        <v>1949</v>
      </c>
      <c r="M509" s="147" t="s">
        <v>16</v>
      </c>
      <c r="N509" s="111" t="s">
        <v>1950</v>
      </c>
      <c r="O509" s="111" t="s">
        <v>28</v>
      </c>
      <c r="P509" s="111" t="s">
        <v>103</v>
      </c>
      <c r="Q509" s="70" t="s">
        <v>1358</v>
      </c>
      <c r="R509" s="111" t="s">
        <v>145</v>
      </c>
      <c r="S509" s="111"/>
      <c r="T509" s="112" t="s">
        <v>1771</v>
      </c>
      <c r="U509" s="74"/>
      <c r="V509" s="158" t="s">
        <v>6</v>
      </c>
      <c r="W509" s="118" t="s">
        <v>273</v>
      </c>
      <c r="X509" s="113">
        <v>44845</v>
      </c>
      <c r="Y509" s="117">
        <f t="shared" ref="Y509:Y514" si="135">EDATE(D509,3)</f>
        <v>44936</v>
      </c>
      <c r="Z509" s="187">
        <v>44935</v>
      </c>
      <c r="AA509" s="161" t="str">
        <f t="shared" ref="AA509:AA514" ca="1" si="136">IF(Z509="",IF(TODAY()&gt;Y509,"NO","YES"),IF(Z509&gt;Y509,"NO",IF(Z509&lt;Y509,"YES",IF(Y509=Z509,"YES","N/A"))))</f>
        <v>YES</v>
      </c>
      <c r="AB509" s="113"/>
      <c r="AC509" s="70"/>
      <c r="AD509" s="70"/>
      <c r="AE509" s="70"/>
      <c r="AF509" s="114" t="str">
        <f t="shared" ca="1" si="133"/>
        <v>N/A</v>
      </c>
      <c r="AG509" s="194">
        <v>784</v>
      </c>
      <c r="AH509" s="194">
        <v>250</v>
      </c>
      <c r="AI509" s="196">
        <f t="shared" ref="AI509:AI514" si="137">AH509+AG509</f>
        <v>1034</v>
      </c>
      <c r="AJ509" s="148" t="s">
        <v>6</v>
      </c>
      <c r="AK509" s="187">
        <v>45239</v>
      </c>
      <c r="AL509" s="70"/>
      <c r="AM509" s="165" t="str">
        <f t="shared" si="134"/>
        <v>22041 Lesaffre</v>
      </c>
      <c r="AN509" s="165" t="str">
        <f t="shared" ref="AN509:AN514" si="138">CONCATENATE(B509," ",G509," : ",N509)</f>
        <v>22041 Lesaffre : Kerasep Alpha membrane breakage during delivery</v>
      </c>
    </row>
    <row r="510" spans="1:40" ht="14.5" hidden="1" x14ac:dyDescent="0.35">
      <c r="A510" s="78" t="s">
        <v>1951</v>
      </c>
      <c r="B510" s="154">
        <v>22042</v>
      </c>
      <c r="C510" s="113" t="s">
        <v>4</v>
      </c>
      <c r="D510" s="117">
        <v>44852</v>
      </c>
      <c r="E510" s="118" t="s">
        <v>177</v>
      </c>
      <c r="F510" s="118" t="s">
        <v>1103</v>
      </c>
      <c r="G510" s="111" t="s">
        <v>1939</v>
      </c>
      <c r="H510" s="111" t="s">
        <v>1952</v>
      </c>
      <c r="I510" s="119" t="s">
        <v>2057</v>
      </c>
      <c r="J510" s="70"/>
      <c r="K510" s="118" t="s">
        <v>454</v>
      </c>
      <c r="L510" s="118" t="s">
        <v>454</v>
      </c>
      <c r="M510" s="147" t="s">
        <v>454</v>
      </c>
      <c r="N510" s="111" t="s">
        <v>1953</v>
      </c>
      <c r="O510" s="111" t="s">
        <v>29</v>
      </c>
      <c r="P510" s="111" t="s">
        <v>176</v>
      </c>
      <c r="Q510" s="70" t="s">
        <v>1954</v>
      </c>
      <c r="R510" s="111" t="s">
        <v>15</v>
      </c>
      <c r="S510" s="111"/>
      <c r="T510" s="70"/>
      <c r="U510" s="74"/>
      <c r="V510" s="158" t="s">
        <v>6</v>
      </c>
      <c r="W510" s="118" t="s">
        <v>1955</v>
      </c>
      <c r="X510" s="113">
        <v>44885</v>
      </c>
      <c r="Y510" s="117">
        <f t="shared" si="135"/>
        <v>44944</v>
      </c>
      <c r="Z510" s="187">
        <v>44939</v>
      </c>
      <c r="AA510" s="161" t="str">
        <f t="shared" ca="1" si="136"/>
        <v>YES</v>
      </c>
      <c r="AB510" s="113"/>
      <c r="AC510" s="70"/>
      <c r="AD510" s="70"/>
      <c r="AE510" s="70"/>
      <c r="AF510" s="114" t="str">
        <f t="shared" ca="1" si="133"/>
        <v>N/A</v>
      </c>
      <c r="AG510" s="194">
        <v>490</v>
      </c>
      <c r="AH510" s="194">
        <v>0</v>
      </c>
      <c r="AI510" s="196">
        <f t="shared" si="137"/>
        <v>490</v>
      </c>
      <c r="AJ510" s="148" t="s">
        <v>6</v>
      </c>
      <c r="AK510" s="187">
        <v>45239</v>
      </c>
      <c r="AL510" s="70"/>
      <c r="AM510" s="165" t="str">
        <f t="shared" si="134"/>
        <v>22042 Interne</v>
      </c>
      <c r="AN510" s="165" t="str">
        <f t="shared" si="138"/>
        <v>22042 Interne : Order transfert from ISIS to Navision</v>
      </c>
    </row>
    <row r="511" spans="1:40" ht="14.5" hidden="1" x14ac:dyDescent="0.35">
      <c r="A511" s="78" t="s">
        <v>1956</v>
      </c>
      <c r="B511" s="154">
        <v>22043</v>
      </c>
      <c r="C511" s="113" t="s">
        <v>4</v>
      </c>
      <c r="D511" s="117">
        <v>44855</v>
      </c>
      <c r="E511" s="118" t="s">
        <v>1575</v>
      </c>
      <c r="F511" s="118" t="s">
        <v>164</v>
      </c>
      <c r="G511" s="111" t="s">
        <v>1499</v>
      </c>
      <c r="H511" s="111" t="s">
        <v>1218</v>
      </c>
      <c r="I511" s="119" t="s">
        <v>2057</v>
      </c>
      <c r="J511" s="70"/>
      <c r="K511" s="118">
        <v>2139</v>
      </c>
      <c r="L511" s="118">
        <v>17596</v>
      </c>
      <c r="M511" s="147" t="s">
        <v>13</v>
      </c>
      <c r="N511" s="111" t="s">
        <v>1957</v>
      </c>
      <c r="O511" s="111" t="s">
        <v>29</v>
      </c>
      <c r="P511" s="111" t="s">
        <v>86</v>
      </c>
      <c r="Q511" s="70" t="s">
        <v>885</v>
      </c>
      <c r="R511" s="111" t="s">
        <v>15</v>
      </c>
      <c r="S511" s="111"/>
      <c r="T511" s="70"/>
      <c r="U511" s="74"/>
      <c r="V511" s="158" t="s">
        <v>10</v>
      </c>
      <c r="W511" s="118"/>
      <c r="X511" s="113"/>
      <c r="Y511" s="117">
        <f t="shared" si="135"/>
        <v>44947</v>
      </c>
      <c r="Z511" s="187">
        <v>44945</v>
      </c>
      <c r="AA511" s="161" t="str">
        <f t="shared" ca="1" si="136"/>
        <v>YES</v>
      </c>
      <c r="AB511" s="113"/>
      <c r="AC511" s="70"/>
      <c r="AD511" s="70"/>
      <c r="AE511" s="70"/>
      <c r="AF511" s="114" t="str">
        <f t="shared" ref="AF511:AF517" ca="1" si="139">IF(I511="Claim",IF(AD511="","",IF(AE511="",IF(TODAY()&gt;AD511,"NO","YES"),IF(AE511&gt;AD511,"NO",IF(AE511&lt;AD511,"YES",IF(AD511=AE511,"YES","N/A"))))),"N/A")</f>
        <v>N/A</v>
      </c>
      <c r="AG511" s="194">
        <v>784</v>
      </c>
      <c r="AH511" s="194">
        <v>4700</v>
      </c>
      <c r="AI511" s="196">
        <f t="shared" si="137"/>
        <v>5484</v>
      </c>
      <c r="AJ511" s="148" t="s">
        <v>6</v>
      </c>
      <c r="AK511" s="187">
        <v>45237</v>
      </c>
      <c r="AL511" s="70"/>
      <c r="AM511" s="165" t="str">
        <f t="shared" si="134"/>
        <v>22043 Rousselot</v>
      </c>
      <c r="AN511" s="165" t="str">
        <f t="shared" si="138"/>
        <v>22043 Rousselot : Strainer mounting issue (too long)</v>
      </c>
    </row>
    <row r="512" spans="1:40" ht="13" hidden="1" customHeight="1" x14ac:dyDescent="0.35">
      <c r="A512" s="82"/>
      <c r="B512" s="154">
        <v>22044</v>
      </c>
      <c r="C512" s="113" t="s">
        <v>8</v>
      </c>
      <c r="D512" s="117">
        <v>44858</v>
      </c>
      <c r="E512" s="118" t="s">
        <v>1854</v>
      </c>
      <c r="F512" s="118" t="s">
        <v>164</v>
      </c>
      <c r="G512" s="111" t="s">
        <v>1919</v>
      </c>
      <c r="H512" s="111" t="s">
        <v>1920</v>
      </c>
      <c r="I512" s="119" t="s">
        <v>14</v>
      </c>
      <c r="J512" s="70"/>
      <c r="K512" s="210">
        <v>2131</v>
      </c>
      <c r="L512" s="118">
        <v>18072</v>
      </c>
      <c r="M512" s="147" t="s">
        <v>13</v>
      </c>
      <c r="N512" s="111" t="s">
        <v>1958</v>
      </c>
      <c r="O512" s="111" t="s">
        <v>29</v>
      </c>
      <c r="P512" s="111" t="s">
        <v>86</v>
      </c>
      <c r="Q512" s="70" t="s">
        <v>1629</v>
      </c>
      <c r="R512" s="111" t="s">
        <v>9</v>
      </c>
      <c r="S512" s="111"/>
      <c r="T512" s="70"/>
      <c r="U512" s="74"/>
      <c r="V512" s="158" t="s">
        <v>6</v>
      </c>
      <c r="W512" s="118" t="s">
        <v>1854</v>
      </c>
      <c r="X512" s="113">
        <v>44852</v>
      </c>
      <c r="Y512" s="117">
        <f t="shared" si="135"/>
        <v>44950</v>
      </c>
      <c r="Z512" s="187">
        <v>44935</v>
      </c>
      <c r="AA512" s="161" t="str">
        <f t="shared" ca="1" si="136"/>
        <v>YES</v>
      </c>
      <c r="AB512" s="113"/>
      <c r="AC512" s="70"/>
      <c r="AD512" s="70"/>
      <c r="AE512" s="70"/>
      <c r="AF512" s="114" t="str">
        <f t="shared" ca="1" si="139"/>
        <v>N/A</v>
      </c>
      <c r="AG512" s="194">
        <v>500</v>
      </c>
      <c r="AH512" s="194"/>
      <c r="AI512" s="196">
        <f t="shared" si="137"/>
        <v>500</v>
      </c>
      <c r="AJ512" s="148"/>
      <c r="AK512" s="70"/>
      <c r="AL512" s="70"/>
      <c r="AM512" s="165" t="str">
        <f t="shared" si="134"/>
        <v>22044 SQ21</v>
      </c>
      <c r="AN512" s="165" t="str">
        <f t="shared" si="138"/>
        <v xml:space="preserve">22044 SQ21 : Installation issue of manhole for IEX column </v>
      </c>
    </row>
    <row r="513" spans="1:40" ht="12" hidden="1" customHeight="1" x14ac:dyDescent="0.35">
      <c r="A513" s="78" t="s">
        <v>1959</v>
      </c>
      <c r="B513" s="154">
        <v>22045</v>
      </c>
      <c r="C513" s="113" t="s">
        <v>4</v>
      </c>
      <c r="D513" s="117">
        <v>44860</v>
      </c>
      <c r="E513" s="118" t="s">
        <v>160</v>
      </c>
      <c r="F513" s="118" t="s">
        <v>658</v>
      </c>
      <c r="G513" s="111" t="s">
        <v>1960</v>
      </c>
      <c r="H513" s="111" t="s">
        <v>570</v>
      </c>
      <c r="I513" s="119" t="s">
        <v>2056</v>
      </c>
      <c r="J513" s="70"/>
      <c r="K513" s="118"/>
      <c r="L513" s="118" t="s">
        <v>1915</v>
      </c>
      <c r="M513" s="147"/>
      <c r="N513" s="111" t="s">
        <v>1961</v>
      </c>
      <c r="O513" s="111" t="s">
        <v>28</v>
      </c>
      <c r="P513" s="111" t="s">
        <v>103</v>
      </c>
      <c r="Q513" s="70" t="s">
        <v>176</v>
      </c>
      <c r="R513" s="111" t="s">
        <v>145</v>
      </c>
      <c r="S513" s="111"/>
      <c r="T513" s="112" t="s">
        <v>570</v>
      </c>
      <c r="U513" s="74"/>
      <c r="V513" s="158" t="s">
        <v>6</v>
      </c>
      <c r="W513" s="118" t="s">
        <v>1962</v>
      </c>
      <c r="X513" s="113">
        <v>44881</v>
      </c>
      <c r="Y513" s="117">
        <f t="shared" si="135"/>
        <v>44952</v>
      </c>
      <c r="Z513" s="187">
        <v>45030</v>
      </c>
      <c r="AA513" s="161" t="str">
        <f t="shared" ca="1" si="136"/>
        <v>NO</v>
      </c>
      <c r="AB513" s="113"/>
      <c r="AC513" s="70"/>
      <c r="AD513" s="70"/>
      <c r="AE513" s="70"/>
      <c r="AF513" s="114" t="str">
        <f t="shared" ca="1" si="139"/>
        <v>N/A</v>
      </c>
      <c r="AG513" s="194">
        <v>5160.95</v>
      </c>
      <c r="AH513" s="194">
        <v>0</v>
      </c>
      <c r="AI513" s="196">
        <f t="shared" si="137"/>
        <v>5160.95</v>
      </c>
      <c r="AJ513" s="148"/>
      <c r="AK513" s="70" t="s">
        <v>2045</v>
      </c>
      <c r="AL513" s="70"/>
      <c r="AM513" s="165" t="str">
        <f t="shared" ref="AM513:AM518" si="140">CONCATENATE(B513," ",G513)</f>
        <v>22045 Cristal Union Erstein</v>
      </c>
      <c r="AN513" s="165" t="str">
        <f t="shared" si="138"/>
        <v>22045 Cristal Union Erstein : Abnormal resins swelling</v>
      </c>
    </row>
    <row r="514" spans="1:40" ht="16" hidden="1" customHeight="1" x14ac:dyDescent="0.35">
      <c r="A514" s="82"/>
      <c r="B514" s="154">
        <v>22046</v>
      </c>
      <c r="C514" s="113" t="s">
        <v>8</v>
      </c>
      <c r="D514" s="117">
        <v>44862</v>
      </c>
      <c r="E514" s="118" t="s">
        <v>1664</v>
      </c>
      <c r="F514" s="118" t="s">
        <v>164</v>
      </c>
      <c r="G514" s="111" t="s">
        <v>1919</v>
      </c>
      <c r="H514" s="111" t="s">
        <v>1920</v>
      </c>
      <c r="I514" s="119" t="s">
        <v>5</v>
      </c>
      <c r="J514" s="70"/>
      <c r="K514" s="210">
        <v>2131</v>
      </c>
      <c r="L514" s="118">
        <v>18072</v>
      </c>
      <c r="M514" s="147" t="s">
        <v>13</v>
      </c>
      <c r="N514" s="111" t="s">
        <v>1963</v>
      </c>
      <c r="O514" s="111" t="s">
        <v>29</v>
      </c>
      <c r="P514" s="111" t="s">
        <v>86</v>
      </c>
      <c r="Q514" s="70" t="s">
        <v>1629</v>
      </c>
      <c r="R514" s="111" t="s">
        <v>145</v>
      </c>
      <c r="S514" s="111"/>
      <c r="T514" s="70"/>
      <c r="U514" s="74"/>
      <c r="V514" s="158" t="s">
        <v>6</v>
      </c>
      <c r="W514" s="118" t="s">
        <v>1854</v>
      </c>
      <c r="X514" s="113">
        <v>44850</v>
      </c>
      <c r="Y514" s="117">
        <f t="shared" si="135"/>
        <v>44954</v>
      </c>
      <c r="Z514" s="187">
        <v>44914</v>
      </c>
      <c r="AA514" s="161" t="str">
        <f t="shared" ca="1" si="136"/>
        <v>YES</v>
      </c>
      <c r="AB514" s="113">
        <v>44826</v>
      </c>
      <c r="AC514" s="224">
        <v>44827</v>
      </c>
      <c r="AD514" s="224">
        <v>44895</v>
      </c>
      <c r="AE514" s="187">
        <v>44914</v>
      </c>
      <c r="AF514" s="225" t="str">
        <f t="shared" ca="1" si="139"/>
        <v>NO</v>
      </c>
      <c r="AG514" s="194">
        <v>2500</v>
      </c>
      <c r="AH514" s="194">
        <v>0</v>
      </c>
      <c r="AI514" s="196">
        <f t="shared" si="137"/>
        <v>2500</v>
      </c>
      <c r="AJ514" s="148"/>
      <c r="AK514" s="70"/>
      <c r="AL514" s="70"/>
      <c r="AM514" s="165" t="str">
        <f t="shared" si="140"/>
        <v>22046 SQ21</v>
      </c>
      <c r="AN514" s="165" t="str">
        <f t="shared" si="138"/>
        <v>22046 SQ21 : Material and welding issues on IEX front piping</v>
      </c>
    </row>
    <row r="515" spans="1:40" ht="17.5" hidden="1" customHeight="1" x14ac:dyDescent="0.35">
      <c r="A515" s="82"/>
      <c r="B515" s="154">
        <v>22047</v>
      </c>
      <c r="C515" s="113" t="s">
        <v>8</v>
      </c>
      <c r="D515" s="117">
        <v>44862</v>
      </c>
      <c r="E515" s="118" t="s">
        <v>1896</v>
      </c>
      <c r="F515" s="118" t="s">
        <v>164</v>
      </c>
      <c r="G515" s="111" t="s">
        <v>1807</v>
      </c>
      <c r="H515" s="111" t="s">
        <v>1668</v>
      </c>
      <c r="I515" s="119" t="s">
        <v>5</v>
      </c>
      <c r="J515" s="70"/>
      <c r="K515" s="145">
        <v>2082</v>
      </c>
      <c r="L515" s="118">
        <v>14552</v>
      </c>
      <c r="M515" s="147" t="s">
        <v>13</v>
      </c>
      <c r="N515" s="111" t="s">
        <v>1964</v>
      </c>
      <c r="O515" s="111" t="s">
        <v>29</v>
      </c>
      <c r="P515" s="111" t="s">
        <v>86</v>
      </c>
      <c r="Q515" s="70" t="s">
        <v>1629</v>
      </c>
      <c r="R515" s="111" t="s">
        <v>145</v>
      </c>
      <c r="S515" s="111"/>
      <c r="T515" s="70"/>
      <c r="U515" s="74"/>
      <c r="V515" s="158" t="s">
        <v>6</v>
      </c>
      <c r="W515" s="118" t="s">
        <v>1854</v>
      </c>
      <c r="X515" s="113">
        <v>44853</v>
      </c>
      <c r="Y515" s="117">
        <f t="shared" ref="Y515:Y520" si="141">EDATE(D515,3)</f>
        <v>44954</v>
      </c>
      <c r="Z515" s="187">
        <v>44911</v>
      </c>
      <c r="AA515" s="161" t="str">
        <f t="shared" ref="AA515:AA520" ca="1" si="142">IF(Z515="",IF(TODAY()&gt;Y515,"NO","YES"),IF(Z515&gt;Y515,"NO",IF(Z515&lt;Y515,"YES",IF(Y515=Z515,"YES","N/A"))))</f>
        <v>YES</v>
      </c>
      <c r="AB515" s="113">
        <v>44831</v>
      </c>
      <c r="AC515" s="224">
        <v>44832</v>
      </c>
      <c r="AD515" s="224">
        <v>44914</v>
      </c>
      <c r="AE515" s="224">
        <v>44911</v>
      </c>
      <c r="AF515" s="114" t="str">
        <f t="shared" ca="1" si="139"/>
        <v>YES</v>
      </c>
      <c r="AG515" s="194">
        <v>500</v>
      </c>
      <c r="AH515" s="194"/>
      <c r="AI515" s="196">
        <f t="shared" ref="AI515:AI520" si="143">AH515+AG515</f>
        <v>500</v>
      </c>
      <c r="AJ515" s="148"/>
      <c r="AK515" s="70"/>
      <c r="AL515" s="70"/>
      <c r="AM515" s="165" t="str">
        <f t="shared" si="140"/>
        <v>22047 SQ10</v>
      </c>
      <c r="AN515" s="165" t="str">
        <f t="shared" ref="AN515:AN520" si="144">CONCATENATE(B515," ",G515," : ",N515)</f>
        <v>22047 SQ10 : Lack welding on the vent pipe inside SSMB</v>
      </c>
    </row>
    <row r="516" spans="1:40" ht="10.5" hidden="1" customHeight="1" x14ac:dyDescent="0.35">
      <c r="A516" s="82"/>
      <c r="B516" s="154">
        <v>22048</v>
      </c>
      <c r="C516" s="113" t="s">
        <v>8</v>
      </c>
      <c r="D516" s="117">
        <v>44886</v>
      </c>
      <c r="E516" s="118" t="s">
        <v>1965</v>
      </c>
      <c r="F516" s="118" t="s">
        <v>164</v>
      </c>
      <c r="G516" s="111" t="s">
        <v>1966</v>
      </c>
      <c r="H516" s="111" t="s">
        <v>147</v>
      </c>
      <c r="I516" s="119" t="s">
        <v>14</v>
      </c>
      <c r="J516" s="70"/>
      <c r="K516" s="118"/>
      <c r="L516" s="118">
        <v>11608</v>
      </c>
      <c r="M516" s="147" t="s">
        <v>13</v>
      </c>
      <c r="N516" s="111" t="s">
        <v>1967</v>
      </c>
      <c r="O516" s="111" t="s">
        <v>29</v>
      </c>
      <c r="P516" s="111" t="s">
        <v>86</v>
      </c>
      <c r="Q516" s="70" t="s">
        <v>1629</v>
      </c>
      <c r="R516" s="111" t="s">
        <v>9</v>
      </c>
      <c r="S516" s="111"/>
      <c r="T516" s="70"/>
      <c r="U516" s="74"/>
      <c r="V516" s="158" t="s">
        <v>6</v>
      </c>
      <c r="W516" s="118" t="s">
        <v>1965</v>
      </c>
      <c r="X516" s="113">
        <v>44886</v>
      </c>
      <c r="Y516" s="117">
        <f t="shared" si="141"/>
        <v>44978</v>
      </c>
      <c r="Z516" s="187">
        <v>44907</v>
      </c>
      <c r="AA516" s="161" t="str">
        <f t="shared" ca="1" si="142"/>
        <v>YES</v>
      </c>
      <c r="AB516" s="113"/>
      <c r="AC516" s="70"/>
      <c r="AD516" s="70"/>
      <c r="AE516" s="70"/>
      <c r="AF516" s="114" t="str">
        <f t="shared" ca="1" si="139"/>
        <v>N/A</v>
      </c>
      <c r="AG516" s="194">
        <v>0</v>
      </c>
      <c r="AH516" s="194">
        <v>0</v>
      </c>
      <c r="AI516" s="196">
        <f t="shared" si="143"/>
        <v>0</v>
      </c>
      <c r="AJ516" s="148"/>
      <c r="AK516" s="70"/>
      <c r="AL516" s="70"/>
      <c r="AM516" s="165" t="str">
        <f t="shared" si="140"/>
        <v>22048 COFCO</v>
      </c>
      <c r="AN516" s="165" t="str">
        <f t="shared" si="144"/>
        <v xml:space="preserve">22048 COFCO : filter not matching </v>
      </c>
    </row>
    <row r="517" spans="1:40" ht="14.5" hidden="1" customHeight="1" x14ac:dyDescent="0.35">
      <c r="A517" s="82"/>
      <c r="B517" s="154">
        <v>22049</v>
      </c>
      <c r="C517" s="113" t="s">
        <v>8</v>
      </c>
      <c r="D517" s="117">
        <v>44886</v>
      </c>
      <c r="E517" s="118" t="s">
        <v>1965</v>
      </c>
      <c r="F517" s="118" t="s">
        <v>164</v>
      </c>
      <c r="G517" s="111" t="s">
        <v>1966</v>
      </c>
      <c r="H517" s="111" t="s">
        <v>1920</v>
      </c>
      <c r="I517" s="119" t="s">
        <v>14</v>
      </c>
      <c r="J517" s="70"/>
      <c r="K517" s="118"/>
      <c r="L517" s="118">
        <v>11608</v>
      </c>
      <c r="M517" s="147" t="s">
        <v>13</v>
      </c>
      <c r="N517" s="111" t="s">
        <v>1968</v>
      </c>
      <c r="O517" s="111" t="s">
        <v>29</v>
      </c>
      <c r="P517" s="111" t="s">
        <v>86</v>
      </c>
      <c r="Q517" s="70" t="s">
        <v>1629</v>
      </c>
      <c r="R517" s="111" t="s">
        <v>9</v>
      </c>
      <c r="S517" s="111"/>
      <c r="T517" s="70"/>
      <c r="U517" s="74"/>
      <c r="V517" s="158" t="s">
        <v>6</v>
      </c>
      <c r="W517" s="118" t="s">
        <v>1965</v>
      </c>
      <c r="X517" s="113">
        <v>44886</v>
      </c>
      <c r="Y517" s="117">
        <f t="shared" si="141"/>
        <v>44978</v>
      </c>
      <c r="Z517" s="187">
        <v>44893</v>
      </c>
      <c r="AA517" s="161" t="str">
        <f t="shared" ca="1" si="142"/>
        <v>YES</v>
      </c>
      <c r="AB517" s="113"/>
      <c r="AC517" s="70"/>
      <c r="AD517" s="70"/>
      <c r="AE517" s="70"/>
      <c r="AF517" s="114" t="str">
        <f t="shared" ca="1" si="139"/>
        <v>N/A</v>
      </c>
      <c r="AG517" s="194">
        <v>0</v>
      </c>
      <c r="AH517" s="194">
        <v>0</v>
      </c>
      <c r="AI517" s="196">
        <f t="shared" si="143"/>
        <v>0</v>
      </c>
      <c r="AJ517" s="148"/>
      <c r="AK517" s="70"/>
      <c r="AL517" s="70"/>
      <c r="AM517" s="165" t="str">
        <f t="shared" si="140"/>
        <v>22049 COFCO</v>
      </c>
      <c r="AN517" s="165" t="str">
        <f t="shared" si="144"/>
        <v xml:space="preserve">22049 COFCO : different ball valves were mixed </v>
      </c>
    </row>
    <row r="518" spans="1:40" ht="11.5" hidden="1" customHeight="1" x14ac:dyDescent="0.35">
      <c r="A518" s="82"/>
      <c r="B518" s="154">
        <v>22050</v>
      </c>
      <c r="C518" s="113" t="s">
        <v>8</v>
      </c>
      <c r="D518" s="117">
        <v>44893</v>
      </c>
      <c r="E518" s="118" t="s">
        <v>1965</v>
      </c>
      <c r="F518" s="118" t="s">
        <v>164</v>
      </c>
      <c r="G518" s="111" t="s">
        <v>1969</v>
      </c>
      <c r="H518" s="111" t="s">
        <v>433</v>
      </c>
      <c r="I518" s="119" t="s">
        <v>14</v>
      </c>
      <c r="J518" s="70"/>
      <c r="K518" s="118"/>
      <c r="L518" s="118">
        <v>16753</v>
      </c>
      <c r="M518" s="147" t="s">
        <v>13</v>
      </c>
      <c r="N518" s="111" t="s">
        <v>1970</v>
      </c>
      <c r="O518" s="111" t="s">
        <v>29</v>
      </c>
      <c r="P518" s="111" t="s">
        <v>86</v>
      </c>
      <c r="Q518" s="70" t="s">
        <v>1629</v>
      </c>
      <c r="R518" s="111" t="s">
        <v>87</v>
      </c>
      <c r="S518" s="111"/>
      <c r="T518" s="70"/>
      <c r="U518" s="74"/>
      <c r="V518" s="158" t="s">
        <v>6</v>
      </c>
      <c r="W518" s="118" t="s">
        <v>1965</v>
      </c>
      <c r="X518" s="113">
        <v>44893</v>
      </c>
      <c r="Y518" s="117">
        <f t="shared" si="141"/>
        <v>44985</v>
      </c>
      <c r="Z518" s="187">
        <v>44932</v>
      </c>
      <c r="AA518" s="161" t="str">
        <f t="shared" ca="1" si="142"/>
        <v>YES</v>
      </c>
      <c r="AB518" s="113">
        <v>44894</v>
      </c>
      <c r="AC518" s="224">
        <v>44894</v>
      </c>
      <c r="AD518" s="224">
        <v>44926</v>
      </c>
      <c r="AE518" s="224">
        <v>45290</v>
      </c>
      <c r="AF518" s="114" t="str">
        <f t="shared" ref="AF518:AF522" ca="1" si="145">IF(I518="Claim",IF(AD518="","",IF(AE518="",IF(TODAY()&gt;AD518,"NO","YES"),IF(AE518&gt;AD518,"NO",IF(AE518&lt;AD518,"YES",IF(AD518=AE518,"YES","N/A"))))),"N/A")</f>
        <v>N/A</v>
      </c>
      <c r="AG518" s="194">
        <v>2500</v>
      </c>
      <c r="AH518" s="194"/>
      <c r="AI518" s="196">
        <f t="shared" si="143"/>
        <v>2500</v>
      </c>
      <c r="AJ518" s="148"/>
      <c r="AK518" s="70"/>
      <c r="AL518" s="70"/>
      <c r="AM518" s="165" t="str">
        <f t="shared" si="140"/>
        <v>22050 Natureworks</v>
      </c>
      <c r="AN518" s="165" t="str">
        <f t="shared" si="144"/>
        <v>22050 Natureworks : Rubber lining thickness is lower than the standard</v>
      </c>
    </row>
    <row r="519" spans="1:40" ht="19" hidden="1" customHeight="1" x14ac:dyDescent="0.4">
      <c r="A519" s="82"/>
      <c r="B519" s="154">
        <v>22051</v>
      </c>
      <c r="C519" s="113" t="s">
        <v>8</v>
      </c>
      <c r="D519" s="117">
        <v>44900</v>
      </c>
      <c r="E519" s="118" t="s">
        <v>1965</v>
      </c>
      <c r="F519" s="118" t="s">
        <v>164</v>
      </c>
      <c r="G519" s="111" t="s">
        <v>1969</v>
      </c>
      <c r="H519" s="226" t="s">
        <v>1971</v>
      </c>
      <c r="I519" s="119" t="s">
        <v>14</v>
      </c>
      <c r="J519" s="70"/>
      <c r="K519" s="118"/>
      <c r="L519" s="118">
        <v>16753</v>
      </c>
      <c r="M519" s="147" t="s">
        <v>13</v>
      </c>
      <c r="N519" s="111" t="s">
        <v>1972</v>
      </c>
      <c r="O519" s="111" t="s">
        <v>29</v>
      </c>
      <c r="P519" s="111" t="s">
        <v>86</v>
      </c>
      <c r="Q519" s="70" t="s">
        <v>1629</v>
      </c>
      <c r="R519" s="111" t="s">
        <v>87</v>
      </c>
      <c r="S519" s="111"/>
      <c r="T519" s="70"/>
      <c r="U519" s="74"/>
      <c r="V519" s="158" t="s">
        <v>6</v>
      </c>
      <c r="W519" s="118" t="s">
        <v>1973</v>
      </c>
      <c r="X519" s="113">
        <v>44900</v>
      </c>
      <c r="Y519" s="117">
        <f t="shared" si="141"/>
        <v>44990</v>
      </c>
      <c r="Z519" s="187">
        <v>44935</v>
      </c>
      <c r="AA519" s="161" t="str">
        <f t="shared" ca="1" si="142"/>
        <v>YES</v>
      </c>
      <c r="AB519" s="113"/>
      <c r="AC519" s="70"/>
      <c r="AD519" s="70"/>
      <c r="AE519" s="70"/>
      <c r="AF519" s="114" t="str">
        <f t="shared" ca="1" si="145"/>
        <v>N/A</v>
      </c>
      <c r="AG519" s="194"/>
      <c r="AH519" s="194"/>
      <c r="AI519" s="196">
        <f t="shared" si="143"/>
        <v>0</v>
      </c>
      <c r="AJ519" s="148"/>
      <c r="AK519" s="70"/>
      <c r="AL519" s="70"/>
      <c r="AM519" s="165" t="str">
        <f t="shared" ref="AM519:AM523" si="146">CONCATENATE(B519," ",G519)</f>
        <v>22051 Natureworks</v>
      </c>
      <c r="AN519" s="165" t="str">
        <f t="shared" si="144"/>
        <v xml:space="preserve">22051 Natureworks : filter halar thickness </v>
      </c>
    </row>
    <row r="520" spans="1:40" ht="14.5" hidden="1" x14ac:dyDescent="0.35">
      <c r="A520" s="78" t="s">
        <v>1974</v>
      </c>
      <c r="B520" s="154">
        <v>23001</v>
      </c>
      <c r="C520" s="113" t="s">
        <v>4</v>
      </c>
      <c r="D520" s="117">
        <v>44937</v>
      </c>
      <c r="E520" s="118" t="s">
        <v>273</v>
      </c>
      <c r="F520" s="118" t="s">
        <v>658</v>
      </c>
      <c r="G520" s="111" t="s">
        <v>1975</v>
      </c>
      <c r="H520" s="111" t="s">
        <v>357</v>
      </c>
      <c r="I520" s="119" t="s">
        <v>5</v>
      </c>
      <c r="J520" s="70"/>
      <c r="K520" s="118"/>
      <c r="L520" s="118" t="s">
        <v>1976</v>
      </c>
      <c r="M520" s="147" t="s">
        <v>16</v>
      </c>
      <c r="N520" s="111" t="s">
        <v>1977</v>
      </c>
      <c r="O520" s="111" t="s">
        <v>28</v>
      </c>
      <c r="P520" s="111" t="s">
        <v>103</v>
      </c>
      <c r="Q520" s="70" t="s">
        <v>176</v>
      </c>
      <c r="R520" s="111" t="s">
        <v>145</v>
      </c>
      <c r="S520" s="111"/>
      <c r="T520" s="112" t="s">
        <v>357</v>
      </c>
      <c r="U520" s="74"/>
      <c r="V520" s="158" t="s">
        <v>6</v>
      </c>
      <c r="W520" s="118" t="s">
        <v>273</v>
      </c>
      <c r="X520" s="113">
        <v>44963</v>
      </c>
      <c r="Y520" s="117">
        <f t="shared" si="141"/>
        <v>45027</v>
      </c>
      <c r="Z520" s="187">
        <v>45097</v>
      </c>
      <c r="AA520" s="161" t="str">
        <f t="shared" ca="1" si="142"/>
        <v>NO</v>
      </c>
      <c r="AB520" s="113">
        <v>44931</v>
      </c>
      <c r="AC520" s="190">
        <v>44932</v>
      </c>
      <c r="AD520" s="187">
        <v>45107</v>
      </c>
      <c r="AE520" s="187">
        <v>45097</v>
      </c>
      <c r="AF520" s="114" t="str">
        <f t="shared" ca="1" si="145"/>
        <v>YES</v>
      </c>
      <c r="AG520" s="194">
        <v>3430</v>
      </c>
      <c r="AH520" s="194">
        <v>0</v>
      </c>
      <c r="AI520" s="196">
        <f t="shared" si="143"/>
        <v>3430</v>
      </c>
      <c r="AJ520" s="148"/>
      <c r="AK520" s="70" t="s">
        <v>2045</v>
      </c>
      <c r="AL520" s="70"/>
      <c r="AM520" s="165" t="str">
        <f t="shared" si="146"/>
        <v>23001 Sanofi</v>
      </c>
      <c r="AN520" s="165" t="str">
        <f t="shared" si="144"/>
        <v xml:space="preserve">23001 Sanofi : Abnormal evolution of water flow Kerasep membranes </v>
      </c>
    </row>
    <row r="521" spans="1:40" ht="14.5" hidden="1" x14ac:dyDescent="0.35">
      <c r="A521" s="78" t="s">
        <v>1978</v>
      </c>
      <c r="B521" s="154">
        <v>23002</v>
      </c>
      <c r="C521" s="113" t="s">
        <v>4</v>
      </c>
      <c r="D521" s="117">
        <v>44946</v>
      </c>
      <c r="E521" s="118" t="s">
        <v>1624</v>
      </c>
      <c r="F521" s="118" t="s">
        <v>658</v>
      </c>
      <c r="G521" s="111" t="s">
        <v>1979</v>
      </c>
      <c r="H521" s="111" t="s">
        <v>570</v>
      </c>
      <c r="I521" s="119" t="s">
        <v>2057</v>
      </c>
      <c r="J521" s="70"/>
      <c r="K521" s="118"/>
      <c r="L521" s="118" t="s">
        <v>1980</v>
      </c>
      <c r="M521" s="147" t="s">
        <v>13</v>
      </c>
      <c r="N521" s="111" t="s">
        <v>1981</v>
      </c>
      <c r="O521" s="111" t="s">
        <v>28</v>
      </c>
      <c r="P521" s="111" t="s">
        <v>103</v>
      </c>
      <c r="Q521" s="70" t="s">
        <v>1954</v>
      </c>
      <c r="R521" s="111" t="s">
        <v>9</v>
      </c>
      <c r="S521" s="68"/>
      <c r="T521" s="70"/>
      <c r="U521" s="74"/>
      <c r="V521" s="158" t="s">
        <v>6</v>
      </c>
      <c r="W521" s="118" t="s">
        <v>221</v>
      </c>
      <c r="X521" s="113">
        <v>44942</v>
      </c>
      <c r="Y521" s="117">
        <f t="shared" ref="Y521:Y526" si="147">EDATE(D521,3)</f>
        <v>45036</v>
      </c>
      <c r="Z521" s="187">
        <v>45538</v>
      </c>
      <c r="AA521" s="161" t="str">
        <f t="shared" ref="AA521:AA526" ca="1" si="148">IF(Z521="",IF(TODAY()&gt;Y521,"NO","YES"),IF(Z521&gt;Y521,"NO",IF(Z521&lt;Y521,"YES",IF(Y521=Z521,"YES","N/A"))))</f>
        <v>NO</v>
      </c>
      <c r="AB521" s="113"/>
      <c r="AC521" s="70"/>
      <c r="AD521" s="70"/>
      <c r="AE521" s="70"/>
      <c r="AF521" s="114" t="str">
        <f t="shared" ca="1" si="145"/>
        <v>N/A</v>
      </c>
      <c r="AG521" s="194">
        <v>980</v>
      </c>
      <c r="AH521" s="194">
        <v>5000</v>
      </c>
      <c r="AI521" s="196">
        <f t="shared" ref="AI521:AI526" si="149">AH521+AG521</f>
        <v>5980</v>
      </c>
      <c r="AJ521" s="148"/>
      <c r="AK521" s="70" t="s">
        <v>2144</v>
      </c>
      <c r="AL521" s="70"/>
      <c r="AM521" s="165" t="str">
        <f t="shared" si="146"/>
        <v>23002 Friesland</v>
      </c>
      <c r="AN521" s="165" t="str">
        <f t="shared" ref="AN521:AN526" si="150">CONCATENATE(B521," ",G521," : ",N521)</f>
        <v>23002 Friesland : Non halal resin delivered</v>
      </c>
    </row>
    <row r="522" spans="1:40" ht="14.5" hidden="1" x14ac:dyDescent="0.35">
      <c r="A522" s="153" t="s">
        <v>1982</v>
      </c>
      <c r="B522" s="154">
        <v>23003</v>
      </c>
      <c r="C522" s="113" t="s">
        <v>4</v>
      </c>
      <c r="D522" s="117">
        <v>44949</v>
      </c>
      <c r="E522" s="118" t="s">
        <v>1575</v>
      </c>
      <c r="F522" s="118" t="s">
        <v>164</v>
      </c>
      <c r="G522" s="111" t="s">
        <v>1864</v>
      </c>
      <c r="H522" s="111" t="s">
        <v>930</v>
      </c>
      <c r="I522" s="119" t="s">
        <v>5</v>
      </c>
      <c r="J522" s="70"/>
      <c r="K522" s="118">
        <v>2104</v>
      </c>
      <c r="L522" s="118">
        <v>15841</v>
      </c>
      <c r="M522" s="147" t="s">
        <v>13</v>
      </c>
      <c r="N522" s="111" t="s">
        <v>1983</v>
      </c>
      <c r="O522" s="111" t="s">
        <v>29</v>
      </c>
      <c r="P522" s="111" t="s">
        <v>86</v>
      </c>
      <c r="Q522" s="70" t="s">
        <v>1665</v>
      </c>
      <c r="R522" s="111" t="s">
        <v>9</v>
      </c>
      <c r="S522" s="111"/>
      <c r="T522" s="70"/>
      <c r="U522" s="74"/>
      <c r="V522" s="158" t="s">
        <v>6</v>
      </c>
      <c r="W522" s="118" t="s">
        <v>864</v>
      </c>
      <c r="X522" s="113">
        <v>44957</v>
      </c>
      <c r="Y522" s="117">
        <f t="shared" si="147"/>
        <v>45039</v>
      </c>
      <c r="Z522" s="187">
        <v>45043</v>
      </c>
      <c r="AA522" s="161" t="str">
        <f t="shared" ca="1" si="148"/>
        <v>NO</v>
      </c>
      <c r="AB522" s="113">
        <v>44942</v>
      </c>
      <c r="AC522" s="190">
        <v>44949</v>
      </c>
      <c r="AD522" s="187">
        <v>45107</v>
      </c>
      <c r="AE522" s="187">
        <v>45043</v>
      </c>
      <c r="AF522" s="114" t="str">
        <f t="shared" ca="1" si="145"/>
        <v>YES</v>
      </c>
      <c r="AG522" s="194">
        <v>196</v>
      </c>
      <c r="AH522" s="194">
        <v>5077</v>
      </c>
      <c r="AI522" s="196">
        <f t="shared" si="149"/>
        <v>5273</v>
      </c>
      <c r="AJ522" s="148"/>
      <c r="AK522" s="70" t="s">
        <v>2045</v>
      </c>
      <c r="AL522" s="70"/>
      <c r="AM522" s="165" t="str">
        <f t="shared" si="146"/>
        <v>23003 Cargill BOZ</v>
      </c>
      <c r="AN522" s="165" t="str">
        <f t="shared" si="150"/>
        <v>23003 Cargill BOZ : Side glasses gaskets of columns not conform</v>
      </c>
    </row>
    <row r="523" spans="1:40" ht="14.5" hidden="1" x14ac:dyDescent="0.35">
      <c r="A523" s="78" t="s">
        <v>1984</v>
      </c>
      <c r="B523" s="154">
        <v>23004</v>
      </c>
      <c r="C523" s="113" t="s">
        <v>4</v>
      </c>
      <c r="D523" s="117">
        <v>44952</v>
      </c>
      <c r="E523" s="118" t="s">
        <v>1019</v>
      </c>
      <c r="F523" s="118" t="s">
        <v>658</v>
      </c>
      <c r="G523" s="111" t="s">
        <v>602</v>
      </c>
      <c r="H523" s="111" t="s">
        <v>1267</v>
      </c>
      <c r="I523" s="119" t="s">
        <v>17</v>
      </c>
      <c r="J523" s="70"/>
      <c r="K523" s="118"/>
      <c r="L523" s="118" t="s">
        <v>1985</v>
      </c>
      <c r="M523" s="147" t="s">
        <v>672</v>
      </c>
      <c r="N523" s="111" t="s">
        <v>1986</v>
      </c>
      <c r="O523" s="111" t="s">
        <v>28</v>
      </c>
      <c r="P523" s="111" t="s">
        <v>103</v>
      </c>
      <c r="Q523" s="70" t="s">
        <v>1987</v>
      </c>
      <c r="R523" s="111" t="s">
        <v>145</v>
      </c>
      <c r="S523" s="111"/>
      <c r="T523" s="70"/>
      <c r="U523" s="70"/>
      <c r="V523" s="158" t="s">
        <v>6</v>
      </c>
      <c r="W523" s="118" t="s">
        <v>1019</v>
      </c>
      <c r="X523" s="113">
        <v>44950</v>
      </c>
      <c r="Y523" s="117">
        <f t="shared" si="147"/>
        <v>45042</v>
      </c>
      <c r="Z523" s="187">
        <v>45019</v>
      </c>
      <c r="AA523" s="161" t="str">
        <f t="shared" ca="1" si="148"/>
        <v>YES</v>
      </c>
      <c r="AB523" s="113"/>
      <c r="AC523" s="70"/>
      <c r="AD523" s="70"/>
      <c r="AE523" s="70"/>
      <c r="AF523" s="114" t="str">
        <f t="shared" ref="AF523:AF528" ca="1" si="151">IF(I523="Claim",IF(AD523="","",IF(AE523="",IF(TODAY()&gt;AD523,"NO","YES"),IF(AE523&gt;AD523,"NO",IF(AE523&lt;AD523,"YES",IF(AD523=AE523,"YES","N/A"))))),"N/A")</f>
        <v>N/A</v>
      </c>
      <c r="AG523" s="194">
        <v>490</v>
      </c>
      <c r="AH523" s="194">
        <v>0</v>
      </c>
      <c r="AI523" s="196">
        <f t="shared" si="149"/>
        <v>490</v>
      </c>
      <c r="AJ523" s="148"/>
      <c r="AK523" s="70" t="s">
        <v>2045</v>
      </c>
      <c r="AL523" s="70"/>
      <c r="AM523" s="165" t="str">
        <f t="shared" si="146"/>
        <v>23004 Cevital</v>
      </c>
      <c r="AN523" s="165" t="str">
        <f t="shared" si="150"/>
        <v>23004 Cevital : Deformation of column nozzles</v>
      </c>
    </row>
    <row r="524" spans="1:40" ht="14.5" hidden="1" x14ac:dyDescent="0.35">
      <c r="A524" s="78" t="s">
        <v>1988</v>
      </c>
      <c r="B524" s="154">
        <v>23005</v>
      </c>
      <c r="C524" s="113" t="s">
        <v>4</v>
      </c>
      <c r="D524" s="117">
        <v>44956</v>
      </c>
      <c r="E524" s="118" t="s">
        <v>273</v>
      </c>
      <c r="F524" s="118" t="s">
        <v>658</v>
      </c>
      <c r="G524" s="111" t="s">
        <v>1931</v>
      </c>
      <c r="H524" s="111"/>
      <c r="I524" s="119" t="s">
        <v>2057</v>
      </c>
      <c r="J524" s="70"/>
      <c r="K524" s="118"/>
      <c r="L524" s="118" t="s">
        <v>1989</v>
      </c>
      <c r="M524" s="147" t="s">
        <v>16</v>
      </c>
      <c r="N524" s="111" t="s">
        <v>1990</v>
      </c>
      <c r="O524" s="111" t="s">
        <v>28</v>
      </c>
      <c r="P524" s="111" t="s">
        <v>103</v>
      </c>
      <c r="Q524" s="70" t="s">
        <v>1358</v>
      </c>
      <c r="R524" s="111" t="s">
        <v>9</v>
      </c>
      <c r="S524" s="111"/>
      <c r="T524" s="70"/>
      <c r="U524" s="70"/>
      <c r="V524" s="158" t="s">
        <v>10</v>
      </c>
      <c r="W524" s="118"/>
      <c r="X524" s="113"/>
      <c r="Y524" s="117">
        <f t="shared" si="147"/>
        <v>45046</v>
      </c>
      <c r="Z524" s="187">
        <v>45021</v>
      </c>
      <c r="AA524" s="161" t="str">
        <f t="shared" ca="1" si="148"/>
        <v>YES</v>
      </c>
      <c r="AB524" s="113"/>
      <c r="AC524" s="70"/>
      <c r="AD524" s="70"/>
      <c r="AE524" s="70"/>
      <c r="AF524" s="114" t="str">
        <f t="shared" ca="1" si="151"/>
        <v>N/A</v>
      </c>
      <c r="AG524" s="194">
        <v>686</v>
      </c>
      <c r="AH524" s="194">
        <v>0</v>
      </c>
      <c r="AI524" s="196">
        <f t="shared" si="149"/>
        <v>686</v>
      </c>
      <c r="AJ524" s="148"/>
      <c r="AK524" s="70" t="s">
        <v>2144</v>
      </c>
      <c r="AL524" s="70"/>
      <c r="AM524" s="165" t="str">
        <f t="shared" ref="AM524:AM529" si="152">CONCATENATE(B524," ",G524)</f>
        <v>23005 GSK Hamilton</v>
      </c>
      <c r="AN524" s="165" t="str">
        <f t="shared" si="150"/>
        <v>23005 GSK Hamilton : Internal management of customer requests</v>
      </c>
    </row>
    <row r="525" spans="1:40" ht="14.5" hidden="1" x14ac:dyDescent="0.35">
      <c r="A525" s="82"/>
      <c r="B525" s="154">
        <v>23006</v>
      </c>
      <c r="C525" s="113" t="s">
        <v>8</v>
      </c>
      <c r="D525" s="117">
        <v>44967</v>
      </c>
      <c r="E525" s="118" t="s">
        <v>1965</v>
      </c>
      <c r="F525" s="118" t="s">
        <v>164</v>
      </c>
      <c r="G525" s="111" t="s">
        <v>1969</v>
      </c>
      <c r="H525" s="111" t="s">
        <v>2061</v>
      </c>
      <c r="I525" s="119" t="s">
        <v>14</v>
      </c>
      <c r="J525" s="70"/>
      <c r="K525" s="118"/>
      <c r="L525" s="118">
        <v>16753</v>
      </c>
      <c r="M525" s="147"/>
      <c r="N525" s="111"/>
      <c r="O525" s="111" t="s">
        <v>29</v>
      </c>
      <c r="P525" s="111" t="s">
        <v>86</v>
      </c>
      <c r="Q525" s="70" t="s">
        <v>1665</v>
      </c>
      <c r="R525" s="111" t="s">
        <v>9</v>
      </c>
      <c r="S525" s="111"/>
      <c r="T525" s="70"/>
      <c r="U525" s="74"/>
      <c r="V525" s="158" t="s">
        <v>6</v>
      </c>
      <c r="W525" s="118" t="s">
        <v>1965</v>
      </c>
      <c r="X525" s="113">
        <v>44967</v>
      </c>
      <c r="Y525" s="117">
        <f t="shared" si="147"/>
        <v>45056</v>
      </c>
      <c r="Z525" s="187">
        <v>44981</v>
      </c>
      <c r="AA525" s="161" t="str">
        <f t="shared" ca="1" si="148"/>
        <v>YES</v>
      </c>
      <c r="AB525" s="113"/>
      <c r="AC525" s="70"/>
      <c r="AD525" s="224">
        <v>44978</v>
      </c>
      <c r="AE525" s="224">
        <v>44977</v>
      </c>
      <c r="AF525" s="114" t="str">
        <f t="shared" ca="1" si="151"/>
        <v>N/A</v>
      </c>
      <c r="AG525" s="194">
        <v>1500</v>
      </c>
      <c r="AH525" s="194">
        <v>0</v>
      </c>
      <c r="AI525" s="196">
        <f t="shared" si="149"/>
        <v>1500</v>
      </c>
      <c r="AJ525" s="148"/>
      <c r="AK525" s="70"/>
      <c r="AL525" s="70"/>
      <c r="AM525" s="165" t="str">
        <f t="shared" si="152"/>
        <v>23006 Natureworks</v>
      </c>
      <c r="AN525" s="165" t="str">
        <f t="shared" si="150"/>
        <v xml:space="preserve">23006 Natureworks : </v>
      </c>
    </row>
    <row r="526" spans="1:40" ht="14.5" hidden="1" x14ac:dyDescent="0.35">
      <c r="A526" s="78" t="s">
        <v>1991</v>
      </c>
      <c r="B526" s="154">
        <v>23007</v>
      </c>
      <c r="C526" s="113" t="s">
        <v>4</v>
      </c>
      <c r="D526" s="117">
        <v>44985</v>
      </c>
      <c r="E526" s="118" t="s">
        <v>160</v>
      </c>
      <c r="F526" s="118" t="s">
        <v>658</v>
      </c>
      <c r="G526" s="111" t="s">
        <v>1992</v>
      </c>
      <c r="H526" s="111" t="s">
        <v>1993</v>
      </c>
      <c r="I526" s="119" t="s">
        <v>5</v>
      </c>
      <c r="J526" s="70"/>
      <c r="K526" s="118"/>
      <c r="L526" s="118" t="s">
        <v>1994</v>
      </c>
      <c r="M526" s="147" t="s">
        <v>13</v>
      </c>
      <c r="N526" s="111" t="s">
        <v>1995</v>
      </c>
      <c r="O526" s="111" t="s">
        <v>28</v>
      </c>
      <c r="P526" s="111" t="s">
        <v>103</v>
      </c>
      <c r="Q526" s="70" t="s">
        <v>176</v>
      </c>
      <c r="R526" s="111" t="s">
        <v>145</v>
      </c>
      <c r="S526" s="111"/>
      <c r="T526" s="70" t="s">
        <v>1992</v>
      </c>
      <c r="U526" s="74"/>
      <c r="V526" s="158" t="s">
        <v>6</v>
      </c>
      <c r="W526" s="118" t="s">
        <v>160</v>
      </c>
      <c r="X526" s="113">
        <v>45002</v>
      </c>
      <c r="Y526" s="117">
        <f t="shared" si="147"/>
        <v>45074</v>
      </c>
      <c r="Z526" s="187">
        <v>45077</v>
      </c>
      <c r="AA526" s="161" t="str">
        <f t="shared" ca="1" si="148"/>
        <v>NO</v>
      </c>
      <c r="AB526" s="203">
        <v>44981</v>
      </c>
      <c r="AC526" s="190">
        <v>44984</v>
      </c>
      <c r="AD526" s="187">
        <v>45107</v>
      </c>
      <c r="AE526" s="187">
        <v>45077</v>
      </c>
      <c r="AF526" s="114" t="str">
        <f t="shared" ca="1" si="151"/>
        <v>YES</v>
      </c>
      <c r="AG526" s="194">
        <v>784</v>
      </c>
      <c r="AH526" s="194">
        <v>0</v>
      </c>
      <c r="AI526" s="196">
        <f t="shared" si="149"/>
        <v>784</v>
      </c>
      <c r="AJ526" s="148"/>
      <c r="AK526" s="243" t="s">
        <v>2045</v>
      </c>
      <c r="AL526" s="70"/>
      <c r="AM526" s="165" t="str">
        <f t="shared" si="152"/>
        <v>23007 DSM</v>
      </c>
      <c r="AN526" s="165" t="str">
        <f t="shared" si="150"/>
        <v>23007 DSM : Early tearing of filter bags</v>
      </c>
    </row>
    <row r="527" spans="1:40" ht="14.5" hidden="1" x14ac:dyDescent="0.35">
      <c r="A527" s="78" t="s">
        <v>1996</v>
      </c>
      <c r="B527" s="154">
        <v>23008</v>
      </c>
      <c r="C527" s="113" t="s">
        <v>4</v>
      </c>
      <c r="D527" s="117">
        <v>44986</v>
      </c>
      <c r="E527" s="118" t="s">
        <v>1476</v>
      </c>
      <c r="F527" s="118" t="s">
        <v>658</v>
      </c>
      <c r="G527" s="111" t="s">
        <v>1997</v>
      </c>
      <c r="H527" s="111" t="s">
        <v>1394</v>
      </c>
      <c r="I527" s="119" t="s">
        <v>5</v>
      </c>
      <c r="J527" s="70"/>
      <c r="K527" s="118"/>
      <c r="L527" s="118" t="s">
        <v>1998</v>
      </c>
      <c r="M527" s="147" t="s">
        <v>13</v>
      </c>
      <c r="N527" s="111" t="s">
        <v>1999</v>
      </c>
      <c r="O527" s="111" t="s">
        <v>28</v>
      </c>
      <c r="P527" s="111" t="s">
        <v>103</v>
      </c>
      <c r="Q527" s="70" t="s">
        <v>510</v>
      </c>
      <c r="R527" s="111" t="s">
        <v>145</v>
      </c>
      <c r="S527" s="111"/>
      <c r="T527" s="70" t="s">
        <v>1394</v>
      </c>
      <c r="U527" s="74"/>
      <c r="V527" s="158" t="s">
        <v>10</v>
      </c>
      <c r="W527" s="118"/>
      <c r="X527" s="113"/>
      <c r="Y527" s="117">
        <f t="shared" ref="Y527:Y532" si="153">EDATE(D527,3)</f>
        <v>45078</v>
      </c>
      <c r="Z527" s="187">
        <v>45105</v>
      </c>
      <c r="AA527" s="161" t="str">
        <f t="shared" ref="AA527:AA532" ca="1" si="154">IF(Z527="",IF(TODAY()&gt;Y527,"NO","YES"),IF(Z527&gt;Y527,"NO",IF(Z527&lt;Y527,"YES",IF(Y527=Z527,"YES","N/A"))))</f>
        <v>NO</v>
      </c>
      <c r="AB527" s="113">
        <v>44969</v>
      </c>
      <c r="AC527" s="70"/>
      <c r="AD527" s="187">
        <v>45107</v>
      </c>
      <c r="AE527" s="187">
        <v>45105</v>
      </c>
      <c r="AF527" s="114" t="str">
        <f t="shared" ca="1" si="151"/>
        <v>YES</v>
      </c>
      <c r="AG527" s="194">
        <v>784</v>
      </c>
      <c r="AH527" s="194">
        <v>0</v>
      </c>
      <c r="AI527" s="196">
        <f t="shared" ref="AI527:AI532" si="155">AH527+AG527</f>
        <v>784</v>
      </c>
      <c r="AJ527" s="148"/>
      <c r="AK527" s="243" t="s">
        <v>2045</v>
      </c>
      <c r="AL527" s="70"/>
      <c r="AM527" s="165" t="str">
        <f t="shared" si="152"/>
        <v>23008 VRS</v>
      </c>
      <c r="AN527" s="165" t="str">
        <f t="shared" ref="AN527:AN532" si="156">CONCATENATE(B527," ",G527," : ",N527)</f>
        <v>23008 VRS : Wrong resin delivered</v>
      </c>
    </row>
    <row r="528" spans="1:40" ht="14.5" hidden="1" x14ac:dyDescent="0.35">
      <c r="A528" s="78" t="s">
        <v>2000</v>
      </c>
      <c r="B528" s="154">
        <v>23009</v>
      </c>
      <c r="C528" s="113" t="s">
        <v>4</v>
      </c>
      <c r="D528" s="117">
        <v>44986</v>
      </c>
      <c r="E528" s="118" t="s">
        <v>1476</v>
      </c>
      <c r="F528" s="118" t="s">
        <v>658</v>
      </c>
      <c r="G528" s="111" t="s">
        <v>602</v>
      </c>
      <c r="H528" s="111" t="s">
        <v>1394</v>
      </c>
      <c r="I528" s="119" t="s">
        <v>5</v>
      </c>
      <c r="J528" s="70"/>
      <c r="K528" s="118"/>
      <c r="L528" s="118" t="s">
        <v>2001</v>
      </c>
      <c r="M528" s="147" t="s">
        <v>672</v>
      </c>
      <c r="N528" s="111" t="s">
        <v>2002</v>
      </c>
      <c r="O528" s="111" t="s">
        <v>28</v>
      </c>
      <c r="P528" s="111" t="s">
        <v>103</v>
      </c>
      <c r="Q528" s="70" t="s">
        <v>510</v>
      </c>
      <c r="R528" s="111" t="s">
        <v>145</v>
      </c>
      <c r="S528" s="111"/>
      <c r="T528" s="70" t="s">
        <v>1394</v>
      </c>
      <c r="U528" s="74"/>
      <c r="V528" s="158" t="s">
        <v>10</v>
      </c>
      <c r="W528" s="118"/>
      <c r="X528" s="113"/>
      <c r="Y528" s="117">
        <f t="shared" si="153"/>
        <v>45078</v>
      </c>
      <c r="Z528" s="187">
        <v>45105</v>
      </c>
      <c r="AA528" s="161" t="str">
        <f t="shared" ca="1" si="154"/>
        <v>NO</v>
      </c>
      <c r="AB528" s="113">
        <v>44966</v>
      </c>
      <c r="AC528" s="190">
        <v>44979</v>
      </c>
      <c r="AD528" s="187">
        <v>45107</v>
      </c>
      <c r="AE528" s="187">
        <v>45105</v>
      </c>
      <c r="AF528" s="114" t="str">
        <f t="shared" ca="1" si="151"/>
        <v>YES</v>
      </c>
      <c r="AG528" s="194">
        <v>588</v>
      </c>
      <c r="AH528" s="194">
        <v>0</v>
      </c>
      <c r="AI528" s="196">
        <f t="shared" si="155"/>
        <v>588</v>
      </c>
      <c r="AJ528" s="148"/>
      <c r="AK528" s="70" t="s">
        <v>2100</v>
      </c>
      <c r="AL528" s="70"/>
      <c r="AM528" s="165" t="str">
        <f t="shared" si="152"/>
        <v>23009 Cevital</v>
      </c>
      <c r="AN528" s="165" t="str">
        <f t="shared" si="156"/>
        <v>23009 Cevital : Forgotten supplier label on BB of resins</v>
      </c>
    </row>
    <row r="529" spans="1:40" ht="14.5" hidden="1" x14ac:dyDescent="0.35">
      <c r="A529" s="82"/>
      <c r="B529" s="154">
        <v>23010</v>
      </c>
      <c r="C529" s="113" t="s">
        <v>8</v>
      </c>
      <c r="D529" s="117">
        <v>44988</v>
      </c>
      <c r="E529" s="118" t="s">
        <v>1965</v>
      </c>
      <c r="F529" s="118" t="s">
        <v>164</v>
      </c>
      <c r="G529" s="111" t="s">
        <v>1904</v>
      </c>
      <c r="H529" s="111" t="s">
        <v>1920</v>
      </c>
      <c r="I529" s="119" t="s">
        <v>2056</v>
      </c>
      <c r="J529" s="70"/>
      <c r="K529" s="118">
        <v>2137</v>
      </c>
      <c r="L529" s="118">
        <v>18080</v>
      </c>
      <c r="M529" s="147" t="s">
        <v>11</v>
      </c>
      <c r="N529" s="111" t="s">
        <v>2003</v>
      </c>
      <c r="O529" s="111" t="s">
        <v>29</v>
      </c>
      <c r="P529" s="111" t="s">
        <v>86</v>
      </c>
      <c r="Q529" s="70" t="s">
        <v>1026</v>
      </c>
      <c r="R529" s="111" t="s">
        <v>145</v>
      </c>
      <c r="S529" s="111"/>
      <c r="T529" s="70"/>
      <c r="U529" s="74"/>
      <c r="V529" s="158" t="s">
        <v>6</v>
      </c>
      <c r="W529" s="118" t="s">
        <v>1965</v>
      </c>
      <c r="X529" s="113">
        <v>44988</v>
      </c>
      <c r="Y529" s="117">
        <f t="shared" si="153"/>
        <v>45080</v>
      </c>
      <c r="Z529" s="187">
        <v>45051</v>
      </c>
      <c r="AA529" s="161" t="str">
        <f t="shared" ca="1" si="154"/>
        <v>YES</v>
      </c>
      <c r="AB529" s="113"/>
      <c r="AC529" s="70"/>
      <c r="AD529" s="70"/>
      <c r="AE529" s="70"/>
      <c r="AF529" s="114" t="str">
        <f t="shared" ref="AF529:AF534" ca="1" si="157">IF(I529="Claim",IF(AD529="","",IF(AE529="",IF(TODAY()&gt;AD529,"NO","YES"),IF(AE529&gt;AD529,"NO",IF(AE529&lt;AD529,"YES",IF(AD529=AE529,"YES","N/A"))))),"N/A")</f>
        <v>N/A</v>
      </c>
      <c r="AG529" s="194"/>
      <c r="AH529" s="194"/>
      <c r="AI529" s="196">
        <f t="shared" si="155"/>
        <v>0</v>
      </c>
      <c r="AJ529" s="148"/>
      <c r="AK529" s="70"/>
      <c r="AL529" s="70"/>
      <c r="AM529" s="165" t="str">
        <f t="shared" si="152"/>
        <v>23010 LEKAI</v>
      </c>
      <c r="AN529" s="165" t="str">
        <f t="shared" si="156"/>
        <v>23010 LEKAI : Piping fabrication quality</v>
      </c>
    </row>
    <row r="530" spans="1:40" ht="14.5" hidden="1" x14ac:dyDescent="0.35">
      <c r="A530" s="78" t="s">
        <v>2004</v>
      </c>
      <c r="B530" s="154">
        <v>23011</v>
      </c>
      <c r="C530" s="113" t="s">
        <v>4</v>
      </c>
      <c r="D530" s="117">
        <v>44998</v>
      </c>
      <c r="E530" s="118" t="s">
        <v>273</v>
      </c>
      <c r="F530" s="118" t="s">
        <v>658</v>
      </c>
      <c r="G530" s="111" t="s">
        <v>2005</v>
      </c>
      <c r="H530" s="111" t="s">
        <v>357</v>
      </c>
      <c r="I530" s="119" t="s">
        <v>2056</v>
      </c>
      <c r="J530" s="70"/>
      <c r="K530" s="118"/>
      <c r="L530" s="118" t="s">
        <v>2006</v>
      </c>
      <c r="M530" s="147" t="s">
        <v>16</v>
      </c>
      <c r="N530" s="111" t="s">
        <v>2007</v>
      </c>
      <c r="O530" s="111" t="s">
        <v>28</v>
      </c>
      <c r="P530" s="111" t="s">
        <v>103</v>
      </c>
      <c r="Q530" s="70" t="s">
        <v>176</v>
      </c>
      <c r="R530" s="111" t="s">
        <v>145</v>
      </c>
      <c r="S530" s="111"/>
      <c r="T530" s="70" t="s">
        <v>357</v>
      </c>
      <c r="U530" s="74"/>
      <c r="V530" s="158" t="s">
        <v>6</v>
      </c>
      <c r="W530" s="118" t="s">
        <v>273</v>
      </c>
      <c r="X530" s="113">
        <v>44994</v>
      </c>
      <c r="Y530" s="117">
        <f t="shared" si="153"/>
        <v>45090</v>
      </c>
      <c r="Z530" s="187">
        <v>45083</v>
      </c>
      <c r="AA530" s="161" t="str">
        <f t="shared" ca="1" si="154"/>
        <v>YES</v>
      </c>
      <c r="AB530" s="113"/>
      <c r="AC530" s="70"/>
      <c r="AD530" s="70"/>
      <c r="AE530" s="70"/>
      <c r="AF530" s="114" t="str">
        <f t="shared" ca="1" si="157"/>
        <v>N/A</v>
      </c>
      <c r="AG530" s="194">
        <v>882</v>
      </c>
      <c r="AH530" s="194">
        <v>0</v>
      </c>
      <c r="AI530" s="196">
        <f t="shared" si="155"/>
        <v>882</v>
      </c>
      <c r="AJ530" s="148"/>
      <c r="AK530" s="70" t="s">
        <v>2100</v>
      </c>
      <c r="AL530" s="70"/>
      <c r="AM530" s="165" t="str">
        <f t="shared" ref="AM530:AM534" si="158">CONCATENATE(B530," ",G530)</f>
        <v>23011 LIER</v>
      </c>
      <c r="AN530" s="165" t="str">
        <f t="shared" si="156"/>
        <v>23011 LIER : 15 KD Kerasep membrane layer detachment</v>
      </c>
    </row>
    <row r="531" spans="1:40" ht="14.5" hidden="1" x14ac:dyDescent="0.35">
      <c r="A531" s="78" t="s">
        <v>2008</v>
      </c>
      <c r="B531" s="154">
        <v>23012</v>
      </c>
      <c r="C531" s="113" t="s">
        <v>4</v>
      </c>
      <c r="D531" s="117">
        <v>45005</v>
      </c>
      <c r="E531" s="118" t="s">
        <v>273</v>
      </c>
      <c r="F531" s="118" t="s">
        <v>658</v>
      </c>
      <c r="G531" s="111" t="s">
        <v>797</v>
      </c>
      <c r="H531" s="111"/>
      <c r="I531" s="119" t="s">
        <v>2057</v>
      </c>
      <c r="J531" s="70"/>
      <c r="K531" s="118"/>
      <c r="L531" s="118" t="s">
        <v>2009</v>
      </c>
      <c r="M531" s="147" t="s">
        <v>16</v>
      </c>
      <c r="N531" s="111" t="s">
        <v>2010</v>
      </c>
      <c r="O531" s="111" t="s">
        <v>28</v>
      </c>
      <c r="P531" s="111" t="s">
        <v>103</v>
      </c>
      <c r="Q531" s="70" t="s">
        <v>2011</v>
      </c>
      <c r="R531" s="111" t="s">
        <v>15</v>
      </c>
      <c r="S531" s="111"/>
      <c r="T531" s="70"/>
      <c r="U531" s="74"/>
      <c r="V531" s="158" t="s">
        <v>10</v>
      </c>
      <c r="W531" s="118"/>
      <c r="X531" s="113"/>
      <c r="Y531" s="117">
        <f t="shared" si="153"/>
        <v>45097</v>
      </c>
      <c r="Z531" s="187">
        <v>45072</v>
      </c>
      <c r="AA531" s="161" t="str">
        <f t="shared" ca="1" si="154"/>
        <v>YES</v>
      </c>
      <c r="AB531" s="113"/>
      <c r="AC531" s="70"/>
      <c r="AD531" s="70"/>
      <c r="AE531" s="70"/>
      <c r="AF531" s="114" t="str">
        <f t="shared" ca="1" si="157"/>
        <v>N/A</v>
      </c>
      <c r="AG531" s="194">
        <v>196</v>
      </c>
      <c r="AH531" s="194">
        <v>0</v>
      </c>
      <c r="AI531" s="196">
        <f t="shared" si="155"/>
        <v>196</v>
      </c>
      <c r="AJ531" s="148"/>
      <c r="AK531" s="70" t="s">
        <v>2100</v>
      </c>
      <c r="AL531" s="70"/>
      <c r="AM531" s="165" t="str">
        <f t="shared" si="158"/>
        <v>23012 CAPUA</v>
      </c>
      <c r="AN531" s="165" t="str">
        <f t="shared" si="156"/>
        <v>23012 CAPUA : Membrane cut off error in client installation</v>
      </c>
    </row>
    <row r="532" spans="1:40" ht="14.5" hidden="1" x14ac:dyDescent="0.35">
      <c r="A532" s="82"/>
      <c r="B532" s="154">
        <v>23013</v>
      </c>
      <c r="C532" s="113" t="s">
        <v>8</v>
      </c>
      <c r="D532" s="117">
        <v>45027</v>
      </c>
      <c r="E532" s="118" t="s">
        <v>1965</v>
      </c>
      <c r="F532" s="118" t="s">
        <v>164</v>
      </c>
      <c r="G532" s="111" t="s">
        <v>2012</v>
      </c>
      <c r="H532" s="111"/>
      <c r="I532" s="119" t="s">
        <v>2057</v>
      </c>
      <c r="J532" s="70"/>
      <c r="K532" s="118"/>
      <c r="L532" s="118" t="s">
        <v>2013</v>
      </c>
      <c r="M532" s="147"/>
      <c r="N532" s="111" t="s">
        <v>2014</v>
      </c>
      <c r="O532" s="111" t="s">
        <v>29</v>
      </c>
      <c r="P532" s="111" t="s">
        <v>86</v>
      </c>
      <c r="Q532" s="70" t="s">
        <v>522</v>
      </c>
      <c r="R532" s="111" t="s">
        <v>9</v>
      </c>
      <c r="S532" s="111"/>
      <c r="T532" s="70"/>
      <c r="U532" s="74"/>
      <c r="V532" s="158" t="s">
        <v>6</v>
      </c>
      <c r="W532" s="118" t="s">
        <v>1965</v>
      </c>
      <c r="X532" s="113">
        <v>45026</v>
      </c>
      <c r="Y532" s="117">
        <f t="shared" si="153"/>
        <v>45118</v>
      </c>
      <c r="Z532" s="187">
        <v>45050</v>
      </c>
      <c r="AA532" s="161" t="str">
        <f t="shared" ca="1" si="154"/>
        <v>YES</v>
      </c>
      <c r="AB532" s="113"/>
      <c r="AC532" s="70"/>
      <c r="AD532" s="70"/>
      <c r="AE532" s="70"/>
      <c r="AF532" s="114" t="str">
        <f t="shared" ca="1" si="157"/>
        <v>N/A</v>
      </c>
      <c r="AG532" s="194"/>
      <c r="AH532" s="194">
        <v>278</v>
      </c>
      <c r="AI532" s="196">
        <f t="shared" si="155"/>
        <v>278</v>
      </c>
      <c r="AJ532" s="148"/>
      <c r="AK532" s="70"/>
      <c r="AL532" s="70"/>
      <c r="AM532" s="165" t="str">
        <f t="shared" si="158"/>
        <v>23013 Cofco Tangshan</v>
      </c>
      <c r="AN532" s="165" t="str">
        <f t="shared" si="156"/>
        <v>23013 Cofco Tangshan : Cofco_issue control valve on drawing</v>
      </c>
    </row>
    <row r="533" spans="1:40" ht="14.5" hidden="1" x14ac:dyDescent="0.35">
      <c r="A533" s="82"/>
      <c r="B533" s="154">
        <v>23014</v>
      </c>
      <c r="C533" s="113" t="s">
        <v>8</v>
      </c>
      <c r="D533" s="117">
        <v>45027</v>
      </c>
      <c r="E533" s="118" t="s">
        <v>1965</v>
      </c>
      <c r="F533" s="118" t="s">
        <v>164</v>
      </c>
      <c r="G533" s="111" t="s">
        <v>2015</v>
      </c>
      <c r="H533" s="111" t="s">
        <v>1920</v>
      </c>
      <c r="I533" s="119" t="s">
        <v>5</v>
      </c>
      <c r="J533" s="70"/>
      <c r="K533" s="118"/>
      <c r="L533" s="118">
        <v>10.17789</v>
      </c>
      <c r="M533" s="147"/>
      <c r="N533" s="111" t="s">
        <v>2043</v>
      </c>
      <c r="O533" s="111" t="s">
        <v>29</v>
      </c>
      <c r="P533" s="111" t="s">
        <v>86</v>
      </c>
      <c r="Q533" s="70" t="s">
        <v>1629</v>
      </c>
      <c r="R533" s="111" t="s">
        <v>145</v>
      </c>
      <c r="S533" s="111"/>
      <c r="T533" s="70"/>
      <c r="U533" s="74"/>
      <c r="V533" s="158" t="s">
        <v>6</v>
      </c>
      <c r="W533" s="118" t="s">
        <v>1965</v>
      </c>
      <c r="X533" s="113">
        <v>45026</v>
      </c>
      <c r="Y533" s="117">
        <f t="shared" ref="Y533:Y538" si="159">EDATE(D533,3)</f>
        <v>45118</v>
      </c>
      <c r="Z533" s="187">
        <v>45050</v>
      </c>
      <c r="AA533" s="161" t="str">
        <f t="shared" ref="AA533:AA538" ca="1" si="160">IF(Z533="",IF(TODAY()&gt;Y533,"NO","YES"),IF(Z533&gt;Y533,"NO",IF(Z533&lt;Y533,"YES",IF(Y533=Z533,"YES","N/A"))))</f>
        <v>YES</v>
      </c>
      <c r="AB533" s="113">
        <v>45014</v>
      </c>
      <c r="AC533" s="224">
        <v>45014</v>
      </c>
      <c r="AD533" s="224">
        <v>45138</v>
      </c>
      <c r="AE533" s="187">
        <v>45050</v>
      </c>
      <c r="AF533" s="114" t="str">
        <f t="shared" ca="1" si="157"/>
        <v>YES</v>
      </c>
      <c r="AG533" s="194">
        <v>1000</v>
      </c>
      <c r="AH533" s="194"/>
      <c r="AI533" s="196">
        <f t="shared" ref="AI533:AI538" si="161">AH533+AG533</f>
        <v>1000</v>
      </c>
      <c r="AJ533" s="148"/>
      <c r="AK533" s="70"/>
      <c r="AL533" s="70"/>
      <c r="AM533" s="165" t="str">
        <f t="shared" si="158"/>
        <v>23014 Huitong SSMB</v>
      </c>
      <c r="AN533" s="165" t="str">
        <f t="shared" ref="AN533:AN538" si="162">CONCATENATE(B533," ",G533," : ",N533)</f>
        <v>23014 Huitong SSMB : SSMB internals material (SS304 instead of SS316)</v>
      </c>
    </row>
    <row r="534" spans="1:40" ht="14.5" hidden="1" x14ac:dyDescent="0.35">
      <c r="A534" s="82"/>
      <c r="B534" s="207">
        <v>23015</v>
      </c>
      <c r="C534" s="208" t="s">
        <v>8</v>
      </c>
      <c r="D534" s="209">
        <v>45027</v>
      </c>
      <c r="E534" s="210" t="s">
        <v>1965</v>
      </c>
      <c r="F534" s="118" t="s">
        <v>164</v>
      </c>
      <c r="G534" s="211" t="s">
        <v>2016</v>
      </c>
      <c r="H534" s="211" t="s">
        <v>433</v>
      </c>
      <c r="I534" s="212" t="s">
        <v>5</v>
      </c>
      <c r="J534" s="73"/>
      <c r="K534" s="210"/>
      <c r="L534" s="244">
        <v>18251</v>
      </c>
      <c r="M534" s="213" t="s">
        <v>13</v>
      </c>
      <c r="N534" s="211" t="s">
        <v>2044</v>
      </c>
      <c r="O534" s="211" t="s">
        <v>29</v>
      </c>
      <c r="P534" s="211" t="s">
        <v>86</v>
      </c>
      <c r="Q534" s="73" t="s">
        <v>1026</v>
      </c>
      <c r="R534" s="211" t="s">
        <v>145</v>
      </c>
      <c r="S534" s="211"/>
      <c r="T534" s="73"/>
      <c r="U534" s="74"/>
      <c r="V534" s="215" t="s">
        <v>6</v>
      </c>
      <c r="W534" s="210" t="s">
        <v>1965</v>
      </c>
      <c r="X534" s="208">
        <v>45026</v>
      </c>
      <c r="Y534" s="209">
        <f t="shared" si="159"/>
        <v>45118</v>
      </c>
      <c r="Z534" s="187">
        <v>45089</v>
      </c>
      <c r="AA534" s="216" t="str">
        <f t="shared" ca="1" si="160"/>
        <v>YES</v>
      </c>
      <c r="AB534" s="208">
        <v>44993</v>
      </c>
      <c r="AC534" s="245">
        <v>44993</v>
      </c>
      <c r="AD534" s="245">
        <v>45138</v>
      </c>
      <c r="AE534" s="187">
        <v>45089</v>
      </c>
      <c r="AF534" s="217" t="str">
        <f t="shared" ca="1" si="157"/>
        <v>YES</v>
      </c>
      <c r="AG534" s="218">
        <v>2500</v>
      </c>
      <c r="AH534" s="218">
        <v>2583</v>
      </c>
      <c r="AI534" s="222">
        <f t="shared" si="161"/>
        <v>5083</v>
      </c>
      <c r="AJ534" s="219"/>
      <c r="AK534" s="73"/>
      <c r="AL534" s="73"/>
      <c r="AM534" s="220" t="str">
        <f t="shared" si="158"/>
        <v>23015 Ensign 2</v>
      </c>
      <c r="AN534" s="220" t="str">
        <f t="shared" si="162"/>
        <v>23015 Ensign 2 : Ensign site issues rubber lining leakage</v>
      </c>
    </row>
    <row r="535" spans="1:40" ht="14.5" hidden="1" x14ac:dyDescent="0.35">
      <c r="A535" s="78" t="s">
        <v>2017</v>
      </c>
      <c r="B535" s="154">
        <v>23016</v>
      </c>
      <c r="C535" s="113" t="s">
        <v>4</v>
      </c>
      <c r="D535" s="117">
        <v>45030</v>
      </c>
      <c r="E535" s="118" t="s">
        <v>273</v>
      </c>
      <c r="F535" s="118" t="s">
        <v>658</v>
      </c>
      <c r="G535" s="111" t="s">
        <v>1975</v>
      </c>
      <c r="H535" s="111" t="s">
        <v>357</v>
      </c>
      <c r="I535" s="119" t="s">
        <v>5</v>
      </c>
      <c r="J535" s="70" t="s">
        <v>1332</v>
      </c>
      <c r="K535" s="118"/>
      <c r="L535" s="118" t="s">
        <v>2018</v>
      </c>
      <c r="M535" s="147" t="s">
        <v>16</v>
      </c>
      <c r="N535" s="111" t="s">
        <v>2019</v>
      </c>
      <c r="O535" s="111" t="s">
        <v>28</v>
      </c>
      <c r="P535" s="111" t="s">
        <v>103</v>
      </c>
      <c r="Q535" s="70" t="s">
        <v>176</v>
      </c>
      <c r="R535" s="111" t="s">
        <v>145</v>
      </c>
      <c r="S535" s="68"/>
      <c r="T535" s="70"/>
      <c r="U535" s="74"/>
      <c r="V535" s="158" t="s">
        <v>6</v>
      </c>
      <c r="W535" s="118" t="s">
        <v>273</v>
      </c>
      <c r="X535" s="113">
        <v>45030</v>
      </c>
      <c r="Y535" s="117">
        <f t="shared" si="159"/>
        <v>45121</v>
      </c>
      <c r="Z535" s="187">
        <v>45453</v>
      </c>
      <c r="AA535" s="161" t="str">
        <f t="shared" ca="1" si="160"/>
        <v>NO</v>
      </c>
      <c r="AB535" s="113">
        <v>45020</v>
      </c>
      <c r="AC535" s="187">
        <v>45023</v>
      </c>
      <c r="AD535" s="187">
        <v>45291</v>
      </c>
      <c r="AE535" s="187">
        <v>45453</v>
      </c>
      <c r="AF535" s="114" t="str">
        <f t="shared" ref="AF535:AF539" ca="1" si="163">IF(I535="Claim",IF(AD535="","",IF(AE535="",IF(TODAY()&gt;AD535,"NO","YES"),IF(AE535&gt;AD535,"NO",IF(AE535&lt;AD535,"YES",IF(AD535=AE535,"YES","N/A"))))),"N/A")</f>
        <v>NO</v>
      </c>
      <c r="AG535" s="194">
        <v>13916</v>
      </c>
      <c r="AH535" s="194">
        <v>10550</v>
      </c>
      <c r="AI535" s="196">
        <f t="shared" si="161"/>
        <v>24466</v>
      </c>
      <c r="AJ535" s="148"/>
      <c r="AK535" s="70" t="s">
        <v>2144</v>
      </c>
      <c r="AL535" s="70"/>
      <c r="AM535" s="165" t="str">
        <f t="shared" ref="AM535:AM539" si="164">CONCATENATE(B535," ",G535)</f>
        <v>23016 Sanofi</v>
      </c>
      <c r="AN535" s="165" t="str">
        <f t="shared" si="162"/>
        <v>23016 Sanofi : Abnormal water flow Kerasep membranes 50 kD</v>
      </c>
    </row>
    <row r="536" spans="1:40" ht="14.5" hidden="1" x14ac:dyDescent="0.35">
      <c r="A536" s="78" t="s">
        <v>2038</v>
      </c>
      <c r="B536" s="154">
        <v>23017</v>
      </c>
      <c r="C536" s="113" t="s">
        <v>4</v>
      </c>
      <c r="D536" s="117">
        <v>45040</v>
      </c>
      <c r="E536" s="118" t="s">
        <v>1698</v>
      </c>
      <c r="F536" s="118" t="s">
        <v>658</v>
      </c>
      <c r="G536" s="111" t="s">
        <v>602</v>
      </c>
      <c r="H536" s="111" t="s">
        <v>1394</v>
      </c>
      <c r="I536" s="119" t="s">
        <v>2057</v>
      </c>
      <c r="J536" s="70"/>
      <c r="K536" s="118"/>
      <c r="L536" s="118" t="s">
        <v>2039</v>
      </c>
      <c r="M536" s="147" t="s">
        <v>672</v>
      </c>
      <c r="N536" s="111" t="s">
        <v>2037</v>
      </c>
      <c r="O536" s="111" t="s">
        <v>28</v>
      </c>
      <c r="P536" s="111" t="s">
        <v>103</v>
      </c>
      <c r="Q536" s="70" t="s">
        <v>510</v>
      </c>
      <c r="R536" s="111" t="s">
        <v>15</v>
      </c>
      <c r="S536" s="111"/>
      <c r="T536" s="70"/>
      <c r="U536" s="70"/>
      <c r="V536" s="158" t="s">
        <v>6</v>
      </c>
      <c r="W536" s="118" t="s">
        <v>1871</v>
      </c>
      <c r="X536" s="113">
        <v>45041</v>
      </c>
      <c r="Y536" s="117">
        <f t="shared" si="159"/>
        <v>45131</v>
      </c>
      <c r="Z536" s="187">
        <v>45128</v>
      </c>
      <c r="AA536" s="161" t="str">
        <f t="shared" ca="1" si="160"/>
        <v>YES</v>
      </c>
      <c r="AB536" s="113"/>
      <c r="AC536" s="70"/>
      <c r="AD536" s="70"/>
      <c r="AE536" s="70"/>
      <c r="AF536" s="114" t="str">
        <f t="shared" ca="1" si="163"/>
        <v>N/A</v>
      </c>
      <c r="AG536" s="194">
        <v>294</v>
      </c>
      <c r="AH536" s="194">
        <v>0</v>
      </c>
      <c r="AI536" s="196">
        <f t="shared" si="161"/>
        <v>294</v>
      </c>
      <c r="AJ536" s="148"/>
      <c r="AK536" s="70" t="s">
        <v>2101</v>
      </c>
      <c r="AL536" s="70"/>
      <c r="AM536" s="165" t="str">
        <f t="shared" si="164"/>
        <v>23017 Cevital</v>
      </c>
      <c r="AN536" s="165" t="str">
        <f t="shared" si="162"/>
        <v>23017 Cevital : Wrong shipping documents</v>
      </c>
    </row>
    <row r="537" spans="1:40" ht="14.5" hidden="1" x14ac:dyDescent="0.35">
      <c r="A537" s="82"/>
      <c r="B537" s="154">
        <v>23018</v>
      </c>
      <c r="C537" s="113" t="s">
        <v>8</v>
      </c>
      <c r="D537" s="117">
        <v>45061</v>
      </c>
      <c r="E537" s="118" t="s">
        <v>1745</v>
      </c>
      <c r="F537" s="118" t="s">
        <v>658</v>
      </c>
      <c r="G537" s="111" t="s">
        <v>2040</v>
      </c>
      <c r="H537" s="111" t="s">
        <v>2042</v>
      </c>
      <c r="I537" s="119" t="s">
        <v>5</v>
      </c>
      <c r="J537" s="70"/>
      <c r="K537" s="118"/>
      <c r="L537" s="152">
        <v>15333</v>
      </c>
      <c r="M537" s="147" t="s">
        <v>11</v>
      </c>
      <c r="N537" s="111" t="s">
        <v>2041</v>
      </c>
      <c r="O537" s="111" t="s">
        <v>28</v>
      </c>
      <c r="P537" s="111" t="s">
        <v>103</v>
      </c>
      <c r="Q537" s="70" t="s">
        <v>1522</v>
      </c>
      <c r="R537" s="111" t="s">
        <v>145</v>
      </c>
      <c r="S537" s="111"/>
      <c r="T537" s="70"/>
      <c r="U537" s="70"/>
      <c r="V537" s="158" t="s">
        <v>6</v>
      </c>
      <c r="W537" s="118" t="s">
        <v>1745</v>
      </c>
      <c r="X537" s="113">
        <v>45061</v>
      </c>
      <c r="Y537" s="117">
        <f t="shared" si="159"/>
        <v>45153</v>
      </c>
      <c r="Z537" s="187">
        <v>45126</v>
      </c>
      <c r="AA537" s="161" t="str">
        <f t="shared" ca="1" si="160"/>
        <v>YES</v>
      </c>
      <c r="AB537" s="113">
        <v>45030</v>
      </c>
      <c r="AC537" s="224">
        <v>45033</v>
      </c>
      <c r="AD537" s="224">
        <v>45169</v>
      </c>
      <c r="AE537" s="187">
        <v>45126</v>
      </c>
      <c r="AF537" s="114" t="str">
        <f t="shared" ca="1" si="163"/>
        <v>YES</v>
      </c>
      <c r="AG537" s="194">
        <v>0</v>
      </c>
      <c r="AH537" s="194">
        <v>3000</v>
      </c>
      <c r="AI537" s="196">
        <f t="shared" si="161"/>
        <v>3000</v>
      </c>
      <c r="AJ537" s="148"/>
      <c r="AK537" s="70"/>
      <c r="AL537" s="70"/>
      <c r="AM537" s="165" t="str">
        <f t="shared" si="164"/>
        <v>23018 HUAKANG</v>
      </c>
      <c r="AN537" s="165" t="str">
        <f t="shared" si="162"/>
        <v>23018 HUAKANG : Poor performance of Xylose ML SSMB/Resin issue</v>
      </c>
    </row>
    <row r="538" spans="1:40" ht="14" hidden="1" customHeight="1" x14ac:dyDescent="0.35">
      <c r="A538" s="82"/>
      <c r="B538" s="154">
        <v>23019</v>
      </c>
      <c r="C538" s="113" t="s">
        <v>8</v>
      </c>
      <c r="D538" s="117">
        <v>45079</v>
      </c>
      <c r="E538" s="118" t="s">
        <v>1745</v>
      </c>
      <c r="F538" s="118" t="s">
        <v>658</v>
      </c>
      <c r="G538" s="111" t="s">
        <v>1836</v>
      </c>
      <c r="H538" s="111" t="s">
        <v>1771</v>
      </c>
      <c r="I538" s="119" t="s">
        <v>5</v>
      </c>
      <c r="J538" s="70" t="s">
        <v>1332</v>
      </c>
      <c r="K538" s="118"/>
      <c r="L538" s="152">
        <v>75.226900000000001</v>
      </c>
      <c r="M538" s="147" t="s">
        <v>338</v>
      </c>
      <c r="N538" s="111" t="s">
        <v>2046</v>
      </c>
      <c r="O538" s="111" t="s">
        <v>28</v>
      </c>
      <c r="P538" s="111" t="s">
        <v>103</v>
      </c>
      <c r="Q538" s="70" t="s">
        <v>1522</v>
      </c>
      <c r="R538" s="111" t="s">
        <v>145</v>
      </c>
      <c r="S538" s="111"/>
      <c r="T538" s="70" t="s">
        <v>1771</v>
      </c>
      <c r="U538" s="70"/>
      <c r="V538" s="158" t="s">
        <v>6</v>
      </c>
      <c r="W538" s="118" t="s">
        <v>1745</v>
      </c>
      <c r="X538" s="113">
        <v>45079</v>
      </c>
      <c r="Y538" s="117">
        <f t="shared" si="159"/>
        <v>45171</v>
      </c>
      <c r="Z538" s="187">
        <v>45126</v>
      </c>
      <c r="AA538" s="161" t="str">
        <f t="shared" ca="1" si="160"/>
        <v>YES</v>
      </c>
      <c r="AB538" s="113">
        <v>44962</v>
      </c>
      <c r="AC538" s="224">
        <v>44962</v>
      </c>
      <c r="AD538" s="224">
        <v>45230</v>
      </c>
      <c r="AE538" s="187">
        <v>45126</v>
      </c>
      <c r="AF538" s="114" t="str">
        <f t="shared" ca="1" si="163"/>
        <v>YES</v>
      </c>
      <c r="AG538" s="194">
        <v>0</v>
      </c>
      <c r="AH538" s="194">
        <v>130000</v>
      </c>
      <c r="AI538" s="196">
        <f t="shared" si="161"/>
        <v>130000</v>
      </c>
      <c r="AJ538" s="148"/>
      <c r="AK538" s="70"/>
      <c r="AL538" s="70"/>
      <c r="AM538" s="165" t="str">
        <f t="shared" si="164"/>
        <v>23019 DYG</v>
      </c>
      <c r="AN538" s="165" t="str">
        <f t="shared" si="162"/>
        <v>23019 DYG : Alpha KBW 0.1U membranes abrasion issue</v>
      </c>
    </row>
    <row r="539" spans="1:40" ht="14.75" hidden="1" customHeight="1" x14ac:dyDescent="0.35">
      <c r="A539" s="78" t="s">
        <v>2050</v>
      </c>
      <c r="B539" s="154">
        <v>23020</v>
      </c>
      <c r="C539" s="113" t="s">
        <v>4</v>
      </c>
      <c r="D539" s="117">
        <v>45100</v>
      </c>
      <c r="E539" s="118" t="s">
        <v>273</v>
      </c>
      <c r="F539" s="118" t="s">
        <v>658</v>
      </c>
      <c r="G539" s="111" t="s">
        <v>1939</v>
      </c>
      <c r="H539" s="111"/>
      <c r="I539" s="119" t="s">
        <v>2058</v>
      </c>
      <c r="J539" s="70"/>
      <c r="K539" s="118"/>
      <c r="L539" s="118"/>
      <c r="M539" s="147"/>
      <c r="N539" s="111" t="s">
        <v>2049</v>
      </c>
      <c r="O539" s="111" t="s">
        <v>28</v>
      </c>
      <c r="P539" s="111" t="s">
        <v>103</v>
      </c>
      <c r="Q539" s="70" t="s">
        <v>2048</v>
      </c>
      <c r="R539" s="111" t="s">
        <v>87</v>
      </c>
      <c r="S539" s="111"/>
      <c r="T539" s="70"/>
      <c r="U539" s="74"/>
      <c r="V539" s="158" t="s">
        <v>10</v>
      </c>
      <c r="W539" s="118"/>
      <c r="X539" s="113"/>
      <c r="Y539" s="117">
        <f t="shared" ref="Y539:Y546" si="165">EDATE(D539,3)</f>
        <v>45192</v>
      </c>
      <c r="Z539" s="187">
        <v>45166</v>
      </c>
      <c r="AA539" s="161" t="str">
        <f t="shared" ref="AA539:AA546" ca="1" si="166">IF(Z539="",IF(TODAY()&gt;Y539,"NO","YES"),IF(Z539&gt;Y539,"NO",IF(Z539&lt;Y539,"YES",IF(Y539=Z539,"YES","N/A"))))</f>
        <v>YES</v>
      </c>
      <c r="AB539" s="113"/>
      <c r="AC539" s="70"/>
      <c r="AD539" s="70"/>
      <c r="AE539" s="70"/>
      <c r="AF539" s="114" t="str">
        <f t="shared" ca="1" si="163"/>
        <v>N/A</v>
      </c>
      <c r="AG539" s="194">
        <v>490</v>
      </c>
      <c r="AH539" s="194">
        <v>450</v>
      </c>
      <c r="AI539" s="196">
        <f t="shared" ref="AI539:AI546" si="167">AH539+AG539</f>
        <v>940</v>
      </c>
      <c r="AJ539" s="148"/>
      <c r="AK539" s="70" t="s">
        <v>2100</v>
      </c>
      <c r="AL539" s="70"/>
      <c r="AM539" s="165" t="str">
        <f t="shared" si="164"/>
        <v>23020 Interne</v>
      </c>
      <c r="AN539" s="165" t="str">
        <f t="shared" ref="AN539:AN546" si="168">CONCATENATE(B539," ",G539," : ",N539)</f>
        <v>23020 Interne : Water leakage in the membrane office</v>
      </c>
    </row>
    <row r="540" spans="1:40" ht="14.5" hidden="1" x14ac:dyDescent="0.35">
      <c r="A540" s="78" t="s">
        <v>2052</v>
      </c>
      <c r="B540" s="154">
        <v>23021</v>
      </c>
      <c r="C540" s="113" t="s">
        <v>4</v>
      </c>
      <c r="D540" s="117">
        <v>45117</v>
      </c>
      <c r="E540" s="118" t="s">
        <v>91</v>
      </c>
      <c r="F540" s="118" t="s">
        <v>164</v>
      </c>
      <c r="G540" s="111" t="s">
        <v>1752</v>
      </c>
      <c r="H540" s="111"/>
      <c r="I540" s="119" t="s">
        <v>5</v>
      </c>
      <c r="J540" s="70"/>
      <c r="K540" s="118">
        <v>2116</v>
      </c>
      <c r="L540" s="118">
        <v>16253</v>
      </c>
      <c r="M540" s="147" t="s">
        <v>13</v>
      </c>
      <c r="N540" s="111" t="s">
        <v>2051</v>
      </c>
      <c r="O540" s="111" t="s">
        <v>29</v>
      </c>
      <c r="P540" s="111" t="s">
        <v>86</v>
      </c>
      <c r="Q540" s="70" t="s">
        <v>885</v>
      </c>
      <c r="R540" s="111" t="s">
        <v>9</v>
      </c>
      <c r="S540" s="111"/>
      <c r="T540" s="70"/>
      <c r="U540" s="74"/>
      <c r="V540" s="158" t="s">
        <v>6</v>
      </c>
      <c r="W540" s="118" t="s">
        <v>319</v>
      </c>
      <c r="X540" s="113">
        <v>45117</v>
      </c>
      <c r="Y540" s="117">
        <f t="shared" si="165"/>
        <v>45209</v>
      </c>
      <c r="Z540" s="187">
        <v>45168</v>
      </c>
      <c r="AA540" s="161" t="str">
        <f t="shared" ca="1" si="166"/>
        <v>YES</v>
      </c>
      <c r="AB540" s="113">
        <v>44971</v>
      </c>
      <c r="AC540" s="70"/>
      <c r="AD540" s="187">
        <v>45230</v>
      </c>
      <c r="AE540" s="187">
        <v>45168</v>
      </c>
      <c r="AF540" s="114" t="str">
        <f t="shared" ref="AF540:AF546" ca="1" si="169">IF(I540="Claim",IF(AD540="","",IF(AE540="",IF(TODAY()&gt;AD540,"NO","YES"),IF(AE540&gt;AD540,"NO",IF(AE540&lt;AD540,"YES",IF(AD540=AE540,"YES","N/A"))))),"N/A")</f>
        <v>YES</v>
      </c>
      <c r="AG540" s="194">
        <v>1473</v>
      </c>
      <c r="AH540" s="194">
        <v>5431</v>
      </c>
      <c r="AI540" s="196">
        <f t="shared" si="167"/>
        <v>6904</v>
      </c>
      <c r="AJ540" s="148"/>
      <c r="AK540" s="70" t="s">
        <v>2100</v>
      </c>
      <c r="AL540" s="70"/>
      <c r="AM540" s="165" t="str">
        <f t="shared" ref="AM540:AM546" si="170">CONCATENATE(B540," ",G540)</f>
        <v>23021 Bonumose</v>
      </c>
      <c r="AN540" s="165" t="str">
        <f t="shared" si="168"/>
        <v>23021 Bonumose : Acid corrosion on piping and tank</v>
      </c>
    </row>
    <row r="541" spans="1:40" ht="14.5" hidden="1" x14ac:dyDescent="0.35">
      <c r="A541" s="78" t="s">
        <v>2055</v>
      </c>
      <c r="B541" s="154">
        <v>23022</v>
      </c>
      <c r="C541" s="113" t="s">
        <v>4</v>
      </c>
      <c r="D541" s="117">
        <v>45119</v>
      </c>
      <c r="E541" s="118" t="s">
        <v>1844</v>
      </c>
      <c r="F541" s="118" t="s">
        <v>164</v>
      </c>
      <c r="G541" s="111" t="s">
        <v>2053</v>
      </c>
      <c r="H541" s="111" t="s">
        <v>2115</v>
      </c>
      <c r="I541" s="119" t="s">
        <v>2056</v>
      </c>
      <c r="J541" s="70"/>
      <c r="K541" s="118">
        <v>2144</v>
      </c>
      <c r="L541" s="118">
        <v>18147</v>
      </c>
      <c r="M541" s="147" t="s">
        <v>13</v>
      </c>
      <c r="N541" s="111" t="s">
        <v>2054</v>
      </c>
      <c r="O541" s="111" t="s">
        <v>29</v>
      </c>
      <c r="P541" s="111" t="s">
        <v>86</v>
      </c>
      <c r="Q541" s="70" t="s">
        <v>176</v>
      </c>
      <c r="R541" s="111" t="s">
        <v>145</v>
      </c>
      <c r="S541" s="111"/>
      <c r="T541" s="70"/>
      <c r="U541" s="74"/>
      <c r="V541" s="158" t="s">
        <v>6</v>
      </c>
      <c r="W541" s="118" t="s">
        <v>319</v>
      </c>
      <c r="X541" s="113">
        <v>45127</v>
      </c>
      <c r="Y541" s="117">
        <f t="shared" si="165"/>
        <v>45211</v>
      </c>
      <c r="Z541" s="187">
        <v>45306</v>
      </c>
      <c r="AA541" s="161" t="str">
        <f t="shared" ca="1" si="166"/>
        <v>NO</v>
      </c>
      <c r="AB541" s="113"/>
      <c r="AC541" s="70"/>
      <c r="AD541" s="70"/>
      <c r="AE541" s="70"/>
      <c r="AF541" s="114" t="str">
        <f t="shared" ca="1" si="169"/>
        <v>N/A</v>
      </c>
      <c r="AG541" s="194">
        <v>980</v>
      </c>
      <c r="AH541" s="194">
        <v>0</v>
      </c>
      <c r="AI541" s="196">
        <f t="shared" si="167"/>
        <v>980</v>
      </c>
      <c r="AJ541" s="148"/>
      <c r="AK541" s="70" t="s">
        <v>2106</v>
      </c>
      <c r="AL541" s="70"/>
      <c r="AM541" s="165" t="str">
        <f t="shared" si="170"/>
        <v>23022 Inovyn</v>
      </c>
      <c r="AN541" s="165" t="str">
        <f t="shared" si="168"/>
        <v>23022 Inovyn : Default of IEX columns rubber lining</v>
      </c>
    </row>
    <row r="542" spans="1:40" ht="14.5" hidden="1" x14ac:dyDescent="0.35">
      <c r="A542" s="153" t="s">
        <v>2064</v>
      </c>
      <c r="B542" s="154">
        <v>23023</v>
      </c>
      <c r="C542" s="113" t="s">
        <v>4</v>
      </c>
      <c r="D542" s="117">
        <v>45195</v>
      </c>
      <c r="E542" s="118" t="s">
        <v>2062</v>
      </c>
      <c r="F542" s="118" t="s">
        <v>420</v>
      </c>
      <c r="G542" s="111" t="s">
        <v>1939</v>
      </c>
      <c r="H542" s="111"/>
      <c r="I542" s="119" t="s">
        <v>2058</v>
      </c>
      <c r="J542" s="70"/>
      <c r="K542" s="118"/>
      <c r="L542" s="118"/>
      <c r="M542" s="147"/>
      <c r="N542" s="111" t="s">
        <v>2063</v>
      </c>
      <c r="O542" s="111" t="s">
        <v>420</v>
      </c>
      <c r="P542" s="111" t="s">
        <v>80</v>
      </c>
      <c r="Q542" s="70" t="s">
        <v>1543</v>
      </c>
      <c r="R542" s="111" t="s">
        <v>87</v>
      </c>
      <c r="S542" s="111"/>
      <c r="T542" s="70"/>
      <c r="U542" s="74"/>
      <c r="V542" s="158" t="s">
        <v>6</v>
      </c>
      <c r="W542" s="118" t="s">
        <v>1647</v>
      </c>
      <c r="X542" s="113">
        <v>45226</v>
      </c>
      <c r="Y542" s="117">
        <f t="shared" si="165"/>
        <v>45286</v>
      </c>
      <c r="Z542" s="187">
        <v>45233</v>
      </c>
      <c r="AA542" s="161" t="str">
        <f t="shared" ca="1" si="166"/>
        <v>YES</v>
      </c>
      <c r="AB542" s="113"/>
      <c r="AC542" s="70"/>
      <c r="AD542" s="70"/>
      <c r="AE542" s="70"/>
      <c r="AF542" s="114" t="str">
        <f t="shared" ca="1" si="169"/>
        <v>N/A</v>
      </c>
      <c r="AG542" s="194">
        <v>784</v>
      </c>
      <c r="AH542" s="194">
        <v>0</v>
      </c>
      <c r="AI542" s="196">
        <f t="shared" si="167"/>
        <v>784</v>
      </c>
      <c r="AJ542" s="148"/>
      <c r="AK542" s="70" t="s">
        <v>2100</v>
      </c>
      <c r="AL542" s="70"/>
      <c r="AM542" s="165" t="str">
        <f t="shared" si="170"/>
        <v>23023 Interne</v>
      </c>
      <c r="AN542" s="165" t="str">
        <f t="shared" si="168"/>
        <v>23023 Interne : R&amp;D hall N°2 roof leak</v>
      </c>
    </row>
    <row r="543" spans="1:40" ht="14.5" hidden="1" x14ac:dyDescent="0.35">
      <c r="A543" s="78" t="s">
        <v>2070</v>
      </c>
      <c r="B543" s="154">
        <v>23024</v>
      </c>
      <c r="C543" s="113" t="s">
        <v>4</v>
      </c>
      <c r="D543" s="117">
        <v>45202</v>
      </c>
      <c r="E543" s="118" t="s">
        <v>864</v>
      </c>
      <c r="F543" s="118" t="s">
        <v>164</v>
      </c>
      <c r="G543" s="111" t="s">
        <v>2065</v>
      </c>
      <c r="H543" s="111"/>
      <c r="I543" s="119" t="s">
        <v>5</v>
      </c>
      <c r="J543" s="70"/>
      <c r="K543" s="118">
        <v>2066</v>
      </c>
      <c r="L543" s="118">
        <v>13829</v>
      </c>
      <c r="M543" s="147" t="s">
        <v>2067</v>
      </c>
      <c r="N543" s="111" t="s">
        <v>2066</v>
      </c>
      <c r="O543" s="111" t="s">
        <v>29</v>
      </c>
      <c r="P543" s="111" t="s">
        <v>86</v>
      </c>
      <c r="Q543" s="70" t="s">
        <v>885</v>
      </c>
      <c r="R543" s="111" t="s">
        <v>9</v>
      </c>
      <c r="S543" s="111"/>
      <c r="T543" s="70"/>
      <c r="U543" s="74"/>
      <c r="V543" s="158" t="s">
        <v>6</v>
      </c>
      <c r="W543" s="118" t="s">
        <v>864</v>
      </c>
      <c r="X543" s="113">
        <v>45202</v>
      </c>
      <c r="Y543" s="117">
        <f t="shared" si="165"/>
        <v>45294</v>
      </c>
      <c r="Z543" s="187">
        <v>45301</v>
      </c>
      <c r="AA543" s="161" t="str">
        <f t="shared" ca="1" si="166"/>
        <v>NO</v>
      </c>
      <c r="AB543" s="113">
        <v>45058</v>
      </c>
      <c r="AC543" s="187">
        <v>45061</v>
      </c>
      <c r="AD543" s="187">
        <v>45412</v>
      </c>
      <c r="AE543" s="187">
        <v>45301</v>
      </c>
      <c r="AF543" s="114" t="str">
        <f t="shared" ca="1" si="169"/>
        <v>YES</v>
      </c>
      <c r="AG543" s="194">
        <v>18830</v>
      </c>
      <c r="AH543" s="194">
        <v>107477</v>
      </c>
      <c r="AI543" s="196">
        <f t="shared" si="167"/>
        <v>126307</v>
      </c>
      <c r="AJ543" s="148"/>
      <c r="AK543" s="70" t="s">
        <v>2106</v>
      </c>
      <c r="AL543" s="70"/>
      <c r="AM543" s="165" t="str">
        <f t="shared" si="170"/>
        <v>23024 Bénéo Chili</v>
      </c>
      <c r="AN543" s="165" t="str">
        <f t="shared" si="168"/>
        <v>23024 Bénéo Chili : 304L piping corrosion</v>
      </c>
    </row>
    <row r="544" spans="1:40" ht="14.5" hidden="1" x14ac:dyDescent="0.35">
      <c r="A544" s="78" t="s">
        <v>2071</v>
      </c>
      <c r="B544" s="96">
        <v>23025</v>
      </c>
      <c r="C544" s="81" t="s">
        <v>4</v>
      </c>
      <c r="D544" s="97">
        <v>45215</v>
      </c>
      <c r="E544" s="67" t="s">
        <v>864</v>
      </c>
      <c r="F544" s="67" t="s">
        <v>164</v>
      </c>
      <c r="G544" s="68" t="s">
        <v>2068</v>
      </c>
      <c r="H544" s="68" t="s">
        <v>433</v>
      </c>
      <c r="I544" s="99" t="s">
        <v>5</v>
      </c>
      <c r="J544" s="74"/>
      <c r="K544" s="67">
        <v>2087</v>
      </c>
      <c r="L544" s="67">
        <v>13086</v>
      </c>
      <c r="M544" s="80" t="s">
        <v>13</v>
      </c>
      <c r="N544" s="68" t="s">
        <v>2069</v>
      </c>
      <c r="O544" s="68" t="s">
        <v>29</v>
      </c>
      <c r="P544" s="68" t="s">
        <v>86</v>
      </c>
      <c r="Q544" s="74" t="s">
        <v>1036</v>
      </c>
      <c r="R544" s="68" t="s">
        <v>145</v>
      </c>
      <c r="S544" s="68"/>
      <c r="T544" s="74"/>
      <c r="U544" s="74"/>
      <c r="V544" s="79" t="s">
        <v>6</v>
      </c>
      <c r="W544" s="67" t="s">
        <v>864</v>
      </c>
      <c r="X544" s="81">
        <v>45216</v>
      </c>
      <c r="Y544" s="110">
        <f t="shared" si="165"/>
        <v>45307</v>
      </c>
      <c r="Z544" s="74"/>
      <c r="AA544" s="106" t="str">
        <f t="shared" ca="1" si="166"/>
        <v>NO</v>
      </c>
      <c r="AB544" s="81">
        <v>44931</v>
      </c>
      <c r="AC544" s="109">
        <v>44932</v>
      </c>
      <c r="AD544" s="109">
        <v>45596</v>
      </c>
      <c r="AE544" s="74"/>
      <c r="AF544" s="62" t="str">
        <f ca="1">IF(I544="Claim",IF(AD544="","",IF(AE544="",IF(TODAY()&gt;AD544,"NO","YES"),IF(AE544&gt;AD544,"NO",IF(AE544&lt;AD544,"YES",IF(AD544=AE544,"YES","N/A"))))),"N/A")</f>
        <v>NO</v>
      </c>
      <c r="AG544" s="104"/>
      <c r="AH544" s="104"/>
      <c r="AI544" s="107">
        <f t="shared" si="167"/>
        <v>0</v>
      </c>
      <c r="AJ544" s="105"/>
      <c r="AK544" s="74"/>
      <c r="AL544" s="74"/>
      <c r="AM544" s="108" t="str">
        <f t="shared" si="170"/>
        <v>23025 Cargill Zest</v>
      </c>
      <c r="AN544" s="108" t="str">
        <f t="shared" si="168"/>
        <v xml:space="preserve">23025 Cargill Zest : Degradation of Lining inside IEX Column </v>
      </c>
    </row>
    <row r="545" spans="1:40" ht="14.5" hidden="1" x14ac:dyDescent="0.35">
      <c r="A545" s="78" t="s">
        <v>2074</v>
      </c>
      <c r="B545" s="154">
        <v>23026</v>
      </c>
      <c r="C545" s="113" t="s">
        <v>4</v>
      </c>
      <c r="D545" s="117">
        <v>45215</v>
      </c>
      <c r="E545" s="118" t="s">
        <v>1907</v>
      </c>
      <c r="F545" s="118" t="s">
        <v>164</v>
      </c>
      <c r="G545" s="111" t="s">
        <v>2072</v>
      </c>
      <c r="H545" s="111" t="s">
        <v>570</v>
      </c>
      <c r="I545" s="119" t="s">
        <v>2056</v>
      </c>
      <c r="J545" s="70"/>
      <c r="K545" s="118">
        <v>2148</v>
      </c>
      <c r="L545" s="118">
        <v>18201</v>
      </c>
      <c r="M545" s="147" t="s">
        <v>13</v>
      </c>
      <c r="N545" s="111" t="s">
        <v>2073</v>
      </c>
      <c r="O545" s="111" t="s">
        <v>29</v>
      </c>
      <c r="P545" s="111" t="s">
        <v>86</v>
      </c>
      <c r="Q545" s="70" t="s">
        <v>1026</v>
      </c>
      <c r="R545" s="111" t="s">
        <v>145</v>
      </c>
      <c r="S545" s="111"/>
      <c r="T545" s="112" t="s">
        <v>570</v>
      </c>
      <c r="U545" s="74"/>
      <c r="V545" s="158" t="s">
        <v>6</v>
      </c>
      <c r="W545" s="118" t="s">
        <v>1907</v>
      </c>
      <c r="X545" s="113">
        <v>45218</v>
      </c>
      <c r="Y545" s="117">
        <f t="shared" si="165"/>
        <v>45307</v>
      </c>
      <c r="Z545" s="187">
        <v>45307</v>
      </c>
      <c r="AA545" s="161" t="str">
        <f t="shared" ca="1" si="166"/>
        <v>YES</v>
      </c>
      <c r="AB545" s="113"/>
      <c r="AC545" s="70"/>
      <c r="AD545" s="70"/>
      <c r="AE545" s="70"/>
      <c r="AF545" s="114" t="str">
        <f ca="1">IF(I545="Claim",IF(AD545="","",IF(AE545="",IF(TODAY()&gt;AD545,"NO","YES"),IF(AE545&gt;AD545,"NO",IF(AE545&lt;AD545,"YES",IF(AD545=AE545,"YES","N/A"))))),"N/A")</f>
        <v>N/A</v>
      </c>
      <c r="AG545" s="194">
        <v>2352</v>
      </c>
      <c r="AH545" s="194">
        <v>0</v>
      </c>
      <c r="AI545" s="196">
        <f t="shared" si="167"/>
        <v>2352</v>
      </c>
      <c r="AJ545" s="148"/>
      <c r="AK545" s="70" t="s">
        <v>2106</v>
      </c>
      <c r="AL545" s="70"/>
      <c r="AM545" s="165" t="str">
        <f t="shared" si="170"/>
        <v>23026 COPAM</v>
      </c>
      <c r="AN545" s="165" t="str">
        <f t="shared" si="168"/>
        <v>23026 COPAM : Black beads in resin</v>
      </c>
    </row>
    <row r="546" spans="1:40" ht="14.5" hidden="1" x14ac:dyDescent="0.35">
      <c r="A546" s="78" t="s">
        <v>2076</v>
      </c>
      <c r="B546" s="154">
        <v>23027</v>
      </c>
      <c r="C546" s="113" t="s">
        <v>4</v>
      </c>
      <c r="D546" s="117">
        <v>45215</v>
      </c>
      <c r="E546" s="118" t="s">
        <v>335</v>
      </c>
      <c r="F546" s="118" t="s">
        <v>164</v>
      </c>
      <c r="G546" s="111" t="s">
        <v>2053</v>
      </c>
      <c r="H546" s="111" t="s">
        <v>1287</v>
      </c>
      <c r="I546" s="119" t="s">
        <v>5</v>
      </c>
      <c r="J546" s="70"/>
      <c r="K546" s="118">
        <v>2144</v>
      </c>
      <c r="L546" s="118">
        <v>18147</v>
      </c>
      <c r="M546" s="147" t="s">
        <v>13</v>
      </c>
      <c r="N546" s="111" t="s">
        <v>2075</v>
      </c>
      <c r="O546" s="111" t="s">
        <v>29</v>
      </c>
      <c r="P546" s="111" t="s">
        <v>86</v>
      </c>
      <c r="Q546" s="70" t="s">
        <v>1289</v>
      </c>
      <c r="R546" s="111" t="s">
        <v>9</v>
      </c>
      <c r="S546" s="111"/>
      <c r="T546" s="70"/>
      <c r="U546" s="74"/>
      <c r="V546" s="158" t="s">
        <v>6</v>
      </c>
      <c r="W546" s="118" t="s">
        <v>1396</v>
      </c>
      <c r="X546" s="113">
        <v>45218</v>
      </c>
      <c r="Y546" s="117">
        <f t="shared" si="165"/>
        <v>45307</v>
      </c>
      <c r="Z546" s="187">
        <v>45313</v>
      </c>
      <c r="AA546" s="161" t="str">
        <f t="shared" ca="1" si="166"/>
        <v>NO</v>
      </c>
      <c r="AB546" s="113">
        <v>45196</v>
      </c>
      <c r="AC546" s="187">
        <v>45204</v>
      </c>
      <c r="AD546" s="187">
        <v>45322</v>
      </c>
      <c r="AE546" s="187">
        <v>45313</v>
      </c>
      <c r="AF546" s="114" t="str">
        <f t="shared" ca="1" si="169"/>
        <v>YES</v>
      </c>
      <c r="AG546" s="194">
        <v>1078</v>
      </c>
      <c r="AH546" s="194">
        <v>14493.69</v>
      </c>
      <c r="AI546" s="196">
        <f t="shared" si="167"/>
        <v>15571.69</v>
      </c>
      <c r="AJ546" s="148"/>
      <c r="AK546" s="70" t="s">
        <v>2106</v>
      </c>
      <c r="AL546" s="70"/>
      <c r="AM546" s="165" t="str">
        <f t="shared" si="170"/>
        <v>23027 Inovyn</v>
      </c>
      <c r="AN546" s="165" t="str">
        <f t="shared" si="168"/>
        <v>23027 Inovyn : Skid wiring default</v>
      </c>
    </row>
    <row r="547" spans="1:40" ht="14.5" hidden="1" x14ac:dyDescent="0.35">
      <c r="A547" s="78" t="s">
        <v>2082</v>
      </c>
      <c r="B547" s="154">
        <v>23028</v>
      </c>
      <c r="C547" s="113" t="s">
        <v>4</v>
      </c>
      <c r="D547" s="117">
        <v>45222</v>
      </c>
      <c r="E547" s="118" t="s">
        <v>177</v>
      </c>
      <c r="F547" s="118" t="s">
        <v>1103</v>
      </c>
      <c r="G547" s="111" t="s">
        <v>2077</v>
      </c>
      <c r="H547" s="111" t="s">
        <v>2078</v>
      </c>
      <c r="I547" s="119" t="s">
        <v>2056</v>
      </c>
      <c r="J547" s="70"/>
      <c r="K547" s="118">
        <v>2153</v>
      </c>
      <c r="L547" s="118">
        <v>18336</v>
      </c>
      <c r="M547" s="147"/>
      <c r="N547" s="111" t="s">
        <v>2079</v>
      </c>
      <c r="O547" s="111" t="s">
        <v>29</v>
      </c>
      <c r="P547" s="111" t="s">
        <v>176</v>
      </c>
      <c r="Q547" s="70" t="s">
        <v>1661</v>
      </c>
      <c r="R547" s="111" t="s">
        <v>145</v>
      </c>
      <c r="S547" s="111"/>
      <c r="T547" s="112" t="s">
        <v>2078</v>
      </c>
      <c r="U547" s="74"/>
      <c r="V547" s="158" t="s">
        <v>10</v>
      </c>
      <c r="W547" s="118"/>
      <c r="X547" s="113"/>
      <c r="Y547" s="117">
        <f t="shared" ref="Y547:Y551" si="171">EDATE(D547,3)</f>
        <v>45314</v>
      </c>
      <c r="Z547" s="187">
        <v>45301</v>
      </c>
      <c r="AA547" s="161" t="str">
        <f t="shared" ref="AA547:AA551" ca="1" si="172">IF(Z547="",IF(TODAY()&gt;Y547,"NO","YES"),IF(Z547&gt;Y547,"NO",IF(Z547&lt;Y547,"YES",IF(Y547=Z547,"YES","N/A"))))</f>
        <v>YES</v>
      </c>
      <c r="AB547" s="113"/>
      <c r="AC547" s="70"/>
      <c r="AD547" s="70"/>
      <c r="AE547" s="70"/>
      <c r="AF547" s="114" t="str">
        <f t="shared" ref="AF547:AF551" ca="1" si="173">IF(I547="Claim",IF(AD547="","",IF(AE547="",IF(TODAY()&gt;AD547,"NO","YES"),IF(AE547&gt;AD547,"NO",IF(AE547&lt;AD547,"YES",IF(AD547=AE547,"YES","N/A"))))),"N/A")</f>
        <v>N/A</v>
      </c>
      <c r="AG547" s="194">
        <v>2450</v>
      </c>
      <c r="AH547" s="194">
        <v>0</v>
      </c>
      <c r="AI547" s="196">
        <f t="shared" ref="AI547:AI551" si="174">AH547+AG547</f>
        <v>2450</v>
      </c>
      <c r="AJ547" s="148"/>
      <c r="AK547" s="70" t="s">
        <v>2106</v>
      </c>
      <c r="AL547" s="70"/>
      <c r="AM547" s="165" t="str">
        <f t="shared" ref="AM547:AM551" si="175">CONCATENATE(B547," ",G547)</f>
        <v>23028 Via Separation</v>
      </c>
      <c r="AN547" s="165" t="str">
        <f t="shared" ref="AN547:AN551" si="176">CONCATENATE(B547," ",G547," : ",N547)</f>
        <v>23028 Via Separation : Late delivery of centrigugal pumps</v>
      </c>
    </row>
    <row r="548" spans="1:40" ht="14.5" hidden="1" x14ac:dyDescent="0.35">
      <c r="A548" s="78" t="s">
        <v>2083</v>
      </c>
      <c r="B548" s="154">
        <v>23029</v>
      </c>
      <c r="C548" s="113" t="s">
        <v>4</v>
      </c>
      <c r="D548" s="117">
        <v>45222</v>
      </c>
      <c r="E548" s="118" t="s">
        <v>1844</v>
      </c>
      <c r="F548" s="118" t="s">
        <v>164</v>
      </c>
      <c r="G548" s="111" t="s">
        <v>2053</v>
      </c>
      <c r="H548" s="111" t="s">
        <v>2080</v>
      </c>
      <c r="I548" s="119" t="s">
        <v>5</v>
      </c>
      <c r="J548" s="70"/>
      <c r="K548" s="118">
        <v>2144</v>
      </c>
      <c r="L548" s="118">
        <v>18147</v>
      </c>
      <c r="M548" s="147" t="s">
        <v>13</v>
      </c>
      <c r="N548" s="111" t="s">
        <v>2081</v>
      </c>
      <c r="O548" s="111" t="s">
        <v>29</v>
      </c>
      <c r="P548" s="111" t="s">
        <v>86</v>
      </c>
      <c r="Q548" s="70" t="s">
        <v>885</v>
      </c>
      <c r="R548" s="111" t="s">
        <v>9</v>
      </c>
      <c r="S548" s="111"/>
      <c r="T548" s="112" t="s">
        <v>2097</v>
      </c>
      <c r="U548" s="74"/>
      <c r="V548" s="158" t="s">
        <v>6</v>
      </c>
      <c r="W548" s="118" t="s">
        <v>1396</v>
      </c>
      <c r="X548" s="113">
        <v>45233</v>
      </c>
      <c r="Y548" s="117">
        <f t="shared" si="171"/>
        <v>45314</v>
      </c>
      <c r="Z548" s="187">
        <v>45306</v>
      </c>
      <c r="AA548" s="161" t="str">
        <f t="shared" ca="1" si="172"/>
        <v>YES</v>
      </c>
      <c r="AB548" s="113">
        <v>45203</v>
      </c>
      <c r="AC548" s="187">
        <v>45208</v>
      </c>
      <c r="AD548" s="187">
        <v>45322</v>
      </c>
      <c r="AE548" s="187">
        <v>45306</v>
      </c>
      <c r="AF548" s="114" t="str">
        <f t="shared" ca="1" si="173"/>
        <v>YES</v>
      </c>
      <c r="AG548" s="194">
        <v>1372</v>
      </c>
      <c r="AH548" s="194">
        <v>3800</v>
      </c>
      <c r="AI548" s="196">
        <f t="shared" si="174"/>
        <v>5172</v>
      </c>
      <c r="AJ548" s="148"/>
      <c r="AK548" s="70" t="s">
        <v>2106</v>
      </c>
      <c r="AL548" s="70"/>
      <c r="AM548" s="165" t="str">
        <f t="shared" si="175"/>
        <v>23029 Inovyn</v>
      </c>
      <c r="AN548" s="165" t="str">
        <f t="shared" si="176"/>
        <v>23029 Inovyn : Interconnexion piping issues/columns</v>
      </c>
    </row>
    <row r="549" spans="1:40" s="217" customFormat="1" ht="14" hidden="1" customHeight="1" x14ac:dyDescent="0.35">
      <c r="A549" s="82"/>
      <c r="B549" s="207">
        <v>23030</v>
      </c>
      <c r="C549" s="208" t="s">
        <v>8</v>
      </c>
      <c r="D549" s="209">
        <v>45227</v>
      </c>
      <c r="E549" s="210" t="s">
        <v>1896</v>
      </c>
      <c r="F549" s="210" t="s">
        <v>164</v>
      </c>
      <c r="G549" s="211" t="s">
        <v>2084</v>
      </c>
      <c r="H549" s="211" t="s">
        <v>2091</v>
      </c>
      <c r="I549" s="212" t="s">
        <v>2056</v>
      </c>
      <c r="J549" s="73"/>
      <c r="K549" s="210">
        <v>2128</v>
      </c>
      <c r="L549" s="210">
        <v>17951</v>
      </c>
      <c r="M549" s="213" t="s">
        <v>13</v>
      </c>
      <c r="N549" s="211" t="s">
        <v>2085</v>
      </c>
      <c r="O549" s="211" t="s">
        <v>29</v>
      </c>
      <c r="P549" s="211" t="s">
        <v>86</v>
      </c>
      <c r="Q549" s="73" t="s">
        <v>1026</v>
      </c>
      <c r="R549" s="211" t="s">
        <v>9</v>
      </c>
      <c r="S549" s="211"/>
      <c r="T549" s="73"/>
      <c r="U549" s="74"/>
      <c r="V549" s="215" t="s">
        <v>6</v>
      </c>
      <c r="W549" s="210" t="s">
        <v>1965</v>
      </c>
      <c r="X549" s="208">
        <v>45247</v>
      </c>
      <c r="Y549" s="209">
        <f t="shared" si="171"/>
        <v>45319</v>
      </c>
      <c r="Z549" s="247">
        <v>45303</v>
      </c>
      <c r="AA549" s="216" t="str">
        <f t="shared" ca="1" si="172"/>
        <v>YES</v>
      </c>
      <c r="AB549" s="208"/>
      <c r="AC549" s="73"/>
      <c r="AD549" s="73"/>
      <c r="AE549" s="73"/>
      <c r="AF549" s="217" t="str">
        <f t="shared" ca="1" si="173"/>
        <v>N/A</v>
      </c>
      <c r="AG549" s="218">
        <v>3000</v>
      </c>
      <c r="AH549" s="218">
        <v>1892</v>
      </c>
      <c r="AI549" s="222">
        <f t="shared" si="174"/>
        <v>4892</v>
      </c>
      <c r="AJ549" s="219"/>
      <c r="AK549" s="73"/>
      <c r="AL549" s="73"/>
      <c r="AM549" s="220" t="str">
        <f t="shared" si="175"/>
        <v>23030 SQ Nansha</v>
      </c>
      <c r="AN549" s="220" t="str">
        <f t="shared" si="176"/>
        <v>23030 SQ Nansha : Loose nozzles found inside columns of SQ20 on Site</v>
      </c>
    </row>
    <row r="550" spans="1:40" s="114" customFormat="1" ht="15.5" hidden="1" customHeight="1" x14ac:dyDescent="0.35">
      <c r="A550" s="82"/>
      <c r="B550" s="154">
        <v>23031</v>
      </c>
      <c r="C550" s="113" t="s">
        <v>8</v>
      </c>
      <c r="D550" s="117">
        <v>45236</v>
      </c>
      <c r="E550" s="118" t="s">
        <v>2086</v>
      </c>
      <c r="F550" s="118" t="s">
        <v>164</v>
      </c>
      <c r="G550" s="111" t="s">
        <v>2095</v>
      </c>
      <c r="H550" s="111" t="s">
        <v>2087</v>
      </c>
      <c r="I550" s="119" t="s">
        <v>2057</v>
      </c>
      <c r="J550" s="70"/>
      <c r="K550" s="118">
        <v>2151</v>
      </c>
      <c r="L550" s="118">
        <v>18281</v>
      </c>
      <c r="M550" s="147" t="s">
        <v>16</v>
      </c>
      <c r="N550" s="111" t="s">
        <v>2088</v>
      </c>
      <c r="O550" s="111" t="s">
        <v>29</v>
      </c>
      <c r="P550" s="111" t="s">
        <v>86</v>
      </c>
      <c r="Q550" s="70" t="s">
        <v>2096</v>
      </c>
      <c r="R550" s="111" t="s">
        <v>9</v>
      </c>
      <c r="S550" s="111"/>
      <c r="T550" s="70"/>
      <c r="U550" s="74"/>
      <c r="V550" s="158" t="s">
        <v>6</v>
      </c>
      <c r="W550" s="118" t="s">
        <v>1965</v>
      </c>
      <c r="X550" s="113">
        <v>45266</v>
      </c>
      <c r="Y550" s="117">
        <f>EDATE(D550,3)</f>
        <v>45328</v>
      </c>
      <c r="Z550" s="187">
        <v>45323</v>
      </c>
      <c r="AA550" s="161" t="str">
        <f t="shared" ca="1" si="172"/>
        <v>YES</v>
      </c>
      <c r="AB550" s="113"/>
      <c r="AC550" s="70"/>
      <c r="AD550" s="70"/>
      <c r="AE550" s="70"/>
      <c r="AF550" s="114" t="str">
        <f t="shared" ca="1" si="173"/>
        <v>N/A</v>
      </c>
      <c r="AG550" s="194">
        <v>250</v>
      </c>
      <c r="AH550" s="194">
        <v>139</v>
      </c>
      <c r="AI550" s="196">
        <f t="shared" si="174"/>
        <v>389</v>
      </c>
      <c r="AJ550" s="148"/>
      <c r="AK550" s="70"/>
      <c r="AL550" s="70"/>
      <c r="AM550" s="165" t="str">
        <f t="shared" si="175"/>
        <v>23031 Lier</v>
      </c>
      <c r="AN550" s="165" t="str">
        <f t="shared" si="176"/>
        <v xml:space="preserve">23031 Lier : Unproper MF housings site installation </v>
      </c>
    </row>
    <row r="551" spans="1:40" ht="33" hidden="1" customHeight="1" x14ac:dyDescent="0.35">
      <c r="A551" s="82"/>
      <c r="B551" s="154">
        <v>23032</v>
      </c>
      <c r="C551" s="113" t="s">
        <v>8</v>
      </c>
      <c r="D551" s="117">
        <v>45236</v>
      </c>
      <c r="E551" s="118" t="s">
        <v>2086</v>
      </c>
      <c r="F551" s="118" t="s">
        <v>164</v>
      </c>
      <c r="G551" s="111" t="s">
        <v>1499</v>
      </c>
      <c r="H551" s="111" t="s">
        <v>2089</v>
      </c>
      <c r="I551" s="119" t="s">
        <v>5</v>
      </c>
      <c r="J551" s="70"/>
      <c r="K551" s="118">
        <v>2150</v>
      </c>
      <c r="L551" s="118">
        <v>18178</v>
      </c>
      <c r="M551" s="147" t="s">
        <v>13</v>
      </c>
      <c r="N551" s="111" t="s">
        <v>2090</v>
      </c>
      <c r="O551" s="111" t="s">
        <v>29</v>
      </c>
      <c r="P551" s="111" t="s">
        <v>86</v>
      </c>
      <c r="Q551" s="70" t="s">
        <v>1661</v>
      </c>
      <c r="R551" s="111" t="s">
        <v>9</v>
      </c>
      <c r="S551" s="111"/>
      <c r="T551" s="70"/>
      <c r="U551" s="74"/>
      <c r="V551" s="158" t="s">
        <v>6</v>
      </c>
      <c r="W551" s="118" t="s">
        <v>1965</v>
      </c>
      <c r="X551" s="113">
        <v>45257</v>
      </c>
      <c r="Y551" s="117">
        <f t="shared" si="171"/>
        <v>45328</v>
      </c>
      <c r="Z551" s="187">
        <v>45408</v>
      </c>
      <c r="AA551" s="161" t="str">
        <f t="shared" ca="1" si="172"/>
        <v>NO</v>
      </c>
      <c r="AB551" s="113">
        <v>45142</v>
      </c>
      <c r="AC551" s="113">
        <v>45142</v>
      </c>
      <c r="AD551" s="187">
        <v>45412</v>
      </c>
      <c r="AE551" s="247">
        <v>45408</v>
      </c>
      <c r="AF551" s="114" t="str">
        <f t="shared" ca="1" si="173"/>
        <v>YES</v>
      </c>
      <c r="AG551" s="194">
        <v>938</v>
      </c>
      <c r="AH551" s="194">
        <v>0</v>
      </c>
      <c r="AI551" s="196">
        <f t="shared" si="174"/>
        <v>938</v>
      </c>
      <c r="AJ551" s="148"/>
      <c r="AK551" s="70"/>
      <c r="AL551" s="70"/>
      <c r="AM551" s="165" t="str">
        <f t="shared" si="175"/>
        <v>23032 Rousselot</v>
      </c>
      <c r="AN551" s="165" t="str">
        <f t="shared" si="176"/>
        <v>23032 Rousselot : Painting damage during transportation</v>
      </c>
    </row>
    <row r="552" spans="1:40" ht="37.5" hidden="1" customHeight="1" x14ac:dyDescent="0.35">
      <c r="A552" s="78" t="s">
        <v>2094</v>
      </c>
      <c r="B552" s="154">
        <v>23033</v>
      </c>
      <c r="C552" s="113" t="s">
        <v>4</v>
      </c>
      <c r="D552" s="117">
        <v>45238</v>
      </c>
      <c r="E552" s="118" t="s">
        <v>2092</v>
      </c>
      <c r="F552" s="118" t="s">
        <v>420</v>
      </c>
      <c r="G552" s="111" t="s">
        <v>538</v>
      </c>
      <c r="H552" s="111"/>
      <c r="I552" s="119" t="s">
        <v>2057</v>
      </c>
      <c r="J552" s="70"/>
      <c r="K552" s="118">
        <v>3012</v>
      </c>
      <c r="L552" s="118" t="s">
        <v>2098</v>
      </c>
      <c r="M552" s="147" t="s">
        <v>11</v>
      </c>
      <c r="N552" s="111" t="s">
        <v>2093</v>
      </c>
      <c r="O552" s="111" t="s">
        <v>420</v>
      </c>
      <c r="P552" s="111" t="s">
        <v>80</v>
      </c>
      <c r="Q552" s="70" t="s">
        <v>1543</v>
      </c>
      <c r="R552" s="111" t="s">
        <v>15</v>
      </c>
      <c r="S552" s="111"/>
      <c r="T552" s="70"/>
      <c r="U552" s="74"/>
      <c r="V552" s="158" t="s">
        <v>6</v>
      </c>
      <c r="W552" s="118" t="s">
        <v>2092</v>
      </c>
      <c r="X552" s="113">
        <v>45246</v>
      </c>
      <c r="Y552" s="117">
        <f t="shared" ref="Y552:Y557" si="177">EDATE(D552,3)</f>
        <v>45330</v>
      </c>
      <c r="Z552" s="187">
        <v>45303</v>
      </c>
      <c r="AA552" s="161" t="str">
        <f t="shared" ref="AA552:AA557" ca="1" si="178">IF(Z552="",IF(TODAY()&gt;Y552,"NO","YES"),IF(Z552&gt;Y552,"NO",IF(Z552&lt;Y552,"YES",IF(Y552=Z552,"YES","N/A"))))</f>
        <v>YES</v>
      </c>
      <c r="AB552" s="113"/>
      <c r="AC552" s="70"/>
      <c r="AD552" s="70"/>
      <c r="AE552" s="70"/>
      <c r="AF552" s="114" t="str">
        <f t="shared" ref="AF552:AF557" ca="1" si="179">IF(I552="Claim",IF(AD552="","",IF(AE552="",IF(TODAY()&gt;AD552,"NO","YES"),IF(AE552&gt;AD552,"NO",IF(AE552&lt;AD552,"YES",IF(AD552=AE552,"YES","N/A"))))),"N/A")</f>
        <v>N/A</v>
      </c>
      <c r="AG552" s="194">
        <v>2352</v>
      </c>
      <c r="AH552" s="194">
        <v>0</v>
      </c>
      <c r="AI552" s="196">
        <f t="shared" ref="AI552:AI557" si="180">AH552+AG552</f>
        <v>2352</v>
      </c>
      <c r="AJ552" s="148"/>
      <c r="AK552" s="70" t="s">
        <v>2106</v>
      </c>
      <c r="AL552" s="70"/>
      <c r="AM552" s="165" t="str">
        <f t="shared" ref="AM552:AM557" si="181">CONCATENATE(B552," ",G552)</f>
        <v>23033 ADM</v>
      </c>
      <c r="AN552" s="165" t="str">
        <f t="shared" ref="AN552:AN557" si="182">CONCATENATE(B552," ",G552," : ",N552)</f>
        <v>23033 ADM : Extract/Raffinate handling error</v>
      </c>
    </row>
    <row r="553" spans="1:40" ht="52" hidden="1" customHeight="1" x14ac:dyDescent="0.35">
      <c r="A553" s="78" t="s">
        <v>2105</v>
      </c>
      <c r="B553" s="154">
        <v>24001</v>
      </c>
      <c r="C553" s="113" t="s">
        <v>4</v>
      </c>
      <c r="D553" s="117">
        <v>45296</v>
      </c>
      <c r="E553" s="118" t="s">
        <v>221</v>
      </c>
      <c r="F553" s="118" t="s">
        <v>658</v>
      </c>
      <c r="G553" s="111" t="s">
        <v>2102</v>
      </c>
      <c r="H553" s="111" t="s">
        <v>2103</v>
      </c>
      <c r="I553" s="119" t="s">
        <v>5</v>
      </c>
      <c r="J553" s="70"/>
      <c r="K553" s="118">
        <v>2044</v>
      </c>
      <c r="L553" s="142">
        <v>13042</v>
      </c>
      <c r="M553" s="147" t="s">
        <v>11</v>
      </c>
      <c r="N553" s="111" t="s">
        <v>2104</v>
      </c>
      <c r="O553" s="111" t="s">
        <v>28</v>
      </c>
      <c r="P553" s="111" t="s">
        <v>103</v>
      </c>
      <c r="Q553" s="70" t="s">
        <v>176</v>
      </c>
      <c r="R553" s="111" t="s">
        <v>12</v>
      </c>
      <c r="S553" s="111"/>
      <c r="T553" s="70"/>
      <c r="U553" s="74"/>
      <c r="V553" s="158" t="s">
        <v>6</v>
      </c>
      <c r="W553" s="118" t="s">
        <v>221</v>
      </c>
      <c r="X553" s="113">
        <v>45296</v>
      </c>
      <c r="Y553" s="117">
        <f t="shared" si="177"/>
        <v>45387</v>
      </c>
      <c r="Z553" s="187">
        <v>45492</v>
      </c>
      <c r="AA553" s="161" t="str">
        <f t="shared" ca="1" si="178"/>
        <v>NO</v>
      </c>
      <c r="AB553" s="113">
        <v>45237</v>
      </c>
      <c r="AC553" s="187">
        <v>45240</v>
      </c>
      <c r="AD553" s="187">
        <v>45565</v>
      </c>
      <c r="AE553" s="187">
        <v>45492</v>
      </c>
      <c r="AF553" s="114" t="str">
        <f t="shared" ca="1" si="179"/>
        <v>YES</v>
      </c>
      <c r="AG553" s="194">
        <v>16268</v>
      </c>
      <c r="AH553" s="194">
        <v>11298</v>
      </c>
      <c r="AI553" s="196">
        <f t="shared" si="180"/>
        <v>27566</v>
      </c>
      <c r="AJ553" s="148"/>
      <c r="AK553" s="70" t="s">
        <v>2144</v>
      </c>
      <c r="AL553" s="70"/>
      <c r="AM553" s="165" t="str">
        <f t="shared" si="181"/>
        <v>24001 Omnia</v>
      </c>
      <c r="AN553" s="165" t="str">
        <f t="shared" si="182"/>
        <v xml:space="preserve">24001 Omnia : Product leak on SSMB column at weld level </v>
      </c>
    </row>
    <row r="554" spans="1:40" s="217" customFormat="1" ht="14.5" x14ac:dyDescent="0.35">
      <c r="A554" s="82"/>
      <c r="B554" s="207">
        <v>24002</v>
      </c>
      <c r="C554" s="208" t="s">
        <v>8</v>
      </c>
      <c r="D554" s="209">
        <v>45307</v>
      </c>
      <c r="E554" s="210" t="s">
        <v>1965</v>
      </c>
      <c r="F554" s="210" t="s">
        <v>164</v>
      </c>
      <c r="G554" s="211" t="s">
        <v>2107</v>
      </c>
      <c r="H554" s="211" t="s">
        <v>1920</v>
      </c>
      <c r="I554" s="212" t="s">
        <v>2056</v>
      </c>
      <c r="J554" s="73"/>
      <c r="K554" s="210"/>
      <c r="L554" s="210">
        <v>18418</v>
      </c>
      <c r="M554" s="213" t="s">
        <v>11</v>
      </c>
      <c r="N554" s="211" t="s">
        <v>2108</v>
      </c>
      <c r="O554" s="211" t="s">
        <v>29</v>
      </c>
      <c r="P554" s="211" t="s">
        <v>86</v>
      </c>
      <c r="Q554" s="73" t="s">
        <v>2133</v>
      </c>
      <c r="R554" s="211" t="s">
        <v>9</v>
      </c>
      <c r="S554" s="111"/>
      <c r="T554" s="73"/>
      <c r="U554" s="73"/>
      <c r="V554" s="215" t="s">
        <v>6</v>
      </c>
      <c r="W554" s="210" t="s">
        <v>1965</v>
      </c>
      <c r="X554" s="208">
        <v>45352</v>
      </c>
      <c r="Y554" s="209">
        <f>EDATE(D554,3)</f>
        <v>45398</v>
      </c>
      <c r="Z554" s="221">
        <v>45397</v>
      </c>
      <c r="AA554" s="216" t="str">
        <f t="shared" ca="1" si="178"/>
        <v>YES</v>
      </c>
      <c r="AB554" s="208"/>
      <c r="AC554" s="73"/>
      <c r="AD554" s="73"/>
      <c r="AE554" s="73"/>
      <c r="AF554" s="217" t="str">
        <f t="shared" ca="1" si="179"/>
        <v>N/A</v>
      </c>
      <c r="AG554" s="218">
        <v>750</v>
      </c>
      <c r="AH554" s="218">
        <v>0</v>
      </c>
      <c r="AI554" s="222">
        <f t="shared" si="180"/>
        <v>750</v>
      </c>
      <c r="AJ554" s="219"/>
      <c r="AK554" s="73"/>
      <c r="AL554" s="73"/>
      <c r="AM554" s="220" t="str">
        <f t="shared" si="181"/>
        <v>24002 Xinlv</v>
      </c>
      <c r="AN554" s="220" t="str">
        <f t="shared" si="182"/>
        <v>24002 Xinlv : Xinlv SSMB cell height</v>
      </c>
    </row>
    <row r="555" spans="1:40" ht="13.5" customHeight="1" x14ac:dyDescent="0.35">
      <c r="A555" s="82"/>
      <c r="B555" s="207">
        <v>24003</v>
      </c>
      <c r="C555" s="208" t="s">
        <v>8</v>
      </c>
      <c r="D555" s="209">
        <v>45313</v>
      </c>
      <c r="E555" s="210" t="s">
        <v>1854</v>
      </c>
      <c r="F555" s="210" t="s">
        <v>164</v>
      </c>
      <c r="G555" s="211" t="s">
        <v>2109</v>
      </c>
      <c r="H555" s="211" t="s">
        <v>1668</v>
      </c>
      <c r="I555" s="212" t="s">
        <v>5</v>
      </c>
      <c r="J555" s="73"/>
      <c r="K555" s="210">
        <v>2097</v>
      </c>
      <c r="L555" s="210">
        <v>16108</v>
      </c>
      <c r="M555" s="213" t="s">
        <v>13</v>
      </c>
      <c r="N555" s="211" t="s">
        <v>2110</v>
      </c>
      <c r="O555" s="211" t="s">
        <v>29</v>
      </c>
      <c r="P555" s="211" t="s">
        <v>86</v>
      </c>
      <c r="Q555" s="73" t="s">
        <v>916</v>
      </c>
      <c r="R555" s="211" t="s">
        <v>9</v>
      </c>
      <c r="S555" s="111"/>
      <c r="T555" s="73"/>
      <c r="U555" s="73"/>
      <c r="V555" s="215" t="s">
        <v>6</v>
      </c>
      <c r="W555" s="210" t="s">
        <v>1854</v>
      </c>
      <c r="X555" s="208">
        <v>45321</v>
      </c>
      <c r="Y555" s="209">
        <f t="shared" si="177"/>
        <v>45404</v>
      </c>
      <c r="Z555" s="221">
        <v>45418</v>
      </c>
      <c r="AA555" s="216" t="str">
        <f ca="1">IF(Z555="",IF(TODAY()&gt;Y555,"NO","YES"),IF(Z555&gt;Y555,"NO",IF(Z555&lt;Y555,"YES",IF(Y555=Z555,"YES","N/A"))))</f>
        <v>NO</v>
      </c>
      <c r="AB555" s="208">
        <v>45304</v>
      </c>
      <c r="AC555" s="208">
        <v>45304</v>
      </c>
      <c r="AD555" s="208">
        <v>45443</v>
      </c>
      <c r="AE555" s="221">
        <v>45418</v>
      </c>
      <c r="AF555" s="217" t="str">
        <f ca="1">IF(I555="Claim",IF(AD555="","",IF(AE555="",IF(TODAY()&gt;AD555,"NO","YES"),IF(AE555&gt;AD555,"NO",IF(AE555&lt;AD555,"YES",IF(AD555=AE555,"YES","N/A"))))),"N/A")</f>
        <v>YES</v>
      </c>
      <c r="AG555" s="218">
        <v>7000</v>
      </c>
      <c r="AH555" s="218">
        <v>3832</v>
      </c>
      <c r="AI555" s="222">
        <f t="shared" si="180"/>
        <v>10832</v>
      </c>
      <c r="AJ555" s="219"/>
      <c r="AK555" s="73"/>
      <c r="AL555" s="73"/>
      <c r="AM555" s="220" t="str">
        <f t="shared" si="181"/>
        <v>24003 SQ13</v>
      </c>
      <c r="AN555" s="220" t="str">
        <f t="shared" si="182"/>
        <v xml:space="preserve">24003 SQ13 : SQ13 LS MB140 column internals deformation </v>
      </c>
    </row>
    <row r="556" spans="1:40" ht="14.5" hidden="1" x14ac:dyDescent="0.35">
      <c r="A556" s="82"/>
      <c r="B556" s="154">
        <v>24004</v>
      </c>
      <c r="C556" s="113" t="s">
        <v>4</v>
      </c>
      <c r="D556" s="117">
        <v>45324</v>
      </c>
      <c r="E556" s="118" t="s">
        <v>2112</v>
      </c>
      <c r="F556" s="118" t="s">
        <v>164</v>
      </c>
      <c r="G556" s="111" t="s">
        <v>1558</v>
      </c>
      <c r="H556" s="111" t="s">
        <v>2113</v>
      </c>
      <c r="I556" s="119" t="s">
        <v>2056</v>
      </c>
      <c r="J556" s="70"/>
      <c r="K556" s="118">
        <v>2159</v>
      </c>
      <c r="L556" s="118">
        <v>18307</v>
      </c>
      <c r="M556" s="147" t="s">
        <v>672</v>
      </c>
      <c r="N556" s="111" t="s">
        <v>2114</v>
      </c>
      <c r="O556" s="111" t="s">
        <v>29</v>
      </c>
      <c r="P556" s="111" t="s">
        <v>86</v>
      </c>
      <c r="Q556" s="70" t="s">
        <v>916</v>
      </c>
      <c r="R556" s="111" t="s">
        <v>9</v>
      </c>
      <c r="S556" s="111"/>
      <c r="T556" s="70"/>
      <c r="U556" s="74"/>
      <c r="V556" s="158" t="s">
        <v>6</v>
      </c>
      <c r="W556" s="118" t="s">
        <v>120</v>
      </c>
      <c r="X556" s="113">
        <v>45324</v>
      </c>
      <c r="Y556" s="117">
        <f t="shared" si="177"/>
        <v>45414</v>
      </c>
      <c r="Z556" s="187">
        <v>45401</v>
      </c>
      <c r="AA556" s="161" t="str">
        <f t="shared" ca="1" si="178"/>
        <v>YES</v>
      </c>
      <c r="AB556" s="113"/>
      <c r="AC556" s="70"/>
      <c r="AD556" s="70"/>
      <c r="AE556" s="70"/>
      <c r="AF556" s="114" t="str">
        <f t="shared" ca="1" si="179"/>
        <v>N/A</v>
      </c>
      <c r="AG556" s="194">
        <v>14308</v>
      </c>
      <c r="AH556" s="194">
        <v>1500</v>
      </c>
      <c r="AI556" s="196">
        <f t="shared" si="180"/>
        <v>15808</v>
      </c>
      <c r="AJ556" s="148"/>
      <c r="AK556" s="70" t="s">
        <v>2144</v>
      </c>
      <c r="AL556" s="70"/>
      <c r="AM556" s="165" t="str">
        <f t="shared" si="181"/>
        <v>24004 Etihad</v>
      </c>
      <c r="AN556" s="165" t="str">
        <f t="shared" si="182"/>
        <v>24004 Etihad : Piping defects and lack of supply for strainers</v>
      </c>
    </row>
    <row r="557" spans="1:40" s="114" customFormat="1" ht="14.5" x14ac:dyDescent="0.35">
      <c r="A557" s="82"/>
      <c r="B557" s="154">
        <v>24005</v>
      </c>
      <c r="C557" s="113" t="s">
        <v>8</v>
      </c>
      <c r="D557" s="209">
        <v>45342</v>
      </c>
      <c r="E557" s="118" t="s">
        <v>1965</v>
      </c>
      <c r="F557" s="118" t="s">
        <v>164</v>
      </c>
      <c r="G557" s="111" t="s">
        <v>2116</v>
      </c>
      <c r="H557" s="111"/>
      <c r="I557" s="119" t="s">
        <v>2057</v>
      </c>
      <c r="J557" s="70"/>
      <c r="K557" s="118">
        <v>2136</v>
      </c>
      <c r="L557" s="118">
        <v>17789</v>
      </c>
      <c r="M557" s="147" t="s">
        <v>11</v>
      </c>
      <c r="N557" s="111" t="s">
        <v>2117</v>
      </c>
      <c r="O557" s="111" t="s">
        <v>29</v>
      </c>
      <c r="P557" s="111" t="s">
        <v>86</v>
      </c>
      <c r="Q557" s="70" t="s">
        <v>916</v>
      </c>
      <c r="R557" s="111" t="s">
        <v>9</v>
      </c>
      <c r="S557" s="111"/>
      <c r="T557" s="70"/>
      <c r="U557" s="74"/>
      <c r="V557" s="158" t="s">
        <v>6</v>
      </c>
      <c r="W557" s="118" t="s">
        <v>1965</v>
      </c>
      <c r="X557" s="113">
        <v>45379</v>
      </c>
      <c r="Y557" s="209">
        <f t="shared" si="177"/>
        <v>45432</v>
      </c>
      <c r="Z557" s="187">
        <v>45432</v>
      </c>
      <c r="AA557" s="161" t="str">
        <f t="shared" ca="1" si="178"/>
        <v>YES</v>
      </c>
      <c r="AB557" s="113"/>
      <c r="AC557" s="70"/>
      <c r="AD557" s="70"/>
      <c r="AE557" s="70"/>
      <c r="AF557" s="114" t="str">
        <f t="shared" ca="1" si="179"/>
        <v>N/A</v>
      </c>
      <c r="AG557" s="194">
        <v>1278</v>
      </c>
      <c r="AH557" s="194"/>
      <c r="AI557" s="196">
        <f t="shared" si="180"/>
        <v>1278</v>
      </c>
      <c r="AJ557" s="148"/>
      <c r="AK557" s="70"/>
      <c r="AL557" s="70"/>
      <c r="AM557" s="165" t="str">
        <f t="shared" si="181"/>
        <v xml:space="preserve">24005 Huitong </v>
      </c>
      <c r="AN557" s="165" t="str">
        <f t="shared" si="182"/>
        <v>24005 Huitong  : Backwashing tank volume issue</v>
      </c>
    </row>
    <row r="558" spans="1:40" ht="14.5" hidden="1" x14ac:dyDescent="0.35">
      <c r="A558" s="82"/>
      <c r="B558" s="154">
        <v>24006</v>
      </c>
      <c r="C558" s="113" t="s">
        <v>4</v>
      </c>
      <c r="D558" s="117">
        <v>45343</v>
      </c>
      <c r="E558" s="118" t="s">
        <v>177</v>
      </c>
      <c r="F558" s="118" t="s">
        <v>1103</v>
      </c>
      <c r="G558" s="111" t="s">
        <v>2065</v>
      </c>
      <c r="H558" s="124" t="s">
        <v>1394</v>
      </c>
      <c r="I558" s="119" t="s">
        <v>17</v>
      </c>
      <c r="J558" s="70"/>
      <c r="K558" s="118">
        <v>2066</v>
      </c>
      <c r="L558" s="118">
        <v>13829</v>
      </c>
      <c r="M558" s="249" t="s">
        <v>2067</v>
      </c>
      <c r="N558" s="111" t="s">
        <v>2118</v>
      </c>
      <c r="O558" s="124" t="s">
        <v>29</v>
      </c>
      <c r="P558" s="124" t="s">
        <v>86</v>
      </c>
      <c r="Q558" s="70" t="s">
        <v>510</v>
      </c>
      <c r="R558" s="111" t="s">
        <v>9</v>
      </c>
      <c r="S558" s="124"/>
      <c r="T558" s="70"/>
      <c r="U558" s="105"/>
      <c r="V558" s="158" t="s">
        <v>6</v>
      </c>
      <c r="W558" s="118" t="s">
        <v>177</v>
      </c>
      <c r="X558" s="113">
        <v>45351</v>
      </c>
      <c r="Y558" s="117">
        <f t="shared" ref="Y558:Y563" si="183">EDATE(D558,3)</f>
        <v>45433</v>
      </c>
      <c r="Z558" s="187">
        <v>45405</v>
      </c>
      <c r="AA558" s="161" t="str">
        <f t="shared" ref="AA558:AA563" ca="1" si="184">IF(Z558="",IF(TODAY()&gt;Y558,"NO","YES"),IF(Z558&gt;Y558,"NO",IF(Z558&lt;Y558,"YES",IF(Y558=Z558,"YES","N/A"))))</f>
        <v>YES</v>
      </c>
      <c r="AB558" s="113"/>
      <c r="AC558" s="70"/>
      <c r="AD558" s="148"/>
      <c r="AE558" s="148"/>
      <c r="AF558" s="114" t="str">
        <f t="shared" ref="AF558:AF563" ca="1" si="185">IF(I558="Claim",IF(AD558="","",IF(AE558="",IF(TODAY()&gt;AD558,"NO","YES"),IF(AE558&gt;AD558,"NO",IF(AE558&lt;AD558,"YES",IF(AD558=AE558,"YES","N/A"))))),"N/A")</f>
        <v>N/A</v>
      </c>
      <c r="AG558" s="194">
        <v>196</v>
      </c>
      <c r="AH558" s="194">
        <v>0</v>
      </c>
      <c r="AI558" s="196">
        <f t="shared" ref="AI558:AI563" si="186">AH558+AG558</f>
        <v>196</v>
      </c>
      <c r="AJ558" s="148"/>
      <c r="AK558" s="70" t="s">
        <v>2144</v>
      </c>
      <c r="AL558" s="148"/>
      <c r="AM558" s="165" t="str">
        <f t="shared" ref="AM558:AM563" si="187">CONCATENATE(B558," ",G558)</f>
        <v>24006 Bénéo Chili</v>
      </c>
      <c r="AN558" s="250" t="str">
        <f t="shared" ref="AN558:AN563" si="188">CONCATENATE(B558," ",G558," : ",N558)</f>
        <v>24006 Bénéo Chili : Late delivery of a piping box</v>
      </c>
    </row>
    <row r="559" spans="1:40" ht="14.5" hidden="1" x14ac:dyDescent="0.35">
      <c r="A559" s="78" t="s">
        <v>2121</v>
      </c>
      <c r="B559" s="154">
        <v>24007</v>
      </c>
      <c r="C559" s="113" t="s">
        <v>4</v>
      </c>
      <c r="D559" s="117">
        <v>45343</v>
      </c>
      <c r="E559" s="118" t="s">
        <v>1476</v>
      </c>
      <c r="F559" s="118" t="s">
        <v>658</v>
      </c>
      <c r="G559" s="111" t="s">
        <v>1979</v>
      </c>
      <c r="H559" s="111" t="s">
        <v>1394</v>
      </c>
      <c r="I559" s="119" t="s">
        <v>5</v>
      </c>
      <c r="J559" s="70"/>
      <c r="K559" s="118"/>
      <c r="L559" s="114" t="s">
        <v>2120</v>
      </c>
      <c r="M559" s="147"/>
      <c r="N559" s="111" t="s">
        <v>2119</v>
      </c>
      <c r="O559" s="111" t="s">
        <v>28</v>
      </c>
      <c r="P559" s="111" t="s">
        <v>103</v>
      </c>
      <c r="Q559" s="70" t="s">
        <v>510</v>
      </c>
      <c r="R559" s="111" t="s">
        <v>145</v>
      </c>
      <c r="S559" s="111"/>
      <c r="T559" s="112" t="s">
        <v>1394</v>
      </c>
      <c r="U559" s="74"/>
      <c r="V559" s="158" t="s">
        <v>6</v>
      </c>
      <c r="W559" s="118" t="s">
        <v>221</v>
      </c>
      <c r="X559" s="113">
        <v>45370</v>
      </c>
      <c r="Y559" s="117">
        <f t="shared" si="183"/>
        <v>45433</v>
      </c>
      <c r="Z559" s="187">
        <v>45412</v>
      </c>
      <c r="AA559" s="161" t="str">
        <f t="shared" ca="1" si="184"/>
        <v>YES</v>
      </c>
      <c r="AB559" s="113">
        <v>45341</v>
      </c>
      <c r="AC559" s="187">
        <v>45341</v>
      </c>
      <c r="AD559" s="187">
        <v>45473</v>
      </c>
      <c r="AE559" s="187">
        <v>45412</v>
      </c>
      <c r="AF559" s="114" t="str">
        <f t="shared" ca="1" si="185"/>
        <v>YES</v>
      </c>
      <c r="AG559" s="194">
        <v>196</v>
      </c>
      <c r="AH559" s="194">
        <v>0</v>
      </c>
      <c r="AI559" s="196">
        <f t="shared" si="186"/>
        <v>196</v>
      </c>
      <c r="AJ559" s="148"/>
      <c r="AK559" s="70" t="s">
        <v>2144</v>
      </c>
      <c r="AL559" s="70"/>
      <c r="AM559" s="165" t="str">
        <f t="shared" si="187"/>
        <v>24007 Friesland</v>
      </c>
      <c r="AN559" s="165" t="str">
        <f t="shared" si="188"/>
        <v>24007 Friesland : Empty supplier resin bag in reconditioned BB of resin</v>
      </c>
    </row>
    <row r="560" spans="1:40" ht="14.5" hidden="1" x14ac:dyDescent="0.35">
      <c r="A560" s="82"/>
      <c r="B560" s="154">
        <v>24008</v>
      </c>
      <c r="C560" s="113" t="s">
        <v>4</v>
      </c>
      <c r="D560" s="117">
        <v>45350</v>
      </c>
      <c r="E560" s="118" t="s">
        <v>1907</v>
      </c>
      <c r="F560" s="118" t="s">
        <v>164</v>
      </c>
      <c r="G560" s="111" t="s">
        <v>2122</v>
      </c>
      <c r="H560" s="111" t="s">
        <v>597</v>
      </c>
      <c r="I560" s="119" t="s">
        <v>2056</v>
      </c>
      <c r="J560" s="70"/>
      <c r="K560" s="118">
        <v>2120</v>
      </c>
      <c r="L560" s="118">
        <v>17042</v>
      </c>
      <c r="M560" s="147" t="s">
        <v>955</v>
      </c>
      <c r="N560" s="111" t="s">
        <v>2123</v>
      </c>
      <c r="O560" s="111" t="s">
        <v>29</v>
      </c>
      <c r="P560" s="111" t="s">
        <v>86</v>
      </c>
      <c r="Q560" s="70" t="s">
        <v>885</v>
      </c>
      <c r="R560" s="111" t="s">
        <v>145</v>
      </c>
      <c r="S560" s="111"/>
      <c r="T560" s="70"/>
      <c r="U560" s="74"/>
      <c r="V560" s="158" t="s">
        <v>6</v>
      </c>
      <c r="W560" s="118" t="s">
        <v>1907</v>
      </c>
      <c r="X560" s="113">
        <v>45352</v>
      </c>
      <c r="Y560" s="117">
        <f t="shared" si="183"/>
        <v>45440</v>
      </c>
      <c r="Z560" s="187">
        <v>45426</v>
      </c>
      <c r="AA560" s="161" t="str">
        <f t="shared" ca="1" si="184"/>
        <v>YES</v>
      </c>
      <c r="AB560" s="113"/>
      <c r="AC560" s="70"/>
      <c r="AD560" s="70"/>
      <c r="AE560" s="70"/>
      <c r="AF560" s="114" t="str">
        <f t="shared" ca="1" si="185"/>
        <v>N/A</v>
      </c>
      <c r="AG560" s="194">
        <v>1960</v>
      </c>
      <c r="AH560" s="194">
        <v>0</v>
      </c>
      <c r="AI560" s="196">
        <f t="shared" si="186"/>
        <v>1960</v>
      </c>
      <c r="AJ560" s="148"/>
      <c r="AK560" s="70" t="s">
        <v>2144</v>
      </c>
      <c r="AL560" s="70"/>
      <c r="AM560" s="165" t="str">
        <f t="shared" si="187"/>
        <v>24008 BMA Bengladesh</v>
      </c>
      <c r="AN560" s="165" t="str">
        <f t="shared" si="188"/>
        <v>24008 BMA Bengladesh : Absence of calculation note for evapo piping</v>
      </c>
    </row>
    <row r="561" spans="1:40" ht="14.5" hidden="1" x14ac:dyDescent="0.35">
      <c r="A561" s="82"/>
      <c r="B561" s="154">
        <v>24009</v>
      </c>
      <c r="C561" s="113" t="s">
        <v>4</v>
      </c>
      <c r="D561" s="117">
        <v>45350</v>
      </c>
      <c r="E561" s="118" t="s">
        <v>864</v>
      </c>
      <c r="F561" s="118" t="s">
        <v>164</v>
      </c>
      <c r="G561" s="111" t="s">
        <v>2077</v>
      </c>
      <c r="H561" s="111" t="s">
        <v>2131</v>
      </c>
      <c r="I561" s="119" t="s">
        <v>2057</v>
      </c>
      <c r="J561" s="70"/>
      <c r="K561" s="118">
        <v>2153</v>
      </c>
      <c r="L561" s="118">
        <v>18336</v>
      </c>
      <c r="M561" s="147" t="s">
        <v>338</v>
      </c>
      <c r="N561" s="111" t="s">
        <v>2124</v>
      </c>
      <c r="O561" s="111" t="s">
        <v>29</v>
      </c>
      <c r="P561" s="111" t="s">
        <v>86</v>
      </c>
      <c r="Q561" s="70" t="s">
        <v>885</v>
      </c>
      <c r="R561" s="111" t="s">
        <v>9</v>
      </c>
      <c r="S561" s="111"/>
      <c r="T561" s="70"/>
      <c r="U561" s="74"/>
      <c r="V561" s="158" t="s">
        <v>6</v>
      </c>
      <c r="W561" s="118" t="s">
        <v>319</v>
      </c>
      <c r="X561" s="113">
        <v>45356</v>
      </c>
      <c r="Y561" s="117">
        <f t="shared" si="183"/>
        <v>45440</v>
      </c>
      <c r="Z561" s="187">
        <v>45436</v>
      </c>
      <c r="AA561" s="161" t="str">
        <f t="shared" ca="1" si="184"/>
        <v>YES</v>
      </c>
      <c r="AB561" s="113"/>
      <c r="AC561" s="70"/>
      <c r="AD561" s="70"/>
      <c r="AE561" s="70"/>
      <c r="AF561" s="114" t="str">
        <f t="shared" ca="1" si="185"/>
        <v>N/A</v>
      </c>
      <c r="AG561" s="194">
        <v>11662</v>
      </c>
      <c r="AH561" s="194">
        <f>15608+43000</f>
        <v>58608</v>
      </c>
      <c r="AI561" s="196">
        <f t="shared" si="186"/>
        <v>70270</v>
      </c>
      <c r="AJ561" s="148"/>
      <c r="AK561" s="70" t="s">
        <v>2144</v>
      </c>
      <c r="AL561" s="70"/>
      <c r="AM561" s="165" t="str">
        <f t="shared" si="187"/>
        <v>24009 Via Separation</v>
      </c>
      <c r="AN561" s="165" t="str">
        <f t="shared" si="188"/>
        <v xml:space="preserve">24009 Via Separation : Studs missing on Kerasep modules delivered by Applexion SHA </v>
      </c>
    </row>
    <row r="562" spans="1:40" ht="14.5" hidden="1" x14ac:dyDescent="0.35">
      <c r="A562" s="82"/>
      <c r="B562" s="154">
        <v>24010</v>
      </c>
      <c r="C562" s="113" t="s">
        <v>4</v>
      </c>
      <c r="D562" s="117">
        <v>45350</v>
      </c>
      <c r="E562" s="118" t="s">
        <v>864</v>
      </c>
      <c r="F562" s="118" t="s">
        <v>164</v>
      </c>
      <c r="G562" s="111" t="s">
        <v>2077</v>
      </c>
      <c r="H562" s="111"/>
      <c r="I562" s="119" t="s">
        <v>2057</v>
      </c>
      <c r="J562" s="70"/>
      <c r="K562" s="118">
        <v>2153</v>
      </c>
      <c r="L562" s="118">
        <v>18336</v>
      </c>
      <c r="M562" s="147" t="s">
        <v>338</v>
      </c>
      <c r="N562" s="111" t="s">
        <v>2125</v>
      </c>
      <c r="O562" s="111" t="s">
        <v>29</v>
      </c>
      <c r="P562" s="111" t="s">
        <v>86</v>
      </c>
      <c r="Q562" s="70" t="s">
        <v>885</v>
      </c>
      <c r="R562" s="111" t="s">
        <v>9</v>
      </c>
      <c r="S562" s="111"/>
      <c r="T562" s="70"/>
      <c r="U562" s="74"/>
      <c r="V562" s="158" t="s">
        <v>6</v>
      </c>
      <c r="W562" s="118" t="s">
        <v>2132</v>
      </c>
      <c r="X562" s="113">
        <v>45363</v>
      </c>
      <c r="Y562" s="117">
        <f t="shared" si="183"/>
        <v>45440</v>
      </c>
      <c r="Z562" s="187">
        <v>45436</v>
      </c>
      <c r="AA562" s="161" t="str">
        <f t="shared" ca="1" si="184"/>
        <v>YES</v>
      </c>
      <c r="AB562" s="113"/>
      <c r="AC562" s="70"/>
      <c r="AD562" s="70"/>
      <c r="AE562" s="70"/>
      <c r="AF562" s="114" t="str">
        <f t="shared" ca="1" si="185"/>
        <v>N/A</v>
      </c>
      <c r="AG562" s="194">
        <v>2352</v>
      </c>
      <c r="AH562" s="194">
        <v>5000</v>
      </c>
      <c r="AI562" s="196">
        <f t="shared" si="186"/>
        <v>7352</v>
      </c>
      <c r="AJ562" s="148"/>
      <c r="AK562" s="70" t="s">
        <v>2144</v>
      </c>
      <c r="AL562" s="70"/>
      <c r="AM562" s="165" t="str">
        <f t="shared" si="187"/>
        <v>24010 Via Separation</v>
      </c>
      <c r="AN562" s="165" t="str">
        <f t="shared" si="188"/>
        <v>24010 Via Separation : MF maintenance kit no compliant</v>
      </c>
    </row>
    <row r="563" spans="1:40" ht="14.5" hidden="1" x14ac:dyDescent="0.35">
      <c r="A563" s="82"/>
      <c r="B563" s="154">
        <v>24011</v>
      </c>
      <c r="C563" s="113" t="s">
        <v>4</v>
      </c>
      <c r="D563" s="117">
        <v>45350</v>
      </c>
      <c r="E563" s="118" t="s">
        <v>864</v>
      </c>
      <c r="F563" s="118" t="s">
        <v>164</v>
      </c>
      <c r="G563" s="111" t="s">
        <v>2077</v>
      </c>
      <c r="H563" s="111"/>
      <c r="I563" s="119" t="s">
        <v>2057</v>
      </c>
      <c r="J563" s="70"/>
      <c r="K563" s="118">
        <v>2153</v>
      </c>
      <c r="L563" s="118">
        <v>18336</v>
      </c>
      <c r="M563" s="147" t="s">
        <v>338</v>
      </c>
      <c r="N563" s="111" t="s">
        <v>2126</v>
      </c>
      <c r="O563" s="111" t="s">
        <v>29</v>
      </c>
      <c r="P563" s="111" t="s">
        <v>86</v>
      </c>
      <c r="Q563" s="70" t="s">
        <v>885</v>
      </c>
      <c r="R563" s="111" t="s">
        <v>9</v>
      </c>
      <c r="S563" s="111"/>
      <c r="T563" s="70"/>
      <c r="U563" s="74"/>
      <c r="V563" s="158" t="s">
        <v>6</v>
      </c>
      <c r="W563" s="118" t="s">
        <v>319</v>
      </c>
      <c r="X563" s="113">
        <v>45363</v>
      </c>
      <c r="Y563" s="117">
        <f t="shared" si="183"/>
        <v>45440</v>
      </c>
      <c r="Z563" s="187">
        <v>45436</v>
      </c>
      <c r="AA563" s="161" t="str">
        <f t="shared" ca="1" si="184"/>
        <v>YES</v>
      </c>
      <c r="AB563" s="113"/>
      <c r="AC563" s="70"/>
      <c r="AD563" s="70"/>
      <c r="AE563" s="70"/>
      <c r="AF563" s="114" t="str">
        <f t="shared" ca="1" si="185"/>
        <v>N/A</v>
      </c>
      <c r="AG563" s="194">
        <v>3136</v>
      </c>
      <c r="AH563" s="194">
        <v>1960</v>
      </c>
      <c r="AI563" s="196">
        <f t="shared" si="186"/>
        <v>5096</v>
      </c>
      <c r="AJ563" s="148"/>
      <c r="AK563" s="70" t="s">
        <v>2144</v>
      </c>
      <c r="AL563" s="70"/>
      <c r="AM563" s="165" t="str">
        <f t="shared" si="187"/>
        <v>24011 Via Separation</v>
      </c>
      <c r="AN563" s="165" t="str">
        <f t="shared" si="188"/>
        <v>24011 Via Separation : Female SMS cap nuts delivered instead of male</v>
      </c>
    </row>
    <row r="564" spans="1:40" ht="14.5" hidden="1" x14ac:dyDescent="0.35">
      <c r="A564" s="82"/>
      <c r="B564" s="154">
        <v>24012</v>
      </c>
      <c r="C564" s="113" t="s">
        <v>4</v>
      </c>
      <c r="D564" s="117">
        <v>45351</v>
      </c>
      <c r="E564" s="118" t="s">
        <v>864</v>
      </c>
      <c r="F564" s="118" t="s">
        <v>164</v>
      </c>
      <c r="G564" s="111" t="s">
        <v>2077</v>
      </c>
      <c r="H564" s="111" t="s">
        <v>1394</v>
      </c>
      <c r="I564" s="119" t="s">
        <v>2057</v>
      </c>
      <c r="J564" s="70"/>
      <c r="K564" s="118">
        <v>2153</v>
      </c>
      <c r="L564" s="118">
        <v>18336</v>
      </c>
      <c r="M564" s="147" t="s">
        <v>338</v>
      </c>
      <c r="N564" s="111" t="s">
        <v>2127</v>
      </c>
      <c r="O564" s="111" t="s">
        <v>29</v>
      </c>
      <c r="P564" s="111" t="s">
        <v>86</v>
      </c>
      <c r="Q564" s="70" t="s">
        <v>510</v>
      </c>
      <c r="R564" s="111" t="s">
        <v>9</v>
      </c>
      <c r="S564" s="111"/>
      <c r="T564" s="70"/>
      <c r="U564" s="74"/>
      <c r="V564" s="158" t="s">
        <v>6</v>
      </c>
      <c r="W564" s="118" t="s">
        <v>177</v>
      </c>
      <c r="X564" s="113">
        <v>45358</v>
      </c>
      <c r="Y564" s="117">
        <f t="shared" ref="Y564:Y569" si="189">EDATE(D564,3)</f>
        <v>45441</v>
      </c>
      <c r="Z564" s="187">
        <v>45408</v>
      </c>
      <c r="AA564" s="161" t="str">
        <f t="shared" ref="AA564:AA569" ca="1" si="190">IF(Z564="",IF(TODAY()&gt;Y564,"NO","YES"),IF(Z564&gt;Y564,"NO",IF(Z564&lt;Y564,"YES",IF(Y564=Z564,"YES","N/A"))))</f>
        <v>YES</v>
      </c>
      <c r="AB564" s="113"/>
      <c r="AC564" s="70"/>
      <c r="AD564" s="70"/>
      <c r="AE564" s="70"/>
      <c r="AF564" s="114" t="str">
        <f t="shared" ref="AF564:AF569" ca="1" si="191">IF(I564="Claim",IF(AD564="","",IF(AE564="",IF(TODAY()&gt;AD564,"NO","YES"),IF(AE564&gt;AD564,"NO",IF(AE564&lt;AD564,"YES",IF(AD564=AE564,"YES","N/A"))))),"N/A")</f>
        <v>N/A</v>
      </c>
      <c r="AG564" s="194">
        <v>4018</v>
      </c>
      <c r="AH564" s="194">
        <v>1105</v>
      </c>
      <c r="AI564" s="196">
        <f t="shared" ref="AI564:AI569" si="192">AH564+AG564</f>
        <v>5123</v>
      </c>
      <c r="AJ564" s="148"/>
      <c r="AK564" s="70" t="s">
        <v>2106</v>
      </c>
      <c r="AL564" s="70"/>
      <c r="AM564" s="165" t="str">
        <f t="shared" ref="AM564:AM569" si="193">CONCATENATE(B564," ",G564)</f>
        <v>24012 Via Separation</v>
      </c>
      <c r="AN564" s="165" t="str">
        <f t="shared" ref="AN564:AN569" si="194">CONCATENATE(B564," ",G564," : ",N564)</f>
        <v>24012 Via Separation : Package lost on site - Difficulties to identify Shipment from APX - Tagging issue</v>
      </c>
    </row>
    <row r="565" spans="1:40" ht="14.5" hidden="1" x14ac:dyDescent="0.35">
      <c r="A565" s="82"/>
      <c r="B565" s="154">
        <v>24013</v>
      </c>
      <c r="C565" s="113" t="s">
        <v>4</v>
      </c>
      <c r="D565" s="117">
        <v>45356</v>
      </c>
      <c r="E565" s="118" t="s">
        <v>2128</v>
      </c>
      <c r="F565" s="118" t="s">
        <v>164</v>
      </c>
      <c r="G565" s="111" t="s">
        <v>2129</v>
      </c>
      <c r="H565" s="111" t="s">
        <v>870</v>
      </c>
      <c r="I565" s="119" t="s">
        <v>2058</v>
      </c>
      <c r="J565" s="70"/>
      <c r="K565" s="118">
        <v>2155</v>
      </c>
      <c r="L565" s="118">
        <v>18332</v>
      </c>
      <c r="M565" s="147" t="s">
        <v>13</v>
      </c>
      <c r="N565" s="111" t="s">
        <v>2130</v>
      </c>
      <c r="O565" s="111" t="s">
        <v>28</v>
      </c>
      <c r="P565" s="111" t="s">
        <v>103</v>
      </c>
      <c r="Q565" s="70" t="s">
        <v>1026</v>
      </c>
      <c r="R565" s="111" t="s">
        <v>9</v>
      </c>
      <c r="S565" s="111"/>
      <c r="T565" s="70"/>
      <c r="U565" s="74"/>
      <c r="V565" s="158" t="s">
        <v>6</v>
      </c>
      <c r="W565" s="118" t="s">
        <v>319</v>
      </c>
      <c r="X565" s="113">
        <v>45407</v>
      </c>
      <c r="Y565" s="117">
        <f t="shared" si="189"/>
        <v>45448</v>
      </c>
      <c r="Z565" s="187">
        <v>45450</v>
      </c>
      <c r="AA565" s="161" t="str">
        <f t="shared" ca="1" si="190"/>
        <v>NO</v>
      </c>
      <c r="AB565" s="113"/>
      <c r="AC565" s="70"/>
      <c r="AD565" s="70"/>
      <c r="AE565" s="70"/>
      <c r="AF565" s="114" t="str">
        <f t="shared" ca="1" si="191"/>
        <v>N/A</v>
      </c>
      <c r="AG565" s="194">
        <v>1176</v>
      </c>
      <c r="AH565" s="194">
        <v>0</v>
      </c>
      <c r="AI565" s="196">
        <f t="shared" si="192"/>
        <v>1176</v>
      </c>
      <c r="AJ565" s="148"/>
      <c r="AK565" s="70" t="s">
        <v>2144</v>
      </c>
      <c r="AL565" s="70"/>
      <c r="AM565" s="165" t="str">
        <f t="shared" si="193"/>
        <v>24013 Carbocode</v>
      </c>
      <c r="AN565" s="165" t="str">
        <f t="shared" si="194"/>
        <v>24013 Carbocode : Acid/base projection risk when priming dosing pumps</v>
      </c>
    </row>
    <row r="566" spans="1:40" s="114" customFormat="1" ht="14.5" x14ac:dyDescent="0.35">
      <c r="A566" s="82"/>
      <c r="B566" s="154">
        <v>24014</v>
      </c>
      <c r="C566" s="113" t="s">
        <v>8</v>
      </c>
      <c r="D566" s="117">
        <v>45384</v>
      </c>
      <c r="E566" s="118" t="s">
        <v>2086</v>
      </c>
      <c r="F566" s="118" t="s">
        <v>164</v>
      </c>
      <c r="G566" s="111" t="s">
        <v>2134</v>
      </c>
      <c r="H566" s="111" t="s">
        <v>2135</v>
      </c>
      <c r="I566" s="119" t="s">
        <v>2057</v>
      </c>
      <c r="J566" s="70"/>
      <c r="K566" s="118">
        <v>3022</v>
      </c>
      <c r="L566" s="118">
        <v>18448</v>
      </c>
      <c r="M566" s="147" t="s">
        <v>11</v>
      </c>
      <c r="N566" s="111" t="s">
        <v>2136</v>
      </c>
      <c r="O566" s="111" t="s">
        <v>29</v>
      </c>
      <c r="P566" s="111" t="s">
        <v>86</v>
      </c>
      <c r="Q566" s="70" t="s">
        <v>1665</v>
      </c>
      <c r="R566" s="111" t="s">
        <v>87</v>
      </c>
      <c r="S566" s="111"/>
      <c r="T566" s="70"/>
      <c r="U566" s="74"/>
      <c r="V566" s="158" t="s">
        <v>6</v>
      </c>
      <c r="W566" s="118" t="s">
        <v>1965</v>
      </c>
      <c r="X566" s="113">
        <v>45392</v>
      </c>
      <c r="Y566" s="117">
        <f t="shared" si="189"/>
        <v>45475</v>
      </c>
      <c r="Z566" s="187">
        <v>45474</v>
      </c>
      <c r="AA566" s="161" t="str">
        <f t="shared" ca="1" si="190"/>
        <v>YES</v>
      </c>
      <c r="AB566" s="113"/>
      <c r="AC566" s="70"/>
      <c r="AD566" s="70"/>
      <c r="AE566" s="70"/>
      <c r="AF566" s="114" t="str">
        <f t="shared" ca="1" si="191"/>
        <v>N/A</v>
      </c>
      <c r="AG566" s="194">
        <v>5139</v>
      </c>
      <c r="AH566" s="194"/>
      <c r="AI566" s="196">
        <f t="shared" si="192"/>
        <v>5139</v>
      </c>
      <c r="AJ566" s="148"/>
      <c r="AK566" s="70"/>
      <c r="AL566" s="70"/>
      <c r="AM566" s="165" t="str">
        <f t="shared" si="193"/>
        <v>24014 SQ CQ</v>
      </c>
      <c r="AN566" s="165" t="str">
        <f t="shared" si="194"/>
        <v>24014 SQ CQ : Unproper internals manufacturing and installation for SSMB</v>
      </c>
    </row>
    <row r="567" spans="1:40" ht="14.5" hidden="1" x14ac:dyDescent="0.35">
      <c r="A567" s="82"/>
      <c r="B567" s="207">
        <v>24015</v>
      </c>
      <c r="C567" s="208" t="s">
        <v>4</v>
      </c>
      <c r="D567" s="209">
        <v>45399</v>
      </c>
      <c r="E567" s="210" t="s">
        <v>2137</v>
      </c>
      <c r="F567" s="210" t="s">
        <v>420</v>
      </c>
      <c r="G567" s="211" t="s">
        <v>538</v>
      </c>
      <c r="H567" s="217" t="s">
        <v>2138</v>
      </c>
      <c r="I567" s="212" t="s">
        <v>17</v>
      </c>
      <c r="J567" s="73"/>
      <c r="K567" s="210">
        <v>3012</v>
      </c>
      <c r="L567" s="210" t="s">
        <v>2098</v>
      </c>
      <c r="M567" s="213" t="s">
        <v>11</v>
      </c>
      <c r="N567" s="211" t="s">
        <v>2139</v>
      </c>
      <c r="O567" s="211" t="s">
        <v>420</v>
      </c>
      <c r="P567" s="211" t="s">
        <v>80</v>
      </c>
      <c r="Q567" s="73" t="s">
        <v>510</v>
      </c>
      <c r="R567" s="211" t="s">
        <v>9</v>
      </c>
      <c r="S567" s="111"/>
      <c r="T567" s="73"/>
      <c r="U567" s="74"/>
      <c r="V567" s="215" t="s">
        <v>6</v>
      </c>
      <c r="W567" s="210" t="s">
        <v>2137</v>
      </c>
      <c r="X567" s="208">
        <v>45414</v>
      </c>
      <c r="Y567" s="209">
        <f t="shared" si="189"/>
        <v>45490</v>
      </c>
      <c r="Z567" s="221">
        <v>45485</v>
      </c>
      <c r="AA567" s="216" t="str">
        <f t="shared" ca="1" si="190"/>
        <v>YES</v>
      </c>
      <c r="AB567" s="208"/>
      <c r="AC567" s="73"/>
      <c r="AD567" s="73"/>
      <c r="AE567" s="73"/>
      <c r="AF567" s="217" t="str">
        <f t="shared" ca="1" si="191"/>
        <v>N/A</v>
      </c>
      <c r="AG567" s="218">
        <v>2352</v>
      </c>
      <c r="AH567" s="218">
        <v>1383</v>
      </c>
      <c r="AI567" s="222">
        <f t="shared" si="192"/>
        <v>3735</v>
      </c>
      <c r="AJ567" s="219"/>
      <c r="AK567" s="73" t="s">
        <v>2144</v>
      </c>
      <c r="AL567" s="73"/>
      <c r="AM567" s="220" t="str">
        <f t="shared" si="193"/>
        <v>24015 ADM</v>
      </c>
      <c r="AN567" s="220" t="str">
        <f t="shared" si="194"/>
        <v>24015 ADM : Samples shipping issues to US</v>
      </c>
    </row>
    <row r="568" spans="1:40" s="114" customFormat="1" ht="14.5" x14ac:dyDescent="0.35">
      <c r="A568" s="82" t="s">
        <v>1356</v>
      </c>
      <c r="B568" s="154">
        <v>24016</v>
      </c>
      <c r="C568" s="113" t="s">
        <v>8</v>
      </c>
      <c r="D568" s="117">
        <v>45400</v>
      </c>
      <c r="E568" s="118" t="s">
        <v>1745</v>
      </c>
      <c r="F568" s="118" t="s">
        <v>658</v>
      </c>
      <c r="G568" s="111" t="s">
        <v>2140</v>
      </c>
      <c r="H568" s="140" t="s">
        <v>1416</v>
      </c>
      <c r="I568" s="119" t="s">
        <v>5</v>
      </c>
      <c r="J568" s="70"/>
      <c r="K568" s="118">
        <v>3087</v>
      </c>
      <c r="L568" s="118">
        <v>75.240600000000001</v>
      </c>
      <c r="M568" s="147" t="s">
        <v>13</v>
      </c>
      <c r="N568" s="111" t="s">
        <v>2141</v>
      </c>
      <c r="O568" s="111" t="s">
        <v>28</v>
      </c>
      <c r="P568" s="111" t="s">
        <v>103</v>
      </c>
      <c r="Q568" s="70" t="s">
        <v>510</v>
      </c>
      <c r="R568" s="111" t="s">
        <v>12</v>
      </c>
      <c r="S568" s="111"/>
      <c r="T568" s="70"/>
      <c r="U568" s="74"/>
      <c r="V568" s="158" t="s">
        <v>6</v>
      </c>
      <c r="W568" s="118" t="s">
        <v>1745</v>
      </c>
      <c r="X568" s="113">
        <v>45404</v>
      </c>
      <c r="Y568" s="117">
        <f t="shared" si="189"/>
        <v>45491</v>
      </c>
      <c r="Z568" s="187">
        <v>45463</v>
      </c>
      <c r="AA568" s="161" t="str">
        <f t="shared" ca="1" si="190"/>
        <v>YES</v>
      </c>
      <c r="AB568" s="187">
        <v>45388</v>
      </c>
      <c r="AC568" s="187">
        <v>45388</v>
      </c>
      <c r="AD568" s="187">
        <v>45504</v>
      </c>
      <c r="AE568" s="187">
        <v>45463</v>
      </c>
      <c r="AF568" s="114" t="str">
        <f t="shared" ca="1" si="191"/>
        <v>YES</v>
      </c>
      <c r="AG568" s="194">
        <v>1333</v>
      </c>
      <c r="AH568" s="194">
        <v>0</v>
      </c>
      <c r="AI568" s="196">
        <f t="shared" si="192"/>
        <v>1333</v>
      </c>
      <c r="AJ568" s="148"/>
      <c r="AK568" s="70"/>
      <c r="AL568" s="70"/>
      <c r="AM568" s="165" t="str">
        <f t="shared" si="193"/>
        <v>24016 Fufeng Qiqihaer</v>
      </c>
      <c r="AN568" s="165" t="str">
        <f t="shared" si="194"/>
        <v>24016 Fufeng Qiqihaer : Fufeng Qiqihaer- Frozen lysine resin</v>
      </c>
    </row>
    <row r="569" spans="1:40" ht="14.5" hidden="1" x14ac:dyDescent="0.35">
      <c r="A569" s="82"/>
      <c r="B569" s="207">
        <v>24017</v>
      </c>
      <c r="C569" s="208" t="s">
        <v>4</v>
      </c>
      <c r="D569" s="209">
        <v>45400</v>
      </c>
      <c r="E569" s="210" t="s">
        <v>796</v>
      </c>
      <c r="F569" s="210" t="s">
        <v>420</v>
      </c>
      <c r="G569" s="211" t="s">
        <v>2142</v>
      </c>
      <c r="H569" s="211"/>
      <c r="I569" s="212" t="s">
        <v>17</v>
      </c>
      <c r="J569" s="73"/>
      <c r="K569" s="210">
        <v>3079</v>
      </c>
      <c r="L569" s="210"/>
      <c r="M569" s="213" t="s">
        <v>338</v>
      </c>
      <c r="N569" s="211" t="s">
        <v>2143</v>
      </c>
      <c r="O569" s="211" t="s">
        <v>420</v>
      </c>
      <c r="P569" s="211" t="s">
        <v>80</v>
      </c>
      <c r="Q569" s="73" t="s">
        <v>510</v>
      </c>
      <c r="R569" s="211" t="s">
        <v>9</v>
      </c>
      <c r="S569" s="111"/>
      <c r="T569" s="73"/>
      <c r="U569" s="74"/>
      <c r="V569" s="215" t="s">
        <v>6</v>
      </c>
      <c r="W569" s="210" t="s">
        <v>796</v>
      </c>
      <c r="X569" s="208">
        <v>45405</v>
      </c>
      <c r="Y569" s="209">
        <f t="shared" si="189"/>
        <v>45491</v>
      </c>
      <c r="Z569" s="221">
        <v>45485</v>
      </c>
      <c r="AA569" s="216" t="str">
        <f t="shared" ca="1" si="190"/>
        <v>YES</v>
      </c>
      <c r="AB569" s="208"/>
      <c r="AC569" s="73"/>
      <c r="AD569" s="73"/>
      <c r="AE569" s="73"/>
      <c r="AF569" s="217" t="str">
        <f t="shared" ca="1" si="191"/>
        <v>N/A</v>
      </c>
      <c r="AG569" s="218">
        <v>1960</v>
      </c>
      <c r="AH569" s="218">
        <v>0</v>
      </c>
      <c r="AI569" s="222">
        <f t="shared" si="192"/>
        <v>1960</v>
      </c>
      <c r="AJ569" s="219"/>
      <c r="AK569" s="73" t="s">
        <v>2144</v>
      </c>
      <c r="AL569" s="73"/>
      <c r="AM569" s="220" t="str">
        <f t="shared" si="193"/>
        <v>24017 Heliobiosys</v>
      </c>
      <c r="AN569" s="220" t="str">
        <f t="shared" si="194"/>
        <v>24017 Heliobiosys : MF pilot return blocked in customs</v>
      </c>
    </row>
    <row r="570" spans="1:40" ht="14.5" hidden="1" x14ac:dyDescent="0.35">
      <c r="A570" s="82"/>
      <c r="B570" s="154">
        <v>24018</v>
      </c>
      <c r="C570" s="113" t="s">
        <v>4</v>
      </c>
      <c r="D570" s="117">
        <v>45439</v>
      </c>
      <c r="E570" s="118" t="s">
        <v>1046</v>
      </c>
      <c r="F570" s="118" t="s">
        <v>40</v>
      </c>
      <c r="G570" s="111" t="s">
        <v>2072</v>
      </c>
      <c r="H570" s="111"/>
      <c r="I570" s="119" t="s">
        <v>17</v>
      </c>
      <c r="J570" s="70"/>
      <c r="K570" s="118">
        <v>2148</v>
      </c>
      <c r="L570" s="118">
        <v>18201</v>
      </c>
      <c r="M570" s="147" t="s">
        <v>13</v>
      </c>
      <c r="N570" s="111" t="s">
        <v>2145</v>
      </c>
      <c r="O570" s="111" t="s">
        <v>28</v>
      </c>
      <c r="P570" s="111" t="s">
        <v>103</v>
      </c>
      <c r="Q570" s="70" t="s">
        <v>452</v>
      </c>
      <c r="R570" s="111" t="s">
        <v>87</v>
      </c>
      <c r="S570" s="111"/>
      <c r="T570" s="70"/>
      <c r="U570" s="74"/>
      <c r="V570" s="158" t="s">
        <v>10</v>
      </c>
      <c r="W570" s="118"/>
      <c r="X570" s="113"/>
      <c r="Y570" s="117">
        <f t="shared" ref="Y570:Y575" si="195">EDATE(D570,3)</f>
        <v>45531</v>
      </c>
      <c r="Z570" s="187">
        <v>45506</v>
      </c>
      <c r="AA570" s="161" t="str">
        <f t="shared" ref="AA570:AA575" ca="1" si="196">IF(Z570="",IF(TODAY()&gt;Y570,"NO","YES"),IF(Z570&gt;Y570,"NO",IF(Z570&lt;Y570,"YES",IF(Y570=Z570,"YES","N/A"))))</f>
        <v>YES</v>
      </c>
      <c r="AB570" s="113"/>
      <c r="AC570" s="70"/>
      <c r="AD570" s="70"/>
      <c r="AE570" s="70"/>
      <c r="AF570" s="114" t="str">
        <f t="shared" ref="AF570:AF575" ca="1" si="197">IF(I570="Claim",IF(AD570="","",IF(AE570="",IF(TODAY()&gt;AD570,"NO","YES"),IF(AE570&gt;AD570,"NO",IF(AE570&lt;AD570,"YES",IF(AD570=AE570,"YES","N/A"))))),"N/A")</f>
        <v>N/A</v>
      </c>
      <c r="AG570" s="194">
        <v>392</v>
      </c>
      <c r="AH570" s="194">
        <v>0</v>
      </c>
      <c r="AI570" s="196">
        <f t="shared" ref="AI570:AI575" si="198">AH570+AG570</f>
        <v>392</v>
      </c>
      <c r="AJ570" s="148"/>
      <c r="AK570" s="70" t="s">
        <v>2144</v>
      </c>
      <c r="AL570" s="70"/>
      <c r="AM570" s="165" t="str">
        <f t="shared" ref="AM570:AM575" si="199">CONCATENATE(B570," ",G570)</f>
        <v>24018 COPAM</v>
      </c>
      <c r="AN570" s="165" t="str">
        <f t="shared" ref="AN570:AN575" si="200">CONCATENATE(B570," ",G570," : ",N570)</f>
        <v>24018 COPAM : Resin loss on demineralization unit L1</v>
      </c>
    </row>
    <row r="571" spans="1:40" s="114" customFormat="1" ht="14.5" x14ac:dyDescent="0.35">
      <c r="A571" s="82"/>
      <c r="B571" s="154">
        <v>24019</v>
      </c>
      <c r="C571" s="113" t="s">
        <v>8</v>
      </c>
      <c r="D571" s="117">
        <v>45454</v>
      </c>
      <c r="E571" s="118" t="s">
        <v>2146</v>
      </c>
      <c r="F571" s="118" t="s">
        <v>164</v>
      </c>
      <c r="G571" s="111" t="s">
        <v>2084</v>
      </c>
      <c r="H571" s="111" t="s">
        <v>433</v>
      </c>
      <c r="I571" s="119" t="s">
        <v>5</v>
      </c>
      <c r="J571" s="70"/>
      <c r="K571" s="118">
        <v>2128</v>
      </c>
      <c r="L571" s="118">
        <v>17951</v>
      </c>
      <c r="M571" s="147" t="s">
        <v>13</v>
      </c>
      <c r="N571" s="111" t="s">
        <v>2147</v>
      </c>
      <c r="O571" s="111" t="s">
        <v>29</v>
      </c>
      <c r="P571" s="111" t="s">
        <v>86</v>
      </c>
      <c r="Q571" s="70" t="s">
        <v>1026</v>
      </c>
      <c r="R571" s="111" t="s">
        <v>87</v>
      </c>
      <c r="S571" s="111"/>
      <c r="T571" s="70"/>
      <c r="U571" s="74"/>
      <c r="V571" s="158" t="s">
        <v>6</v>
      </c>
      <c r="W571" s="118" t="s">
        <v>2146</v>
      </c>
      <c r="X571" s="113">
        <v>45467</v>
      </c>
      <c r="Y571" s="117">
        <f t="shared" si="195"/>
        <v>45546</v>
      </c>
      <c r="Z571" s="187">
        <v>45540</v>
      </c>
      <c r="AA571" s="161" t="str">
        <f t="shared" ca="1" si="196"/>
        <v>YES</v>
      </c>
      <c r="AB571" s="113">
        <v>45409</v>
      </c>
      <c r="AC571" s="187">
        <v>45410</v>
      </c>
      <c r="AD571" s="187">
        <v>45565</v>
      </c>
      <c r="AE571" s="187">
        <v>45540</v>
      </c>
      <c r="AF571" s="114" t="str">
        <f t="shared" ca="1" si="197"/>
        <v>YES</v>
      </c>
      <c r="AG571" s="194">
        <v>500</v>
      </c>
      <c r="AH571" s="194"/>
      <c r="AI571" s="196">
        <f t="shared" si="198"/>
        <v>500</v>
      </c>
      <c r="AJ571" s="148"/>
      <c r="AK571" s="70" t="s">
        <v>2144</v>
      </c>
      <c r="AL571" s="70"/>
      <c r="AM571" s="165" t="str">
        <f t="shared" si="199"/>
        <v>24019 SQ Nansha</v>
      </c>
      <c r="AN571" s="165" t="str">
        <f t="shared" si="200"/>
        <v>24019 SQ Nansha : SQ20 F55MB CL6510  Rubber Lining Issue of Insert Tube</v>
      </c>
    </row>
    <row r="572" spans="1:40" ht="14.5" hidden="1" x14ac:dyDescent="0.35">
      <c r="A572" s="82"/>
      <c r="B572" s="154">
        <v>24020</v>
      </c>
      <c r="C572" s="113" t="s">
        <v>4</v>
      </c>
      <c r="D572" s="117">
        <v>45460</v>
      </c>
      <c r="E572" s="118" t="s">
        <v>2148</v>
      </c>
      <c r="F572" s="118" t="s">
        <v>658</v>
      </c>
      <c r="G572" s="111" t="s">
        <v>380</v>
      </c>
      <c r="H572" s="111" t="s">
        <v>972</v>
      </c>
      <c r="I572" s="119" t="s">
        <v>5</v>
      </c>
      <c r="J572" s="70"/>
      <c r="K572" s="118"/>
      <c r="L572" s="114" t="s">
        <v>2149</v>
      </c>
      <c r="M572" s="147" t="s">
        <v>7</v>
      </c>
      <c r="N572" s="111" t="s">
        <v>2150</v>
      </c>
      <c r="O572" s="111" t="s">
        <v>28</v>
      </c>
      <c r="P572" s="111" t="s">
        <v>103</v>
      </c>
      <c r="Q572" s="70" t="s">
        <v>176</v>
      </c>
      <c r="R572" s="111" t="s">
        <v>145</v>
      </c>
      <c r="S572" s="111"/>
      <c r="T572" s="70"/>
      <c r="U572" s="70"/>
      <c r="V572" s="158" t="s">
        <v>10</v>
      </c>
      <c r="W572" s="118"/>
      <c r="X572" s="113"/>
      <c r="Y572" s="117">
        <f t="shared" si="195"/>
        <v>45552</v>
      </c>
      <c r="Z572" s="187">
        <v>45566</v>
      </c>
      <c r="AA572" s="161" t="str">
        <f t="shared" ca="1" si="196"/>
        <v>NO</v>
      </c>
      <c r="AB572" s="113">
        <v>45174</v>
      </c>
      <c r="AC572" s="187">
        <v>45188</v>
      </c>
      <c r="AD572" s="187">
        <v>45626</v>
      </c>
      <c r="AE572" s="187">
        <v>45566</v>
      </c>
      <c r="AF572" s="114" t="str">
        <f t="shared" ca="1" si="197"/>
        <v>YES</v>
      </c>
      <c r="AG572" s="194">
        <v>980</v>
      </c>
      <c r="AH572" s="194">
        <v>10732</v>
      </c>
      <c r="AI572" s="196">
        <f t="shared" si="198"/>
        <v>11712</v>
      </c>
      <c r="AJ572" s="148"/>
      <c r="AK572" s="70" t="s">
        <v>2182</v>
      </c>
      <c r="AL572" s="70"/>
      <c r="AM572" s="165" t="str">
        <f t="shared" si="199"/>
        <v>24020 Prolactal</v>
      </c>
      <c r="AN572" s="165" t="str">
        <f t="shared" si="200"/>
        <v>24020 Prolactal : non payment of invoice, low life of electrodes</v>
      </c>
    </row>
    <row r="573" spans="1:40" ht="14.5" hidden="1" x14ac:dyDescent="0.35">
      <c r="A573" s="82"/>
      <c r="B573" s="154">
        <v>24021</v>
      </c>
      <c r="C573" s="113" t="s">
        <v>4</v>
      </c>
      <c r="D573" s="117">
        <v>45462</v>
      </c>
      <c r="E573" s="118" t="s">
        <v>2148</v>
      </c>
      <c r="F573" s="118" t="s">
        <v>658</v>
      </c>
      <c r="G573" s="111" t="s">
        <v>538</v>
      </c>
      <c r="H573" s="111" t="s">
        <v>1833</v>
      </c>
      <c r="I573" s="119" t="s">
        <v>5</v>
      </c>
      <c r="J573" s="70"/>
      <c r="K573" s="118"/>
      <c r="L573" s="114" t="s">
        <v>2151</v>
      </c>
      <c r="M573" s="147" t="s">
        <v>11</v>
      </c>
      <c r="N573" s="111" t="s">
        <v>2152</v>
      </c>
      <c r="O573" s="111" t="s">
        <v>28</v>
      </c>
      <c r="P573" s="111" t="s">
        <v>103</v>
      </c>
      <c r="Q573" s="70" t="s">
        <v>2153</v>
      </c>
      <c r="R573" s="111" t="s">
        <v>9</v>
      </c>
      <c r="S573" s="111"/>
      <c r="T573" s="70"/>
      <c r="U573" s="74"/>
      <c r="V573" s="158" t="s">
        <v>6</v>
      </c>
      <c r="W573" s="118" t="s">
        <v>1871</v>
      </c>
      <c r="X573" s="113">
        <v>45467</v>
      </c>
      <c r="Y573" s="117">
        <f t="shared" si="195"/>
        <v>45554</v>
      </c>
      <c r="Z573" s="187">
        <v>45544</v>
      </c>
      <c r="AA573" s="161" t="str">
        <f t="shared" ca="1" si="196"/>
        <v>YES</v>
      </c>
      <c r="AB573" s="113">
        <v>45450</v>
      </c>
      <c r="AC573" s="187">
        <v>45450</v>
      </c>
      <c r="AD573" s="187">
        <v>45596</v>
      </c>
      <c r="AE573" s="187">
        <v>45544</v>
      </c>
      <c r="AF573" s="114" t="str">
        <f t="shared" ca="1" si="197"/>
        <v>YES</v>
      </c>
      <c r="AG573" s="194">
        <v>588</v>
      </c>
      <c r="AH573" s="194">
        <v>0</v>
      </c>
      <c r="AI573" s="196">
        <f t="shared" si="198"/>
        <v>588</v>
      </c>
      <c r="AJ573" s="148"/>
      <c r="AK573" s="70" t="s">
        <v>2179</v>
      </c>
      <c r="AL573" s="70"/>
      <c r="AM573" s="165" t="str">
        <f t="shared" si="199"/>
        <v>24021 ADM</v>
      </c>
      <c r="AN573" s="165" t="str">
        <f t="shared" si="200"/>
        <v xml:space="preserve">24021 ADM : Strainers order - Delivery without ATR document </v>
      </c>
    </row>
    <row r="574" spans="1:40" s="114" customFormat="1" ht="14.5" x14ac:dyDescent="0.35">
      <c r="A574" s="82"/>
      <c r="B574" s="154">
        <v>24022</v>
      </c>
      <c r="C574" s="113" t="s">
        <v>8</v>
      </c>
      <c r="D574" s="117">
        <v>45463</v>
      </c>
      <c r="E574" s="118" t="s">
        <v>1854</v>
      </c>
      <c r="F574" s="118" t="s">
        <v>164</v>
      </c>
      <c r="G574" s="111" t="s">
        <v>2154</v>
      </c>
      <c r="H574" s="111"/>
      <c r="I574" s="119" t="s">
        <v>2057</v>
      </c>
      <c r="J574" s="70"/>
      <c r="K574" s="118">
        <v>3123</v>
      </c>
      <c r="L574" s="118">
        <v>18323</v>
      </c>
      <c r="M574" s="147" t="s">
        <v>11</v>
      </c>
      <c r="N574" s="111" t="s">
        <v>2155</v>
      </c>
      <c r="O574" s="111" t="s">
        <v>29</v>
      </c>
      <c r="P574" s="111" t="s">
        <v>86</v>
      </c>
      <c r="Q574" s="70" t="s">
        <v>2177</v>
      </c>
      <c r="R574" s="111" t="s">
        <v>2031</v>
      </c>
      <c r="S574" s="111"/>
      <c r="T574" s="70"/>
      <c r="U574" s="74"/>
      <c r="V574" s="158" t="s">
        <v>6</v>
      </c>
      <c r="W574" s="118" t="s">
        <v>1854</v>
      </c>
      <c r="X574" s="113">
        <v>45470</v>
      </c>
      <c r="Y574" s="117">
        <f t="shared" si="195"/>
        <v>45555</v>
      </c>
      <c r="Z574" s="187">
        <v>45554</v>
      </c>
      <c r="AA574" s="161" t="str">
        <f t="shared" ca="1" si="196"/>
        <v>YES</v>
      </c>
      <c r="AB574" s="113"/>
      <c r="AC574" s="70"/>
      <c r="AD574" s="70"/>
      <c r="AE574" s="70"/>
      <c r="AF574" s="114" t="str">
        <f t="shared" ca="1" si="197"/>
        <v>N/A</v>
      </c>
      <c r="AG574" s="194">
        <v>250</v>
      </c>
      <c r="AH574" s="194">
        <v>0</v>
      </c>
      <c r="AI574" s="196">
        <f t="shared" si="198"/>
        <v>250</v>
      </c>
      <c r="AJ574" s="148"/>
      <c r="AK574" s="70" t="s">
        <v>2179</v>
      </c>
      <c r="AL574" s="70"/>
      <c r="AM574" s="165" t="str">
        <f t="shared" si="199"/>
        <v>24022 Huaantang</v>
      </c>
      <c r="AN574" s="165" t="str">
        <f t="shared" si="200"/>
        <v>24022 Huaantang : Functional Analysis assignement and workload France-Asia</v>
      </c>
    </row>
    <row r="575" spans="1:40" ht="14.5" hidden="1" x14ac:dyDescent="0.35">
      <c r="A575" s="82"/>
      <c r="B575" s="154">
        <v>24023</v>
      </c>
      <c r="C575" s="113" t="s">
        <v>4</v>
      </c>
      <c r="D575" s="117">
        <v>45476</v>
      </c>
      <c r="E575" s="118" t="s">
        <v>2156</v>
      </c>
      <c r="F575" s="118" t="s">
        <v>164</v>
      </c>
      <c r="G575" s="111" t="s">
        <v>2161</v>
      </c>
      <c r="H575" s="111" t="s">
        <v>433</v>
      </c>
      <c r="I575" s="119" t="s">
        <v>5</v>
      </c>
      <c r="J575" s="70"/>
      <c r="K575" s="145">
        <v>2048</v>
      </c>
      <c r="L575" s="118">
        <v>12194</v>
      </c>
      <c r="M575" s="147" t="s">
        <v>2067</v>
      </c>
      <c r="N575" s="111" t="s">
        <v>2157</v>
      </c>
      <c r="O575" s="111" t="s">
        <v>29</v>
      </c>
      <c r="P575" s="111" t="s">
        <v>86</v>
      </c>
      <c r="Q575" s="70" t="s">
        <v>452</v>
      </c>
      <c r="R575" s="111" t="s">
        <v>145</v>
      </c>
      <c r="S575" s="111"/>
      <c r="T575" s="70"/>
      <c r="U575" s="74"/>
      <c r="V575" s="158" t="s">
        <v>6</v>
      </c>
      <c r="W575" s="118" t="s">
        <v>2156</v>
      </c>
      <c r="X575" s="113">
        <v>45481</v>
      </c>
      <c r="Y575" s="117">
        <f t="shared" si="195"/>
        <v>45568</v>
      </c>
      <c r="Z575" s="187">
        <v>45544</v>
      </c>
      <c r="AA575" s="161" t="str">
        <f t="shared" ca="1" si="196"/>
        <v>YES</v>
      </c>
      <c r="AB575" s="113">
        <v>45302</v>
      </c>
      <c r="AC575" s="187">
        <v>45302</v>
      </c>
      <c r="AD575" s="187">
        <v>45596</v>
      </c>
      <c r="AE575" s="187">
        <v>45544</v>
      </c>
      <c r="AF575" s="114" t="str">
        <f t="shared" ca="1" si="197"/>
        <v>YES</v>
      </c>
      <c r="AG575" s="194">
        <v>5880</v>
      </c>
      <c r="AH575" s="194">
        <v>4599</v>
      </c>
      <c r="AI575" s="196">
        <f t="shared" si="198"/>
        <v>10479</v>
      </c>
      <c r="AJ575" s="148"/>
      <c r="AK575" s="70" t="s">
        <v>2179</v>
      </c>
      <c r="AL575" s="70"/>
      <c r="AM575" s="165" t="str">
        <f t="shared" si="199"/>
        <v>24023 ADM Lysine</v>
      </c>
      <c r="AN575" s="165" t="str">
        <f t="shared" si="200"/>
        <v xml:space="preserve">24023 ADM Lysine : Rubber lining failure of IEXc columns </v>
      </c>
    </row>
    <row r="576" spans="1:40" ht="14.5" hidden="1" x14ac:dyDescent="0.35">
      <c r="A576" s="82"/>
      <c r="B576" s="96">
        <v>24024</v>
      </c>
      <c r="C576" s="81" t="s">
        <v>4</v>
      </c>
      <c r="D576" s="97">
        <v>45478</v>
      </c>
      <c r="E576" s="67" t="s">
        <v>1907</v>
      </c>
      <c r="F576" s="67" t="s">
        <v>164</v>
      </c>
      <c r="G576" s="68" t="s">
        <v>1558</v>
      </c>
      <c r="H576" s="68" t="s">
        <v>2169</v>
      </c>
      <c r="I576" s="99" t="s">
        <v>5</v>
      </c>
      <c r="J576" s="74"/>
      <c r="K576" s="67">
        <v>2159</v>
      </c>
      <c r="L576" s="67">
        <v>18307</v>
      </c>
      <c r="M576" s="80" t="s">
        <v>672</v>
      </c>
      <c r="N576" s="68" t="s">
        <v>2174</v>
      </c>
      <c r="O576" s="68" t="s">
        <v>29</v>
      </c>
      <c r="P576" s="68" t="s">
        <v>86</v>
      </c>
      <c r="Q576" s="74" t="s">
        <v>916</v>
      </c>
      <c r="R576" s="68" t="s">
        <v>9</v>
      </c>
      <c r="S576" s="68"/>
      <c r="T576" s="252" t="s">
        <v>92</v>
      </c>
      <c r="U576" s="74"/>
      <c r="V576" s="79" t="s">
        <v>6</v>
      </c>
      <c r="W576" s="67" t="s">
        <v>1907</v>
      </c>
      <c r="X576" s="81">
        <v>45482</v>
      </c>
      <c r="Y576" s="110">
        <f t="shared" ref="Y576:Y581" si="201">EDATE(D576,3)</f>
        <v>45570</v>
      </c>
      <c r="Z576" s="74"/>
      <c r="AA576" s="106" t="str">
        <f t="shared" ref="AA576:AA581" ca="1" si="202">IF(Z576="",IF(TODAY()&gt;Y576,"NO","YES"),IF(Z576&gt;Y576,"NO",IF(Z576&lt;Y576,"YES",IF(Y576=Z576,"YES","N/A"))))</f>
        <v>NO</v>
      </c>
      <c r="AB576" s="81">
        <v>45472</v>
      </c>
      <c r="AC576" s="109">
        <v>45474</v>
      </c>
      <c r="AD576" s="109">
        <v>45657</v>
      </c>
      <c r="AE576" s="74"/>
      <c r="AF576" s="62" t="str">
        <f t="shared" ref="AF576:AF581" ca="1" si="203">IF(I576="Claim",IF(AD576="","",IF(AE576="",IF(TODAY()&gt;AD576,"NO","YES"),IF(AE576&gt;AD576,"NO",IF(AE576&lt;AD576,"YES",IF(AD576=AE576,"YES","N/A"))))),"N/A")</f>
        <v>NO</v>
      </c>
      <c r="AG576" s="104"/>
      <c r="AH576" s="104"/>
      <c r="AI576" s="107">
        <f t="shared" ref="AI576:AI581" si="204">AH576+AG576</f>
        <v>0</v>
      </c>
      <c r="AJ576" s="105"/>
      <c r="AK576" s="74"/>
      <c r="AL576" s="74"/>
      <c r="AM576" s="108" t="str">
        <f t="shared" ref="AM576:AM581" si="205">CONCATENATE(B576," ",G576)</f>
        <v>24024 Etihad</v>
      </c>
      <c r="AN576" s="108" t="str">
        <f t="shared" ref="AN576:AN581" si="206">CONCATENATE(B576," ",G576," : ",N576)</f>
        <v>24024 Etihad : Piping defects and lack of documentation</v>
      </c>
    </row>
    <row r="577" spans="1:40" ht="14.5" hidden="1" x14ac:dyDescent="0.35">
      <c r="A577" s="82"/>
      <c r="B577" s="96">
        <v>24025</v>
      </c>
      <c r="C577" s="81" t="s">
        <v>4</v>
      </c>
      <c r="D577" s="97">
        <v>45478</v>
      </c>
      <c r="E577" s="67" t="s">
        <v>864</v>
      </c>
      <c r="F577" s="67" t="s">
        <v>164</v>
      </c>
      <c r="G577" s="68" t="s">
        <v>1927</v>
      </c>
      <c r="H577" s="68" t="s">
        <v>1659</v>
      </c>
      <c r="I577" s="99" t="s">
        <v>5</v>
      </c>
      <c r="J577" s="74"/>
      <c r="K577" s="67">
        <v>2066</v>
      </c>
      <c r="L577" s="67">
        <v>13829</v>
      </c>
      <c r="M577" s="80" t="s">
        <v>2067</v>
      </c>
      <c r="N577" s="68" t="s">
        <v>2158</v>
      </c>
      <c r="O577" s="68" t="s">
        <v>29</v>
      </c>
      <c r="P577" s="68" t="s">
        <v>86</v>
      </c>
      <c r="Q577" s="74" t="s">
        <v>916</v>
      </c>
      <c r="R577" s="68" t="s">
        <v>145</v>
      </c>
      <c r="S577" s="68"/>
      <c r="T577" s="251" t="s">
        <v>1659</v>
      </c>
      <c r="U577" s="74"/>
      <c r="V577" s="79" t="s">
        <v>6</v>
      </c>
      <c r="W577" s="67" t="s">
        <v>2160</v>
      </c>
      <c r="X577" s="81">
        <v>45484</v>
      </c>
      <c r="Y577" s="110">
        <f t="shared" si="201"/>
        <v>45570</v>
      </c>
      <c r="Z577" s="74"/>
      <c r="AA577" s="106" t="str">
        <f t="shared" ca="1" si="202"/>
        <v>NO</v>
      </c>
      <c r="AB577" s="81">
        <v>45422</v>
      </c>
      <c r="AC577" s="109">
        <v>45446</v>
      </c>
      <c r="AD577" s="109">
        <v>45657</v>
      </c>
      <c r="AE577" s="74"/>
      <c r="AF577" s="62" t="str">
        <f t="shared" ca="1" si="203"/>
        <v>NO</v>
      </c>
      <c r="AG577" s="104"/>
      <c r="AH577" s="104"/>
      <c r="AI577" s="107">
        <f t="shared" si="204"/>
        <v>0</v>
      </c>
      <c r="AJ577" s="105"/>
      <c r="AK577" s="74"/>
      <c r="AL577" s="74"/>
      <c r="AM577" s="108" t="str">
        <f t="shared" si="205"/>
        <v>24025 Beneo Chili</v>
      </c>
      <c r="AN577" s="108" t="str">
        <f t="shared" si="206"/>
        <v xml:space="preserve">24025 Beneo Chili : Leaks on 3 pumps bodies KSB </v>
      </c>
    </row>
    <row r="578" spans="1:40" ht="14.5" hidden="1" x14ac:dyDescent="0.35">
      <c r="A578" s="82"/>
      <c r="B578" s="154">
        <v>24026</v>
      </c>
      <c r="C578" s="113" t="s">
        <v>4</v>
      </c>
      <c r="D578" s="117">
        <v>45483</v>
      </c>
      <c r="E578" s="118" t="s">
        <v>1575</v>
      </c>
      <c r="F578" s="118" t="s">
        <v>658</v>
      </c>
      <c r="G578" s="111" t="s">
        <v>1849</v>
      </c>
      <c r="H578" s="111" t="s">
        <v>1850</v>
      </c>
      <c r="I578" s="119" t="s">
        <v>2057</v>
      </c>
      <c r="J578" s="70"/>
      <c r="K578" s="118" t="s">
        <v>1911</v>
      </c>
      <c r="L578" s="118">
        <v>18021</v>
      </c>
      <c r="M578" s="147" t="s">
        <v>13</v>
      </c>
      <c r="N578" s="111" t="s">
        <v>2159</v>
      </c>
      <c r="O578" s="111" t="s">
        <v>28</v>
      </c>
      <c r="P578" s="111" t="s">
        <v>103</v>
      </c>
      <c r="Q578" s="70" t="s">
        <v>2178</v>
      </c>
      <c r="R578" s="111" t="s">
        <v>9</v>
      </c>
      <c r="S578" s="111"/>
      <c r="T578" s="70"/>
      <c r="U578" s="74"/>
      <c r="V578" s="158" t="s">
        <v>10</v>
      </c>
      <c r="W578" s="118"/>
      <c r="X578" s="113"/>
      <c r="Y578" s="117">
        <f t="shared" si="201"/>
        <v>45575</v>
      </c>
      <c r="Z578" s="187">
        <v>45572</v>
      </c>
      <c r="AA578" s="161" t="str">
        <f t="shared" ca="1" si="202"/>
        <v>YES</v>
      </c>
      <c r="AB578" s="113"/>
      <c r="AC578" s="70"/>
      <c r="AD578" s="70"/>
      <c r="AE578" s="70"/>
      <c r="AF578" s="114" t="str">
        <f t="shared" ca="1" si="203"/>
        <v>N/A</v>
      </c>
      <c r="AG578" s="194">
        <v>0</v>
      </c>
      <c r="AH578" s="194">
        <v>0</v>
      </c>
      <c r="AI578" s="196">
        <f t="shared" si="204"/>
        <v>0</v>
      </c>
      <c r="AJ578" s="148"/>
      <c r="AK578" s="70" t="s">
        <v>2188</v>
      </c>
      <c r="AL578" s="70"/>
      <c r="AM578" s="165" t="str">
        <f t="shared" si="205"/>
        <v>24026 Beneo Oreye</v>
      </c>
      <c r="AN578" s="165" t="str">
        <f t="shared" si="206"/>
        <v>24026 Beneo Oreye : Internal network anomaly</v>
      </c>
    </row>
    <row r="579" spans="1:40" ht="14.5" hidden="1" x14ac:dyDescent="0.35">
      <c r="A579" s="82"/>
      <c r="B579" s="154">
        <v>24027</v>
      </c>
      <c r="C579" s="113" t="s">
        <v>4</v>
      </c>
      <c r="D579" s="117">
        <v>45488</v>
      </c>
      <c r="E579" s="118" t="s">
        <v>1907</v>
      </c>
      <c r="F579" s="118" t="s">
        <v>164</v>
      </c>
      <c r="G579" s="111" t="s">
        <v>2162</v>
      </c>
      <c r="H579" s="111" t="s">
        <v>1861</v>
      </c>
      <c r="I579" s="119" t="s">
        <v>2056</v>
      </c>
      <c r="J579" s="70"/>
      <c r="K579" s="118">
        <v>3096</v>
      </c>
      <c r="L579" s="118">
        <v>16242</v>
      </c>
      <c r="M579" s="147"/>
      <c r="N579" s="111" t="s">
        <v>2163</v>
      </c>
      <c r="O579" s="111" t="s">
        <v>29</v>
      </c>
      <c r="P579" s="111" t="s">
        <v>86</v>
      </c>
      <c r="Q579" s="70" t="s">
        <v>885</v>
      </c>
      <c r="R579" s="111" t="s">
        <v>9</v>
      </c>
      <c r="S579" s="111"/>
      <c r="T579" s="70"/>
      <c r="U579" s="74"/>
      <c r="V579" s="158" t="s">
        <v>6</v>
      </c>
      <c r="W579" s="118" t="s">
        <v>319</v>
      </c>
      <c r="X579" s="113">
        <v>45491</v>
      </c>
      <c r="Y579" s="117">
        <f t="shared" si="201"/>
        <v>45580</v>
      </c>
      <c r="Z579" s="187">
        <v>45576</v>
      </c>
      <c r="AA579" s="161" t="str">
        <f t="shared" ca="1" si="202"/>
        <v>YES</v>
      </c>
      <c r="AB579" s="113"/>
      <c r="AC579" s="70"/>
      <c r="AD579" s="70"/>
      <c r="AE579" s="70"/>
      <c r="AF579" s="114" t="str">
        <f t="shared" ca="1" si="203"/>
        <v>N/A</v>
      </c>
      <c r="AG579" s="194">
        <v>3038</v>
      </c>
      <c r="AH579" s="194">
        <v>2151</v>
      </c>
      <c r="AI579" s="196">
        <f t="shared" si="204"/>
        <v>5189</v>
      </c>
      <c r="AJ579" s="148"/>
      <c r="AK579" s="70" t="s">
        <v>2189</v>
      </c>
      <c r="AL579" s="70"/>
      <c r="AM579" s="165" t="str">
        <f t="shared" si="205"/>
        <v>24027 BMA Angola</v>
      </c>
      <c r="AN579" s="165" t="str">
        <f t="shared" si="206"/>
        <v>24027 BMA Angola : Design error for sand filter and linked nozzles</v>
      </c>
    </row>
    <row r="580" spans="1:40" ht="14.5" hidden="1" x14ac:dyDescent="0.35">
      <c r="A580" s="82"/>
      <c r="B580" s="154">
        <v>24028</v>
      </c>
      <c r="C580" s="113" t="s">
        <v>2167</v>
      </c>
      <c r="D580" s="117">
        <v>45491</v>
      </c>
      <c r="E580" s="118" t="s">
        <v>2164</v>
      </c>
      <c r="F580" s="118" t="s">
        <v>658</v>
      </c>
      <c r="G580" s="111" t="s">
        <v>2165</v>
      </c>
      <c r="H580" s="111" t="s">
        <v>2170</v>
      </c>
      <c r="I580" s="119" t="s">
        <v>5</v>
      </c>
      <c r="J580" s="70"/>
      <c r="K580" s="118"/>
      <c r="L580" s="118" t="s">
        <v>2171</v>
      </c>
      <c r="M580" s="147" t="s">
        <v>13</v>
      </c>
      <c r="N580" s="111" t="s">
        <v>2166</v>
      </c>
      <c r="O580" s="111" t="s">
        <v>28</v>
      </c>
      <c r="P580" s="111" t="s">
        <v>103</v>
      </c>
      <c r="Q580" s="70" t="s">
        <v>176</v>
      </c>
      <c r="R580" s="111" t="s">
        <v>145</v>
      </c>
      <c r="S580" s="111"/>
      <c r="T580" s="70"/>
      <c r="U580" s="74"/>
      <c r="V580" s="158" t="s">
        <v>6</v>
      </c>
      <c r="W580" s="118" t="s">
        <v>221</v>
      </c>
      <c r="X580" s="113">
        <v>45490</v>
      </c>
      <c r="Y580" s="117">
        <f t="shared" si="201"/>
        <v>45583</v>
      </c>
      <c r="Z580" s="187">
        <v>45580</v>
      </c>
      <c r="AA580" s="161" t="str">
        <f t="shared" ca="1" si="202"/>
        <v>YES</v>
      </c>
      <c r="AB580" s="113">
        <v>45484</v>
      </c>
      <c r="AC580" s="187">
        <v>45491</v>
      </c>
      <c r="AD580" s="187">
        <v>45596</v>
      </c>
      <c r="AE580" s="187">
        <v>45580</v>
      </c>
      <c r="AF580" s="114" t="str">
        <f t="shared" ca="1" si="203"/>
        <v>YES</v>
      </c>
      <c r="AG580" s="194">
        <v>712</v>
      </c>
      <c r="AH580" s="194">
        <v>0</v>
      </c>
      <c r="AI580" s="196">
        <f t="shared" si="204"/>
        <v>712</v>
      </c>
      <c r="AJ580" s="148"/>
      <c r="AK580" s="70" t="s">
        <v>2188</v>
      </c>
      <c r="AL580" s="70"/>
      <c r="AM580" s="165" t="str">
        <f t="shared" si="205"/>
        <v>24028 Casa Grande</v>
      </c>
      <c r="AN580" s="165" t="str">
        <f t="shared" si="206"/>
        <v xml:space="preserve">24028 Casa Grande : Strong smell from IEX </v>
      </c>
    </row>
    <row r="581" spans="1:40" ht="14.5" hidden="1" x14ac:dyDescent="0.35">
      <c r="A581" s="82"/>
      <c r="B581" s="154">
        <v>24029</v>
      </c>
      <c r="C581" s="113" t="s">
        <v>4</v>
      </c>
      <c r="D581" s="117">
        <v>45497</v>
      </c>
      <c r="E581" s="118" t="s">
        <v>2156</v>
      </c>
      <c r="F581" s="118" t="s">
        <v>164</v>
      </c>
      <c r="G581" s="111" t="s">
        <v>2077</v>
      </c>
      <c r="H581" s="124" t="s">
        <v>858</v>
      </c>
      <c r="I581" s="119" t="s">
        <v>5</v>
      </c>
      <c r="J581" s="70"/>
      <c r="K581" s="118">
        <v>2153</v>
      </c>
      <c r="L581" s="118">
        <v>18336</v>
      </c>
      <c r="M581" s="147"/>
      <c r="N581" s="111" t="s">
        <v>2168</v>
      </c>
      <c r="O581" s="248" t="s">
        <v>29</v>
      </c>
      <c r="P581" s="248" t="s">
        <v>86</v>
      </c>
      <c r="Q581" s="74" t="s">
        <v>916</v>
      </c>
      <c r="R581" s="111" t="s">
        <v>145</v>
      </c>
      <c r="S581" s="124"/>
      <c r="T581" s="112" t="s">
        <v>858</v>
      </c>
      <c r="U581" s="148"/>
      <c r="V581" s="158" t="s">
        <v>6</v>
      </c>
      <c r="W581" s="118" t="s">
        <v>2156</v>
      </c>
      <c r="X581" s="113">
        <v>45498</v>
      </c>
      <c r="Y581" s="117">
        <f t="shared" si="201"/>
        <v>45589</v>
      </c>
      <c r="Z581" s="187">
        <v>45618</v>
      </c>
      <c r="AA581" s="161" t="str">
        <f t="shared" ca="1" si="202"/>
        <v>NO</v>
      </c>
      <c r="AB581" s="113">
        <v>45495</v>
      </c>
      <c r="AC581" s="187">
        <v>45499</v>
      </c>
      <c r="AD581" s="187">
        <v>45657</v>
      </c>
      <c r="AE581" s="257">
        <v>45618</v>
      </c>
      <c r="AF581" s="114" t="str">
        <f t="shared" ca="1" si="203"/>
        <v>YES</v>
      </c>
      <c r="AG581" s="194">
        <v>980</v>
      </c>
      <c r="AH581" s="194">
        <v>36394</v>
      </c>
      <c r="AI581" s="196">
        <f t="shared" si="204"/>
        <v>37374</v>
      </c>
      <c r="AJ581" s="148"/>
      <c r="AK581" s="70" t="s">
        <v>2182</v>
      </c>
      <c r="AL581" s="148"/>
      <c r="AM581" s="165" t="str">
        <f t="shared" si="205"/>
        <v>24029 Via Separation</v>
      </c>
      <c r="AN581" s="250" t="str">
        <f t="shared" si="206"/>
        <v>24029 Via Separation : Bray valves damage</v>
      </c>
    </row>
    <row r="582" spans="1:40" ht="14.5" x14ac:dyDescent="0.35">
      <c r="A582" s="82"/>
      <c r="B582" s="96">
        <v>24030</v>
      </c>
      <c r="C582" s="81" t="s">
        <v>8</v>
      </c>
      <c r="D582" s="97">
        <v>45506</v>
      </c>
      <c r="E582" s="67" t="s">
        <v>2172</v>
      </c>
      <c r="F582" s="67" t="s">
        <v>658</v>
      </c>
      <c r="G582" s="68" t="s">
        <v>1948</v>
      </c>
      <c r="H582" s="68" t="s">
        <v>1768</v>
      </c>
      <c r="I582" s="99" t="s">
        <v>5</v>
      </c>
      <c r="J582" s="74"/>
      <c r="K582" s="67">
        <v>2142</v>
      </c>
      <c r="L582" s="67">
        <v>18146</v>
      </c>
      <c r="M582" s="80" t="s">
        <v>16</v>
      </c>
      <c r="N582" s="68" t="s">
        <v>2173</v>
      </c>
      <c r="O582" s="68" t="s">
        <v>28</v>
      </c>
      <c r="P582" s="68" t="s">
        <v>103</v>
      </c>
      <c r="Q582" s="74" t="s">
        <v>452</v>
      </c>
      <c r="R582" s="68" t="s">
        <v>145</v>
      </c>
      <c r="S582" s="68"/>
      <c r="T582" s="74"/>
      <c r="U582" s="74"/>
      <c r="V582" s="79" t="s">
        <v>6</v>
      </c>
      <c r="W582" s="67" t="s">
        <v>1854</v>
      </c>
      <c r="X582" s="81">
        <v>45531</v>
      </c>
      <c r="Y582" s="110">
        <f t="shared" ref="Y582:Y588" si="207">EDATE(D582,3)</f>
        <v>45598</v>
      </c>
      <c r="Z582" s="74"/>
      <c r="AA582" s="106" t="str">
        <f t="shared" ref="AA582:AA588" ca="1" si="208">IF(Z582="",IF(TODAY()&gt;Y582,"NO","YES"),IF(Z582&gt;Y582,"NO",IF(Z582&lt;Y582,"YES",IF(Y582=Z582,"YES","N/A"))))</f>
        <v>NO</v>
      </c>
      <c r="AB582" s="253">
        <v>45498</v>
      </c>
      <c r="AC582" s="254">
        <v>45498</v>
      </c>
      <c r="AD582" s="255">
        <v>45657</v>
      </c>
      <c r="AE582" s="74"/>
      <c r="AF582" s="62" t="str">
        <f t="shared" ref="AF582:AF587" ca="1" si="209">IF(I582="Claim",IF(AD582="","",IF(AE582="",IF(TODAY()&gt;AD582,"NO","YES"),IF(AE582&gt;AD582,"NO",IF(AE582&lt;AD582,"YES",IF(AD582=AE582,"YES","N/A"))))),"N/A")</f>
        <v>NO</v>
      </c>
      <c r="AG582" s="104"/>
      <c r="AH582" s="104"/>
      <c r="AI582" s="107">
        <f t="shared" ref="AI582:AI587" si="210">AH582+AG582</f>
        <v>0</v>
      </c>
      <c r="AJ582" s="105"/>
      <c r="AK582" s="74"/>
      <c r="AL582" s="74"/>
      <c r="AM582" s="108" t="str">
        <f t="shared" ref="AM582:AM587" si="211">CONCATENATE(B582," ",G582)</f>
        <v>24030 Lesaffre</v>
      </c>
      <c r="AN582" s="108" t="str">
        <f t="shared" ref="AN582:AN587" si="212">CONCATENATE(B582," ",G582," : ",N582)</f>
        <v>24030 Lesaffre : KBE alpha Membrane Abrasion</v>
      </c>
    </row>
    <row r="583" spans="1:40" ht="14.5" hidden="1" x14ac:dyDescent="0.35">
      <c r="A583" s="82"/>
      <c r="B583" s="154">
        <v>24031</v>
      </c>
      <c r="C583" s="113" t="s">
        <v>4</v>
      </c>
      <c r="D583" s="117">
        <v>45540</v>
      </c>
      <c r="E583" s="118" t="s">
        <v>273</v>
      </c>
      <c r="F583" s="118" t="s">
        <v>658</v>
      </c>
      <c r="G583" s="111" t="s">
        <v>1931</v>
      </c>
      <c r="H583" s="111" t="s">
        <v>357</v>
      </c>
      <c r="I583" s="119" t="s">
        <v>5</v>
      </c>
      <c r="J583" s="70"/>
      <c r="K583" s="118"/>
      <c r="L583" s="118" t="s">
        <v>2175</v>
      </c>
      <c r="M583" s="147" t="s">
        <v>16</v>
      </c>
      <c r="N583" s="111" t="s">
        <v>2176</v>
      </c>
      <c r="O583" s="111" t="s">
        <v>28</v>
      </c>
      <c r="P583" s="111" t="s">
        <v>103</v>
      </c>
      <c r="Q583" s="70" t="s">
        <v>452</v>
      </c>
      <c r="R583" s="111" t="s">
        <v>145</v>
      </c>
      <c r="S583" s="111"/>
      <c r="T583" s="112" t="s">
        <v>357</v>
      </c>
      <c r="U583" s="74"/>
      <c r="V583" s="158" t="s">
        <v>10</v>
      </c>
      <c r="W583" s="118"/>
      <c r="X583" s="113"/>
      <c r="Y583" s="117">
        <f t="shared" si="207"/>
        <v>45631</v>
      </c>
      <c r="Z583" s="187">
        <v>45595</v>
      </c>
      <c r="AA583" s="161" t="str">
        <f t="shared" ca="1" si="208"/>
        <v>YES</v>
      </c>
      <c r="AB583" s="113">
        <v>45512</v>
      </c>
      <c r="AC583" s="187">
        <v>45513</v>
      </c>
      <c r="AD583" s="187">
        <v>45657</v>
      </c>
      <c r="AE583" s="187">
        <v>45595</v>
      </c>
      <c r="AF583" s="114" t="str">
        <f t="shared" ca="1" si="209"/>
        <v>YES</v>
      </c>
      <c r="AG583" s="194">
        <v>98</v>
      </c>
      <c r="AH583" s="194">
        <v>0</v>
      </c>
      <c r="AI583" s="196">
        <f t="shared" si="210"/>
        <v>98</v>
      </c>
      <c r="AJ583" s="148"/>
      <c r="AK583" s="70" t="s">
        <v>2182</v>
      </c>
      <c r="AL583" s="70"/>
      <c r="AM583" s="165" t="str">
        <f t="shared" si="211"/>
        <v>24031 GSK Hamilton</v>
      </c>
      <c r="AN583" s="165" t="str">
        <f t="shared" si="212"/>
        <v>24031 GSK Hamilton : Marks on Kerasep Biopharma Membranes</v>
      </c>
    </row>
    <row r="584" spans="1:40" ht="14.5" hidden="1" x14ac:dyDescent="0.35">
      <c r="A584" s="82"/>
      <c r="B584" s="154">
        <v>24032</v>
      </c>
      <c r="C584" s="113" t="s">
        <v>4</v>
      </c>
      <c r="D584" s="117">
        <v>45553</v>
      </c>
      <c r="E584" s="118" t="s">
        <v>95</v>
      </c>
      <c r="F584" s="118" t="s">
        <v>164</v>
      </c>
      <c r="G584" s="111" t="s">
        <v>2122</v>
      </c>
      <c r="H584" s="111" t="s">
        <v>2180</v>
      </c>
      <c r="I584" s="119" t="s">
        <v>2056</v>
      </c>
      <c r="J584" s="70" t="s">
        <v>1332</v>
      </c>
      <c r="K584" s="118">
        <v>2120</v>
      </c>
      <c r="L584" s="118">
        <v>17042</v>
      </c>
      <c r="M584" s="147" t="s">
        <v>18</v>
      </c>
      <c r="N584" s="111" t="s">
        <v>2181</v>
      </c>
      <c r="O584" s="111" t="s">
        <v>29</v>
      </c>
      <c r="P584" s="111" t="s">
        <v>86</v>
      </c>
      <c r="Q584" s="70" t="s">
        <v>916</v>
      </c>
      <c r="R584" s="111" t="s">
        <v>145</v>
      </c>
      <c r="S584" s="111"/>
      <c r="T584" s="70"/>
      <c r="U584" s="74"/>
      <c r="V584" s="158" t="s">
        <v>6</v>
      </c>
      <c r="W584" s="118" t="s">
        <v>2193</v>
      </c>
      <c r="X584" s="113">
        <v>45560</v>
      </c>
      <c r="Y584" s="117">
        <f t="shared" si="207"/>
        <v>45644</v>
      </c>
      <c r="Z584" s="187">
        <v>45595</v>
      </c>
      <c r="AA584" s="161" t="str">
        <f t="shared" ca="1" si="208"/>
        <v>YES</v>
      </c>
      <c r="AB584" s="113"/>
      <c r="AC584" s="70"/>
      <c r="AD584" s="70"/>
      <c r="AE584" s="70"/>
      <c r="AF584" s="114" t="str">
        <f t="shared" ca="1" si="209"/>
        <v>N/A</v>
      </c>
      <c r="AG584" s="194">
        <v>98</v>
      </c>
      <c r="AH584" s="194">
        <v>77</v>
      </c>
      <c r="AI584" s="196">
        <f t="shared" si="210"/>
        <v>175</v>
      </c>
      <c r="AJ584" s="148"/>
      <c r="AK584" s="70" t="s">
        <v>2182</v>
      </c>
      <c r="AL584" s="70"/>
      <c r="AM584" s="165" t="str">
        <f t="shared" si="211"/>
        <v>24032 BMA Bengladesh</v>
      </c>
      <c r="AN584" s="165" t="str">
        <f t="shared" si="212"/>
        <v>24032 BMA Bengladesh : Pressure vessels design defect</v>
      </c>
    </row>
    <row r="585" spans="1:40" ht="14.5" hidden="1" x14ac:dyDescent="0.35">
      <c r="A585" s="82"/>
      <c r="B585" s="96">
        <v>24033</v>
      </c>
      <c r="C585" s="81" t="s">
        <v>4</v>
      </c>
      <c r="D585" s="97">
        <v>45566</v>
      </c>
      <c r="E585" s="67" t="s">
        <v>2183</v>
      </c>
      <c r="F585" s="67" t="s">
        <v>420</v>
      </c>
      <c r="G585" s="68" t="s">
        <v>2184</v>
      </c>
      <c r="H585" s="68"/>
      <c r="I585" s="99" t="s">
        <v>2058</v>
      </c>
      <c r="J585" s="74"/>
      <c r="K585" s="67">
        <v>3204</v>
      </c>
      <c r="L585" s="67"/>
      <c r="M585" s="80"/>
      <c r="N585" s="68" t="s">
        <v>2185</v>
      </c>
      <c r="O585" s="68" t="s">
        <v>420</v>
      </c>
      <c r="P585" s="68" t="s">
        <v>80</v>
      </c>
      <c r="Q585" s="74" t="s">
        <v>1543</v>
      </c>
      <c r="R585" s="68" t="s">
        <v>15</v>
      </c>
      <c r="S585" s="68"/>
      <c r="T585" s="74"/>
      <c r="U585" s="74"/>
      <c r="V585" s="79" t="s">
        <v>6</v>
      </c>
      <c r="W585" s="67" t="s">
        <v>1647</v>
      </c>
      <c r="X585" s="81">
        <v>45573</v>
      </c>
      <c r="Y585" s="110">
        <f t="shared" si="207"/>
        <v>45658</v>
      </c>
      <c r="Z585" s="74"/>
      <c r="AA585" s="106" t="str">
        <f t="shared" ca="1" si="208"/>
        <v>NO</v>
      </c>
      <c r="AB585" s="81"/>
      <c r="AC585" s="74"/>
      <c r="AD585" s="74"/>
      <c r="AE585" s="74"/>
      <c r="AF585" s="62" t="str">
        <f t="shared" ca="1" si="209"/>
        <v>N/A</v>
      </c>
      <c r="AG585" s="104"/>
      <c r="AH585" s="104"/>
      <c r="AI585" s="107">
        <f t="shared" si="210"/>
        <v>0</v>
      </c>
      <c r="AJ585" s="105"/>
      <c r="AK585" s="74"/>
      <c r="AL585" s="74"/>
      <c r="AM585" s="108" t="str">
        <f t="shared" si="211"/>
        <v>24033 TEREOS</v>
      </c>
      <c r="AN585" s="108" t="str">
        <f t="shared" si="212"/>
        <v>24033 TEREOS : Left fingers pinched in stirred tank</v>
      </c>
    </row>
    <row r="586" spans="1:40" ht="14.5" hidden="1" x14ac:dyDescent="0.35">
      <c r="A586" s="82"/>
      <c r="B586" s="96">
        <v>24034</v>
      </c>
      <c r="C586" s="81" t="s">
        <v>2167</v>
      </c>
      <c r="D586" s="97">
        <v>45569</v>
      </c>
      <c r="E586" s="67" t="s">
        <v>2186</v>
      </c>
      <c r="F586" s="67" t="s">
        <v>658</v>
      </c>
      <c r="G586" s="68" t="s">
        <v>320</v>
      </c>
      <c r="H586" s="68" t="s">
        <v>1508</v>
      </c>
      <c r="I586" s="99" t="s">
        <v>2056</v>
      </c>
      <c r="J586" s="74"/>
      <c r="K586" s="67"/>
      <c r="L586" t="s">
        <v>2187</v>
      </c>
      <c r="M586" s="80"/>
      <c r="N586" s="68" t="s">
        <v>2196</v>
      </c>
      <c r="O586" s="68" t="s">
        <v>28</v>
      </c>
      <c r="P586" s="68" t="s">
        <v>103</v>
      </c>
      <c r="Q586" s="74" t="s">
        <v>176</v>
      </c>
      <c r="R586" s="68" t="s">
        <v>145</v>
      </c>
      <c r="S586" s="68"/>
      <c r="T586" s="252" t="s">
        <v>1508</v>
      </c>
      <c r="U586" s="74"/>
      <c r="V586" s="79" t="s">
        <v>10</v>
      </c>
      <c r="W586" s="67"/>
      <c r="X586" s="81"/>
      <c r="Y586" s="110">
        <f t="shared" si="207"/>
        <v>45661</v>
      </c>
      <c r="Z586" s="74"/>
      <c r="AA586" s="106" t="str">
        <f t="shared" ca="1" si="208"/>
        <v>NO</v>
      </c>
      <c r="AB586" s="81"/>
      <c r="AC586" s="74"/>
      <c r="AD586" s="74"/>
      <c r="AE586" s="74"/>
      <c r="AF586" s="62" t="str">
        <f t="shared" ca="1" si="209"/>
        <v>N/A</v>
      </c>
      <c r="AG586" s="104"/>
      <c r="AH586" s="104"/>
      <c r="AI586" s="107">
        <f t="shared" si="210"/>
        <v>0</v>
      </c>
      <c r="AJ586" s="105"/>
      <c r="AK586" s="74"/>
      <c r="AL586" s="74"/>
      <c r="AM586" s="108" t="str">
        <f t="shared" si="211"/>
        <v>24034 CJ US</v>
      </c>
      <c r="AN586" s="108" t="str">
        <f t="shared" si="212"/>
        <v xml:space="preserve">24034 CJ US : Resin delivered delayed </v>
      </c>
    </row>
    <row r="587" spans="1:40" ht="14.5" hidden="1" x14ac:dyDescent="0.35">
      <c r="A587" s="82"/>
      <c r="B587" s="96">
        <v>24035</v>
      </c>
      <c r="C587" s="81" t="s">
        <v>4</v>
      </c>
      <c r="D587" s="97">
        <v>45579</v>
      </c>
      <c r="E587" s="67" t="s">
        <v>864</v>
      </c>
      <c r="F587" s="67" t="s">
        <v>164</v>
      </c>
      <c r="G587" s="68" t="s">
        <v>2065</v>
      </c>
      <c r="H587" s="68"/>
      <c r="I587" s="99" t="s">
        <v>5</v>
      </c>
      <c r="J587" s="74"/>
      <c r="K587" s="67">
        <v>2066</v>
      </c>
      <c r="L587" s="67">
        <v>13829</v>
      </c>
      <c r="M587" s="80" t="s">
        <v>2067</v>
      </c>
      <c r="N587" s="68" t="s">
        <v>2190</v>
      </c>
      <c r="O587" s="68" t="s">
        <v>29</v>
      </c>
      <c r="P587" s="68" t="s">
        <v>86</v>
      </c>
      <c r="Q587" s="74"/>
      <c r="R587" s="68" t="s">
        <v>87</v>
      </c>
      <c r="S587" s="68"/>
      <c r="T587" s="74"/>
      <c r="U587" s="74"/>
      <c r="V587" s="79" t="s">
        <v>10</v>
      </c>
      <c r="W587" s="67"/>
      <c r="X587" s="81"/>
      <c r="Y587" s="110">
        <f t="shared" si="207"/>
        <v>45671</v>
      </c>
      <c r="Z587" s="74"/>
      <c r="AA587" s="106" t="str">
        <f t="shared" ca="1" si="208"/>
        <v>NO</v>
      </c>
      <c r="AB587" s="81">
        <v>45572</v>
      </c>
      <c r="AC587" s="109">
        <v>45576</v>
      </c>
      <c r="AD587" s="109">
        <v>45688</v>
      </c>
      <c r="AE587" s="74"/>
      <c r="AF587" s="62" t="str">
        <f t="shared" ca="1" si="209"/>
        <v>NO</v>
      </c>
      <c r="AG587" s="104"/>
      <c r="AH587" s="104"/>
      <c r="AI587" s="107">
        <f t="shared" si="210"/>
        <v>0</v>
      </c>
      <c r="AJ587" s="105"/>
      <c r="AK587" s="74"/>
      <c r="AL587" s="74"/>
      <c r="AM587" s="108" t="str">
        <f t="shared" si="211"/>
        <v>24035 Bénéo Chili</v>
      </c>
      <c r="AN587" s="108" t="str">
        <f t="shared" si="212"/>
        <v>24035 Bénéo Chili : Rust of flanges and structure</v>
      </c>
    </row>
    <row r="588" spans="1:40" ht="14.5" x14ac:dyDescent="0.35">
      <c r="A588" s="82"/>
      <c r="B588" s="96">
        <v>24036</v>
      </c>
      <c r="C588" s="81" t="s">
        <v>8</v>
      </c>
      <c r="D588" s="97">
        <v>45583</v>
      </c>
      <c r="E588" s="67" t="s">
        <v>2172</v>
      </c>
      <c r="F588" s="67" t="s">
        <v>658</v>
      </c>
      <c r="G588" s="68" t="s">
        <v>2191</v>
      </c>
      <c r="H588" s="256" t="s">
        <v>1416</v>
      </c>
      <c r="I588" s="99" t="s">
        <v>5</v>
      </c>
      <c r="J588" s="74"/>
      <c r="K588" s="67"/>
      <c r="L588" s="67">
        <v>10.702</v>
      </c>
      <c r="M588" s="80" t="s">
        <v>13</v>
      </c>
      <c r="N588" s="68" t="s">
        <v>2192</v>
      </c>
      <c r="O588" s="68" t="s">
        <v>28</v>
      </c>
      <c r="P588" s="68" t="s">
        <v>103</v>
      </c>
      <c r="Q588" s="74" t="s">
        <v>916</v>
      </c>
      <c r="R588" s="68" t="s">
        <v>145</v>
      </c>
      <c r="S588" s="68"/>
      <c r="T588" s="74"/>
      <c r="U588" s="74"/>
      <c r="V588" s="79" t="s">
        <v>6</v>
      </c>
      <c r="W588" s="67" t="s">
        <v>1745</v>
      </c>
      <c r="X588" s="81">
        <v>45594</v>
      </c>
      <c r="Y588" s="110">
        <f t="shared" si="207"/>
        <v>45675</v>
      </c>
      <c r="Z588" s="74"/>
      <c r="AA588" s="106" t="str">
        <f t="shared" ca="1" si="208"/>
        <v>NO</v>
      </c>
      <c r="AB588" s="81">
        <v>45551</v>
      </c>
      <c r="AC588" s="81">
        <v>45553</v>
      </c>
      <c r="AD588" s="109">
        <v>45688</v>
      </c>
      <c r="AE588" s="74"/>
      <c r="AF588" s="62" t="str">
        <f t="shared" ref="AF588:AF594" ca="1" si="213">IF(I588="Claim",IF(AD588="","",IF(AE588="",IF(TODAY()&gt;AD588,"NO","YES"),IF(AE588&gt;AD588,"NO",IF(AE588&lt;AD588,"YES",IF(AD588=AE588,"YES","N/A"))))),"N/A")</f>
        <v>NO</v>
      </c>
      <c r="AG588" s="104">
        <v>6389</v>
      </c>
      <c r="AH588" s="104">
        <v>156111</v>
      </c>
      <c r="AI588" s="107">
        <f t="shared" ref="AI588:AI594" si="214">AH588+AG588</f>
        <v>162500</v>
      </c>
      <c r="AJ588" s="105"/>
      <c r="AK588" s="74"/>
      <c r="AL588" s="74"/>
      <c r="AM588" s="108" t="str">
        <f t="shared" ref="AM588:AM594" si="215">CONCATENATE(B588," ",G588)</f>
        <v>24036 GXSF 2</v>
      </c>
      <c r="AN588" s="108" t="str">
        <f t="shared" ref="AN588:AN594" si="216">CONCATENATE(B588," ",G588," : ",N588)</f>
        <v xml:space="preserve">24036 GXSF 2 : High Pressure Drop in C120A upper cell </v>
      </c>
    </row>
    <row r="589" spans="1:40" ht="14.5" hidden="1" x14ac:dyDescent="0.35">
      <c r="A589" s="82"/>
      <c r="B589" s="96">
        <v>24037</v>
      </c>
      <c r="C589" s="81" t="s">
        <v>4</v>
      </c>
      <c r="D589" s="97">
        <v>45603</v>
      </c>
      <c r="E589" s="67" t="s">
        <v>195</v>
      </c>
      <c r="F589" s="67" t="s">
        <v>420</v>
      </c>
      <c r="G589" s="68" t="s">
        <v>2194</v>
      </c>
      <c r="H589" s="68"/>
      <c r="I589" s="99" t="s">
        <v>2057</v>
      </c>
      <c r="J589" s="74"/>
      <c r="K589" s="67">
        <v>3293</v>
      </c>
      <c r="L589" s="67"/>
      <c r="M589" s="80" t="s">
        <v>11</v>
      </c>
      <c r="N589" s="68" t="s">
        <v>2195</v>
      </c>
      <c r="O589" s="68" t="s">
        <v>420</v>
      </c>
      <c r="P589" s="68" t="s">
        <v>80</v>
      </c>
      <c r="Q589" s="74" t="s">
        <v>1543</v>
      </c>
      <c r="R589" s="68" t="s">
        <v>145</v>
      </c>
      <c r="S589" s="68"/>
      <c r="T589" s="74"/>
      <c r="U589" s="74"/>
      <c r="V589" s="79" t="s">
        <v>6</v>
      </c>
      <c r="W589" s="67" t="s">
        <v>1647</v>
      </c>
      <c r="X589" s="81">
        <v>45610</v>
      </c>
      <c r="Y589" s="110">
        <f t="shared" ref="Y589:Y594" si="217">EDATE(D589,3)</f>
        <v>45695</v>
      </c>
      <c r="Z589" s="74"/>
      <c r="AA589" s="106" t="str">
        <f t="shared" ref="AA589:AA594" ca="1" si="218">IF(Z589="",IF(TODAY()&gt;Y589,"NO","YES"),IF(Z589&gt;Y589,"NO",IF(Z589&lt;Y589,"YES",IF(Y589=Z589,"YES","N/A"))))</f>
        <v>NO</v>
      </c>
      <c r="AB589" s="81"/>
      <c r="AC589" s="74"/>
      <c r="AD589" s="74"/>
      <c r="AE589" s="74"/>
      <c r="AF589" s="62" t="str">
        <f t="shared" ca="1" si="213"/>
        <v>N/A</v>
      </c>
      <c r="AG589" s="104"/>
      <c r="AH589" s="104"/>
      <c r="AI589" s="107">
        <f t="shared" si="214"/>
        <v>0</v>
      </c>
      <c r="AJ589" s="105"/>
      <c r="AK589" s="74"/>
      <c r="AL589" s="74"/>
      <c r="AM589" s="108" t="str">
        <f t="shared" si="215"/>
        <v>24037 COSUN</v>
      </c>
      <c r="AN589" s="108" t="str">
        <f t="shared" si="216"/>
        <v>24037 COSUN : High pressure in SSMB pilot columns</v>
      </c>
    </row>
    <row r="590" spans="1:40" ht="14.5" x14ac:dyDescent="0.35">
      <c r="A590" s="82"/>
      <c r="B590" s="96">
        <v>24038</v>
      </c>
      <c r="C590" s="81" t="s">
        <v>8</v>
      </c>
      <c r="D590" s="97">
        <v>45614</v>
      </c>
      <c r="E590" s="67" t="s">
        <v>2172</v>
      </c>
      <c r="F590" s="67" t="s">
        <v>658</v>
      </c>
      <c r="G590" s="68" t="s">
        <v>2197</v>
      </c>
      <c r="H590" s="256" t="s">
        <v>1416</v>
      </c>
      <c r="I590" s="99" t="s">
        <v>5</v>
      </c>
      <c r="J590" s="74"/>
      <c r="K590" s="67"/>
      <c r="L590" s="67">
        <v>9801</v>
      </c>
      <c r="M590" s="80" t="s">
        <v>13</v>
      </c>
      <c r="N590" s="68" t="s">
        <v>2198</v>
      </c>
      <c r="O590" s="68" t="s">
        <v>28</v>
      </c>
      <c r="P590" s="68" t="s">
        <v>103</v>
      </c>
      <c r="Q590" s="74" t="s">
        <v>2208</v>
      </c>
      <c r="R590" s="68" t="s">
        <v>145</v>
      </c>
      <c r="S590" s="68"/>
      <c r="T590" s="74"/>
      <c r="U590" s="74"/>
      <c r="V590" s="79" t="s">
        <v>6</v>
      </c>
      <c r="W590" s="67" t="s">
        <v>1745</v>
      </c>
      <c r="X590" s="81">
        <v>45625</v>
      </c>
      <c r="Y590" s="110">
        <f t="shared" si="217"/>
        <v>45706</v>
      </c>
      <c r="Z590" s="74"/>
      <c r="AA590" s="106" t="str">
        <f t="shared" ca="1" si="218"/>
        <v>NO</v>
      </c>
      <c r="AB590" s="81">
        <v>45545</v>
      </c>
      <c r="AC590" s="109">
        <v>45603</v>
      </c>
      <c r="AD590" s="259"/>
      <c r="AE590" s="74"/>
      <c r="AF590" s="62" t="str">
        <f t="shared" ca="1" si="213"/>
        <v/>
      </c>
      <c r="AG590" s="104"/>
      <c r="AH590" s="104">
        <v>83333.33</v>
      </c>
      <c r="AI590" s="107">
        <f t="shared" si="214"/>
        <v>83333.33</v>
      </c>
      <c r="AJ590" s="105"/>
      <c r="AK590" s="74"/>
      <c r="AL590" s="74"/>
      <c r="AM590" s="108" t="str">
        <f t="shared" si="215"/>
        <v>24038 Yinmore</v>
      </c>
      <c r="AN590" s="108" t="str">
        <f t="shared" si="216"/>
        <v>24038 Yinmore : Large deviation in resin particle size distribution</v>
      </c>
    </row>
    <row r="591" spans="1:40" ht="14.5" x14ac:dyDescent="0.35">
      <c r="A591" s="82"/>
      <c r="B591" s="96">
        <v>24039</v>
      </c>
      <c r="C591" s="81" t="s">
        <v>8</v>
      </c>
      <c r="D591" s="97">
        <v>45615</v>
      </c>
      <c r="E591" s="67" t="s">
        <v>2146</v>
      </c>
      <c r="F591" s="67" t="s">
        <v>164</v>
      </c>
      <c r="G591" s="68" t="s">
        <v>2154</v>
      </c>
      <c r="H591" s="68" t="s">
        <v>433</v>
      </c>
      <c r="I591" s="99" t="s">
        <v>2056</v>
      </c>
      <c r="J591" s="74"/>
      <c r="K591" s="67">
        <v>3123</v>
      </c>
      <c r="L591" s="67">
        <v>18323</v>
      </c>
      <c r="M591" s="80" t="s">
        <v>11</v>
      </c>
      <c r="N591" s="68" t="s">
        <v>2199</v>
      </c>
      <c r="O591" s="68" t="s">
        <v>29</v>
      </c>
      <c r="P591" s="68" t="s">
        <v>86</v>
      </c>
      <c r="Q591" s="68" t="s">
        <v>1665</v>
      </c>
      <c r="R591" s="68" t="s">
        <v>87</v>
      </c>
      <c r="S591" s="68"/>
      <c r="T591" s="74"/>
      <c r="U591" s="74"/>
      <c r="V591" s="79" t="s">
        <v>6</v>
      </c>
      <c r="W591" s="67" t="s">
        <v>2146</v>
      </c>
      <c r="X591" s="81">
        <v>45624</v>
      </c>
      <c r="Y591" s="110">
        <f t="shared" si="217"/>
        <v>45707</v>
      </c>
      <c r="Z591" s="74"/>
      <c r="AA591" s="106" t="str">
        <f t="shared" ca="1" si="218"/>
        <v>NO</v>
      </c>
      <c r="AB591" s="81"/>
      <c r="AC591" s="74"/>
      <c r="AD591" s="74"/>
      <c r="AE591" s="74"/>
      <c r="AF591" s="62" t="str">
        <f t="shared" ca="1" si="213"/>
        <v>N/A</v>
      </c>
      <c r="AG591" s="104">
        <v>625</v>
      </c>
      <c r="AH591" s="104">
        <v>486</v>
      </c>
      <c r="AI591" s="107">
        <f t="shared" si="214"/>
        <v>1111</v>
      </c>
      <c r="AJ591" s="105"/>
      <c r="AK591" s="74"/>
      <c r="AL591" s="74"/>
      <c r="AM591" s="108" t="str">
        <f t="shared" si="215"/>
        <v>24039 Huaantang</v>
      </c>
      <c r="AN591" s="108" t="str">
        <f t="shared" si="216"/>
        <v>24039 Huaantang : Columns  Name plate &amp; Tag No. Installation Mistake</v>
      </c>
    </row>
    <row r="592" spans="1:40" ht="14.5" x14ac:dyDescent="0.35">
      <c r="A592" s="82"/>
      <c r="B592" s="96">
        <v>24040</v>
      </c>
      <c r="C592" s="81" t="s">
        <v>8</v>
      </c>
      <c r="D592" s="97">
        <v>45615</v>
      </c>
      <c r="E592" s="67" t="s">
        <v>2146</v>
      </c>
      <c r="F592" s="67" t="s">
        <v>164</v>
      </c>
      <c r="G592" s="68" t="s">
        <v>2154</v>
      </c>
      <c r="H592" s="68" t="s">
        <v>1920</v>
      </c>
      <c r="I592" s="99" t="s">
        <v>2056</v>
      </c>
      <c r="J592" s="74"/>
      <c r="K592" s="67">
        <v>3123</v>
      </c>
      <c r="L592" s="67">
        <v>18323</v>
      </c>
      <c r="M592" s="80" t="s">
        <v>11</v>
      </c>
      <c r="N592" s="68" t="s">
        <v>2200</v>
      </c>
      <c r="O592" s="68" t="s">
        <v>29</v>
      </c>
      <c r="P592" s="68" t="s">
        <v>86</v>
      </c>
      <c r="Q592" s="68" t="s">
        <v>1665</v>
      </c>
      <c r="R592" s="68" t="s">
        <v>87</v>
      </c>
      <c r="S592" s="68"/>
      <c r="T592" s="74"/>
      <c r="U592" s="74"/>
      <c r="V592" s="79" t="s">
        <v>6</v>
      </c>
      <c r="W592" s="67" t="s">
        <v>2146</v>
      </c>
      <c r="X592" s="81">
        <v>45624</v>
      </c>
      <c r="Y592" s="110">
        <f t="shared" si="217"/>
        <v>45707</v>
      </c>
      <c r="Z592" s="74"/>
      <c r="AA592" s="106" t="str">
        <f t="shared" ca="1" si="218"/>
        <v>NO</v>
      </c>
      <c r="AB592" s="81"/>
      <c r="AC592" s="74"/>
      <c r="AD592" s="74"/>
      <c r="AE592" s="74"/>
      <c r="AF592" s="62" t="str">
        <f t="shared" ca="1" si="213"/>
        <v>N/A</v>
      </c>
      <c r="AG592" s="104">
        <v>625</v>
      </c>
      <c r="AH592" s="104"/>
      <c r="AI592" s="107">
        <f t="shared" si="214"/>
        <v>625</v>
      </c>
      <c r="AJ592" s="105"/>
      <c r="AK592" s="74"/>
      <c r="AL592" s="74"/>
      <c r="AM592" s="108" t="str">
        <f t="shared" si="215"/>
        <v>24040 Huaantang</v>
      </c>
      <c r="AN592" s="108" t="str">
        <f t="shared" si="216"/>
        <v>24040 Huaantang : Column-B Resin Nozzle Orientation Mistake</v>
      </c>
    </row>
    <row r="593" spans="1:40" ht="14.5" x14ac:dyDescent="0.35">
      <c r="A593" s="82"/>
      <c r="B593" s="96">
        <v>24041</v>
      </c>
      <c r="C593" s="81" t="s">
        <v>8</v>
      </c>
      <c r="D593" s="97">
        <v>45616</v>
      </c>
      <c r="E593" s="67" t="s">
        <v>2086</v>
      </c>
      <c r="F593" s="67" t="s">
        <v>164</v>
      </c>
      <c r="G593" s="68" t="s">
        <v>2005</v>
      </c>
      <c r="H593" s="68" t="s">
        <v>937</v>
      </c>
      <c r="I593" s="99" t="s">
        <v>5</v>
      </c>
      <c r="J593" s="74"/>
      <c r="K593" s="67">
        <v>3165</v>
      </c>
      <c r="L593" s="67">
        <v>18466</v>
      </c>
      <c r="M593" s="80" t="s">
        <v>21</v>
      </c>
      <c r="N593" s="68" t="s">
        <v>2201</v>
      </c>
      <c r="O593" s="68" t="s">
        <v>29</v>
      </c>
      <c r="P593" s="68" t="s">
        <v>86</v>
      </c>
      <c r="Q593" s="74" t="s">
        <v>522</v>
      </c>
      <c r="R593" s="68" t="s">
        <v>9</v>
      </c>
      <c r="S593" s="68"/>
      <c r="T593" s="74"/>
      <c r="U593" s="74"/>
      <c r="V593" s="79" t="s">
        <v>6</v>
      </c>
      <c r="W593" s="67" t="s">
        <v>2206</v>
      </c>
      <c r="X593" s="81">
        <v>45623</v>
      </c>
      <c r="Y593" s="110">
        <f t="shared" si="217"/>
        <v>45708</v>
      </c>
      <c r="Z593" s="74"/>
      <c r="AA593" s="106" t="str">
        <f t="shared" ca="1" si="218"/>
        <v>NO</v>
      </c>
      <c r="AB593" s="81">
        <v>45554</v>
      </c>
      <c r="AC593" s="81">
        <v>45554</v>
      </c>
      <c r="AD593" s="259"/>
      <c r="AE593" s="74"/>
      <c r="AF593" s="62" t="str">
        <f t="shared" ca="1" si="213"/>
        <v/>
      </c>
      <c r="AG593" s="104">
        <v>2188</v>
      </c>
      <c r="AH593" s="104">
        <v>1388</v>
      </c>
      <c r="AI593" s="107">
        <f t="shared" si="214"/>
        <v>3576</v>
      </c>
      <c r="AJ593" s="105"/>
      <c r="AK593" s="74"/>
      <c r="AL593" s="74"/>
      <c r="AM593" s="108" t="str">
        <f t="shared" si="215"/>
        <v>24041 LIER</v>
      </c>
      <c r="AN593" s="108" t="str">
        <f t="shared" si="216"/>
        <v>24041 LIER : The carbon backwashing is not efficient</v>
      </c>
    </row>
    <row r="594" spans="1:40" ht="14.5" x14ac:dyDescent="0.35">
      <c r="A594" s="82"/>
      <c r="B594" s="96">
        <v>24042</v>
      </c>
      <c r="C594" s="81" t="s">
        <v>8</v>
      </c>
      <c r="D594" s="97">
        <v>45616</v>
      </c>
      <c r="E594" s="67" t="s">
        <v>2086</v>
      </c>
      <c r="F594" s="67" t="s">
        <v>164</v>
      </c>
      <c r="G594" s="68" t="s">
        <v>2005</v>
      </c>
      <c r="H594" s="68" t="s">
        <v>2202</v>
      </c>
      <c r="I594" s="99" t="s">
        <v>2057</v>
      </c>
      <c r="J594" s="74"/>
      <c r="K594" s="67">
        <v>3165</v>
      </c>
      <c r="L594" s="67">
        <v>18466</v>
      </c>
      <c r="M594" s="80" t="s">
        <v>21</v>
      </c>
      <c r="N594" s="68" t="s">
        <v>2203</v>
      </c>
      <c r="O594" s="68" t="s">
        <v>29</v>
      </c>
      <c r="P594" s="68" t="s">
        <v>86</v>
      </c>
      <c r="Q594" s="74" t="s">
        <v>522</v>
      </c>
      <c r="R594" s="68" t="s">
        <v>9</v>
      </c>
      <c r="S594" s="68"/>
      <c r="T594" s="74"/>
      <c r="U594" s="74"/>
      <c r="V594" s="79" t="s">
        <v>6</v>
      </c>
      <c r="W594" s="67" t="s">
        <v>2206</v>
      </c>
      <c r="X594" s="81">
        <v>45623</v>
      </c>
      <c r="Y594" s="110">
        <f t="shared" si="217"/>
        <v>45708</v>
      </c>
      <c r="Z594" s="74"/>
      <c r="AA594" s="106" t="str">
        <f t="shared" ca="1" si="218"/>
        <v>NO</v>
      </c>
      <c r="AB594" s="81"/>
      <c r="AC594" s="74"/>
      <c r="AD594" s="74"/>
      <c r="AE594" s="74"/>
      <c r="AF594" s="62" t="str">
        <f t="shared" ca="1" si="213"/>
        <v>N/A</v>
      </c>
      <c r="AG594" s="104">
        <v>1876</v>
      </c>
      <c r="AH594" s="104">
        <v>1416</v>
      </c>
      <c r="AI594" s="107">
        <f t="shared" si="214"/>
        <v>3292</v>
      </c>
      <c r="AJ594" s="105"/>
      <c r="AK594" s="74"/>
      <c r="AL594" s="74"/>
      <c r="AM594" s="108" t="str">
        <f t="shared" si="215"/>
        <v>24042 LIER</v>
      </c>
      <c r="AN594" s="108" t="str">
        <f t="shared" si="216"/>
        <v>24042 LIER : Mismatching of Nozzle A1 and A2 betweent column and front piping</v>
      </c>
    </row>
    <row r="595" spans="1:40" ht="14.5" x14ac:dyDescent="0.35">
      <c r="A595" s="82"/>
      <c r="B595" s="96">
        <v>24043</v>
      </c>
      <c r="C595" s="81" t="s">
        <v>8</v>
      </c>
      <c r="D595" s="97">
        <v>45621</v>
      </c>
      <c r="E595" s="67" t="s">
        <v>1745</v>
      </c>
      <c r="F595" s="67" t="s">
        <v>658</v>
      </c>
      <c r="G595" s="68" t="s">
        <v>2204</v>
      </c>
      <c r="H595" s="248" t="s">
        <v>570</v>
      </c>
      <c r="I595" s="99" t="s">
        <v>2057</v>
      </c>
      <c r="J595" s="74"/>
      <c r="K595" s="67"/>
      <c r="L595" s="67">
        <v>17093</v>
      </c>
      <c r="M595" s="260" t="s">
        <v>13</v>
      </c>
      <c r="N595" s="68" t="s">
        <v>2205</v>
      </c>
      <c r="O595" s="248" t="s">
        <v>28</v>
      </c>
      <c r="P595" s="68" t="s">
        <v>103</v>
      </c>
      <c r="Q595" s="74" t="s">
        <v>2207</v>
      </c>
      <c r="R595" s="68" t="s">
        <v>1890</v>
      </c>
      <c r="S595" s="248"/>
      <c r="T595" s="74"/>
      <c r="U595" s="105"/>
      <c r="V595" s="79" t="s">
        <v>6</v>
      </c>
      <c r="W595" s="261" t="s">
        <v>1745</v>
      </c>
      <c r="X595" s="81">
        <v>45625</v>
      </c>
      <c r="Y595" s="110">
        <f>EDATE(D595,3)</f>
        <v>45713</v>
      </c>
      <c r="Z595" s="74"/>
      <c r="AA595" s="106" t="str">
        <f ca="1">IF(Z595="",IF(TODAY()&gt;Y595,"NO","YES"),IF(Z595&gt;Y595,"NO",IF(Z595&lt;Y595,"YES",IF(Y595=Z595,"YES","N/A"))))</f>
        <v>NO</v>
      </c>
      <c r="AB595" s="81"/>
      <c r="AC595" s="74"/>
      <c r="AD595" s="105"/>
      <c r="AE595" s="105"/>
      <c r="AF595" s="62" t="str">
        <f ca="1">IF(I595="Claim",IF(AD595="","",IF(AE595="",IF(TODAY()&gt;AD595,"NO","YES"),IF(AE595&gt;AD595,"NO",IF(AE595&lt;AD595,"YES",IF(AD595=AE595,"YES","N/A"))))),"N/A")</f>
        <v>N/A</v>
      </c>
      <c r="AG595" s="104"/>
      <c r="AH595" s="104">
        <v>105944.44</v>
      </c>
      <c r="AI595" s="107">
        <f>AH595+AG595</f>
        <v>105944.44</v>
      </c>
      <c r="AJ595" s="105"/>
      <c r="AK595" s="74"/>
      <c r="AL595" s="105"/>
      <c r="AM595" s="108" t="str">
        <f>CONCATENATE(B595," ",G595)</f>
        <v>24043 SQ18</v>
      </c>
      <c r="AN595" s="258" t="str">
        <f>CONCATENATE(B595," ",G595," : ",N595)</f>
        <v>24043 SQ18 : SQ18 IRA458 Resin missing in SHA warehouse</v>
      </c>
    </row>
    <row r="596" spans="1:40" ht="14.5" x14ac:dyDescent="0.35">
      <c r="A596" s="82"/>
      <c r="B596" s="96">
        <v>24044</v>
      </c>
      <c r="C596" s="81" t="s">
        <v>8</v>
      </c>
      <c r="D596" s="97">
        <v>45628</v>
      </c>
      <c r="E596" s="67" t="s">
        <v>1854</v>
      </c>
      <c r="F596" s="67" t="s">
        <v>164</v>
      </c>
      <c r="G596" s="68" t="s">
        <v>2209</v>
      </c>
      <c r="H596" s="68" t="s">
        <v>2210</v>
      </c>
      <c r="I596" s="99" t="s">
        <v>5</v>
      </c>
      <c r="J596" s="74"/>
      <c r="K596" s="67">
        <v>2135</v>
      </c>
      <c r="L596" s="67">
        <v>18103</v>
      </c>
      <c r="M596" s="80" t="s">
        <v>21</v>
      </c>
      <c r="N596" s="68" t="s">
        <v>2214</v>
      </c>
      <c r="O596" s="68" t="s">
        <v>29</v>
      </c>
      <c r="P596" s="68" t="s">
        <v>86</v>
      </c>
      <c r="Q596" s="74" t="s">
        <v>2212</v>
      </c>
      <c r="R596" s="68" t="s">
        <v>2031</v>
      </c>
      <c r="S596" s="68"/>
      <c r="T596" s="74"/>
      <c r="U596" s="74"/>
      <c r="V596" s="79" t="s">
        <v>6</v>
      </c>
      <c r="W596" s="67"/>
      <c r="X596" s="81"/>
      <c r="Y596" s="110">
        <f>EDATE(D596,3)</f>
        <v>45718</v>
      </c>
      <c r="Z596" s="74"/>
      <c r="AA596" s="106" t="str">
        <f ca="1">IF(Z596="",IF(TODAY()&gt;Y596,"NO","YES"),IF(Z596&gt;Y596,"NO",IF(Z596&lt;Y596,"YES",IF(Y596=Z596,"YES","N/A"))))</f>
        <v>NO</v>
      </c>
      <c r="AB596" s="262"/>
      <c r="AC596" s="259"/>
      <c r="AD596" s="259"/>
      <c r="AE596" s="74"/>
      <c r="AF596" s="62" t="str">
        <f ca="1">IF(I596="Claim",IF(AD596="","",IF(AE596="",IF(TODAY()&gt;AD596,"NO","YES"),IF(AE596&gt;AD596,"NO",IF(AE596&lt;AD596,"YES",IF(AD596=AE596,"YES","N/A"))))),"N/A")</f>
        <v/>
      </c>
      <c r="AG596" s="104"/>
      <c r="AH596" s="104"/>
      <c r="AI596" s="107">
        <f>AH596+AG596</f>
        <v>0</v>
      </c>
      <c r="AJ596" s="105"/>
      <c r="AK596" s="74"/>
      <c r="AL596" s="74"/>
      <c r="AM596" s="108" t="str">
        <f>CONCATENATE(B596," ",G596)</f>
        <v>24044 PLIITH HUITONG</v>
      </c>
      <c r="AN596" s="108" t="str">
        <f>CONCATENATE(B596," ",G596," : ",N596)</f>
        <v>24044 PLIITH HUITONG : Huitong Claim on GAC revamping program delay</v>
      </c>
    </row>
    <row r="597" spans="1:40" ht="14.5" x14ac:dyDescent="0.35">
      <c r="A597" s="82"/>
      <c r="B597" s="96">
        <v>24045</v>
      </c>
      <c r="C597" s="81" t="s">
        <v>8</v>
      </c>
      <c r="D597" s="97">
        <v>45628</v>
      </c>
      <c r="E597" s="67" t="s">
        <v>2086</v>
      </c>
      <c r="F597" s="67" t="s">
        <v>164</v>
      </c>
      <c r="G597" s="68" t="s">
        <v>2211</v>
      </c>
      <c r="H597" s="68"/>
      <c r="I597" s="99" t="s">
        <v>2057</v>
      </c>
      <c r="J597" s="74"/>
      <c r="K597" s="67">
        <v>3075</v>
      </c>
      <c r="L597" s="67">
        <v>45.003700000000002</v>
      </c>
      <c r="M597" s="80" t="s">
        <v>11</v>
      </c>
      <c r="N597" s="68" t="s">
        <v>2213</v>
      </c>
      <c r="O597" s="68" t="s">
        <v>29</v>
      </c>
      <c r="P597" s="68" t="s">
        <v>86</v>
      </c>
      <c r="Q597" s="74" t="s">
        <v>2212</v>
      </c>
      <c r="R597" s="68" t="s">
        <v>2031</v>
      </c>
      <c r="S597" s="68"/>
      <c r="T597" s="74"/>
      <c r="U597" s="74"/>
      <c r="V597" s="79" t="s">
        <v>6</v>
      </c>
      <c r="W597" s="67"/>
      <c r="X597" s="81"/>
      <c r="Y597" s="110">
        <f>EDATE(D597,3)</f>
        <v>45718</v>
      </c>
      <c r="Z597" s="74"/>
      <c r="AA597" s="106" t="str">
        <f ca="1">IF(Z597="",IF(TODAY()&gt;Y597,"NO","YES"),IF(Z597&gt;Y597,"NO",IF(Z597&lt;Y597,"YES",IF(Y597=Z597,"YES","N/A"))))</f>
        <v>NO</v>
      </c>
      <c r="AB597" s="81"/>
      <c r="AC597" s="74"/>
      <c r="AD597" s="74"/>
      <c r="AE597" s="74"/>
      <c r="AF597" s="62" t="str">
        <f ca="1">IF(I597="Claim",IF(AD597="","",IF(AE597="",IF(TODAY()&gt;AD597,"NO","YES"),IF(AE597&gt;AD597,"NO",IF(AE597&lt;AD597,"YES",IF(AD597=AE597,"YES","N/A"))))),"N/A")</f>
        <v>N/A</v>
      </c>
      <c r="AG597" s="104"/>
      <c r="AH597" s="104"/>
      <c r="AI597" s="107">
        <f>AH597+AG597</f>
        <v>0</v>
      </c>
      <c r="AJ597" s="105"/>
      <c r="AK597" s="74"/>
      <c r="AL597" s="74"/>
      <c r="AM597" s="108" t="str">
        <f>CONCATENATE(B597," ",G597)</f>
        <v>24045 SQ nansha</v>
      </c>
      <c r="AN597" s="108" t="str">
        <f>CONCATENATE(B597," ",G597," : ",N597)</f>
        <v>24045 SQ nansha : SQ1 revamping program didn't complete on time</v>
      </c>
    </row>
    <row r="598" spans="1:40" ht="14.5" hidden="1" x14ac:dyDescent="0.35">
      <c r="A598" s="82"/>
      <c r="B598" s="96">
        <v>24046</v>
      </c>
      <c r="C598" s="81" t="s">
        <v>4</v>
      </c>
      <c r="D598" s="97">
        <v>45628</v>
      </c>
      <c r="E598" s="67" t="s">
        <v>2215</v>
      </c>
      <c r="F598" s="67" t="s">
        <v>420</v>
      </c>
      <c r="G598" s="68" t="s">
        <v>1939</v>
      </c>
      <c r="H598" s="68"/>
      <c r="I598" s="99" t="s">
        <v>2058</v>
      </c>
      <c r="J598" s="74"/>
      <c r="K598" s="67"/>
      <c r="L598" s="67"/>
      <c r="M598" s="80"/>
      <c r="N598" s="68" t="s">
        <v>2216</v>
      </c>
      <c r="O598" s="68" t="s">
        <v>420</v>
      </c>
      <c r="P598" s="68" t="s">
        <v>80</v>
      </c>
      <c r="Q598" s="74" t="s">
        <v>1316</v>
      </c>
      <c r="R598" s="68" t="s">
        <v>12</v>
      </c>
      <c r="S598" s="68"/>
      <c r="T598" s="74"/>
      <c r="U598" s="74"/>
      <c r="V598" s="79" t="s">
        <v>6</v>
      </c>
      <c r="W598" s="67"/>
      <c r="X598" s="81"/>
      <c r="Y598" s="110">
        <f>EDATE(D598,3)</f>
        <v>45718</v>
      </c>
      <c r="Z598" s="74"/>
      <c r="AA598" s="106" t="str">
        <f ca="1">IF(Z598="",IF(TODAY()&gt;Y598,"NO","YES"),IF(Z598&gt;Y598,"NO",IF(Z598&lt;Y598,"YES",IF(Y598=Z598,"YES","N/A"))))</f>
        <v>NO</v>
      </c>
      <c r="AB598" s="81"/>
      <c r="AC598" s="74"/>
      <c r="AD598" s="74"/>
      <c r="AE598" s="74"/>
      <c r="AF598" s="62" t="str">
        <f ca="1">IF(I598="Claim",IF(AD598="","",IF(AE598="",IF(TODAY()&gt;AD598,"NO","YES"),IF(AE598&gt;AD598,"NO",IF(AE598&lt;AD598,"YES",IF(AD598=AE598,"YES","N/A"))))),"N/A")</f>
        <v>N/A</v>
      </c>
      <c r="AG598" s="104"/>
      <c r="AH598" s="104"/>
      <c r="AI598" s="107">
        <f>AH598+AG598</f>
        <v>0</v>
      </c>
      <c r="AJ598" s="105"/>
      <c r="AK598" s="74"/>
      <c r="AL598" s="74"/>
      <c r="AM598" s="108" t="str">
        <f>CONCATENATE(B598," ",G598)</f>
        <v>24046 Interne</v>
      </c>
      <c r="AN598" s="108" t="str">
        <f>CONCATENATE(B598," ",G598," : ",N598)</f>
        <v>24046 Interne : Corrosion in the AKTA laboratory</v>
      </c>
    </row>
  </sheetData>
  <mergeCells count="3">
    <mergeCell ref="AG4:AI4"/>
    <mergeCell ref="AG3:AI3"/>
    <mergeCell ref="AB4:AF4"/>
  </mergeCells>
  <phoneticPr fontId="10" type="noConversion"/>
  <dataValidations xWindow="1123" yWindow="749" count="6">
    <dataValidation type="list" allowBlank="1" showInputMessage="1" showErrorMessage="1" sqref="C7:C598" xr:uid="{A5BDEC27-DC5C-4FA3-B639-B9BA2F1429D8}">
      <formula1>SITE</formula1>
    </dataValidation>
    <dataValidation type="list" allowBlank="1" showInputMessage="1" showErrorMessage="1" sqref="I7:I598" xr:uid="{DC93BB11-04A2-41D6-B6D6-1D317A9C338D}">
      <formula1>CAPTYPE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M7:M598" xr:uid="{EA13E823-5497-4F87-965B-620AB65A6C95}"/>
    <dataValidation type="list" allowBlank="1" showInputMessage="1" showErrorMessage="1" sqref="O7:O598" xr:uid="{51421793-55BF-43C6-AB9E-C9F2E8F96576}">
      <formula1>SCOPE</formula1>
    </dataValidation>
    <dataValidation type="list" allowBlank="1" showInputMessage="1" showErrorMessage="1" sqref="R7:R598" xr:uid="{72974801-BBAF-4323-9C1F-D83A52B5A728}">
      <formula1>MMMMM</formula1>
    </dataValidation>
    <dataValidation type="list" allowBlank="1" showInputMessage="1" showErrorMessage="1" sqref="V7:V598" xr:uid="{7C667C39-5776-4227-92B6-2725716D919C}">
      <formula1>"YES,NO"</formula1>
    </dataValidation>
  </dataValidations>
  <hyperlinks>
    <hyperlink ref="T171" r:id="rId1" xr:uid="{00000000-0004-0000-0100-000000000000}"/>
    <hyperlink ref="T192" r:id="rId2" xr:uid="{00000000-0004-0000-0100-000001000000}"/>
    <hyperlink ref="T194" r:id="rId3" xr:uid="{00000000-0004-0000-0100-000002000000}"/>
    <hyperlink ref="T181" r:id="rId4" xr:uid="{00000000-0004-0000-0100-000003000000}"/>
    <hyperlink ref="T184" r:id="rId5" xr:uid="{00000000-0004-0000-0100-000004000000}"/>
    <hyperlink ref="T178" r:id="rId6" xr:uid="{00000000-0004-0000-0100-000005000000}"/>
    <hyperlink ref="T160" r:id="rId7" xr:uid="{00000000-0004-0000-0100-000006000000}"/>
    <hyperlink ref="T172" r:id="rId8" xr:uid="{00000000-0004-0000-0100-000007000000}"/>
    <hyperlink ref="T199" r:id="rId9" xr:uid="{00000000-0004-0000-0100-000008000000}"/>
    <hyperlink ref="T188" r:id="rId10" xr:uid="{00000000-0004-0000-0100-000009000000}"/>
    <hyperlink ref="T221" r:id="rId11" xr:uid="{00000000-0004-0000-0100-00000A000000}"/>
    <hyperlink ref="T232" r:id="rId12" xr:uid="{00000000-0004-0000-0100-00000B000000}"/>
    <hyperlink ref="T234" r:id="rId13" xr:uid="{00000000-0004-0000-0100-00000C000000}"/>
    <hyperlink ref="T260" r:id="rId14" xr:uid="{00000000-0004-0000-0100-00000D000000}"/>
    <hyperlink ref="T275" r:id="rId15" xr:uid="{00000000-0004-0000-0100-00000E000000}"/>
    <hyperlink ref="T278" r:id="rId16" xr:uid="{00000000-0004-0000-0100-00000F000000}"/>
    <hyperlink ref="T276" r:id="rId17" xr:uid="{00000000-0004-0000-0100-000010000000}"/>
    <hyperlink ref="T283" r:id="rId18" xr:uid="{00000000-0004-0000-0100-000011000000}"/>
    <hyperlink ref="T315" r:id="rId19" xr:uid="{00000000-0004-0000-0100-000012000000}"/>
    <hyperlink ref="T279" r:id="rId20" xr:uid="{00000000-0004-0000-0100-000013000000}"/>
    <hyperlink ref="T295" r:id="rId21" xr:uid="{00000000-0004-0000-0100-000014000000}"/>
    <hyperlink ref="T332" r:id="rId22" xr:uid="{00000000-0004-0000-0100-000015000000}"/>
    <hyperlink ref="T325" r:id="rId23" xr:uid="{00000000-0004-0000-0100-000016000000}"/>
    <hyperlink ref="T306" r:id="rId24" xr:uid="{00000000-0004-0000-0100-000017000000}"/>
    <hyperlink ref="AC344" r:id="rId25" display="C:\Users\assso\AppData\Roaming\Microsoft\Excel\CAP_EMISES 2018\18027 M閞ial St-Priest\180813 mail AR PBO_ MERIAL - Non conformit?bulloscopie _ suite ?maintenance.pdf" xr:uid="{00000000-0004-0000-0100-000018000000}"/>
    <hyperlink ref="AC349" r:id="rId26" display="C:\Users\assso\AppData\Roaming\Microsoft\Excel\CAP_EMISES 2018\18032 Cargill Spain\Quality issue in ion exchanger 53CL1167B - Cargill Spain.pdf" xr:uid="{00000000-0004-0000-0100-000019000000}"/>
    <hyperlink ref="AC350" r:id="rId27" display="C:\Users\assso\AppData\Roaming\Microsoft\Excel\CAP_EMISES 2018\18033 Cargill Manchester Sight glass leak\180914 mail reponse client_RE_ Resin loss incident in Manchester IX system.pdf" xr:uid="{00000000-0004-0000-0100-00001A000000}"/>
    <hyperlink ref="T360" r:id="rId28" xr:uid="{00000000-0004-0000-0100-00001B000000}"/>
    <hyperlink ref="T385" r:id="rId29" xr:uid="{00000000-0004-0000-0100-00001C000000}"/>
    <hyperlink ref="AC394" r:id="rId30" display="CAP_EMISES 2019/19040 Rousselot/190917 AR_R閏lamation St%3fRousselot.pdf" xr:uid="{00000000-0004-0000-0100-00001D000000}"/>
    <hyperlink ref="T394" r:id="rId31" xr:uid="{00000000-0004-0000-0100-00001E000000}"/>
    <hyperlink ref="T378" r:id="rId32" xr:uid="{00000000-0004-0000-0100-00001F000000}"/>
    <hyperlink ref="AC396" r:id="rId33" display="CAP_EMISES 2019\19042 Beneo Orafti-retards livraisons r閟ines\191003 mail CPT AR_Retard livraison r閟ines.pdf" xr:uid="{00000000-0004-0000-0100-000020000000}"/>
    <hyperlink ref="T396" r:id="rId34" xr:uid="{00000000-0004-0000-0100-000021000000}"/>
    <hyperlink ref="AC400" r:id="rId35" display="CAP_EMISES 2019\19046 Ennolys\191120 mail AR CPT_R閏lamation 19C132 Ennolys.pdf" xr:uid="{00000000-0004-0000-0100-000022000000}"/>
    <hyperlink ref="AC402" r:id="rId36" display="CAP_EMISES 2019/19048 Puratos/191122 AR R閏lamation_D閘ai de mise %3fdisposition Modules Kerasep .pdf" xr:uid="{00000000-0004-0000-0100-000023000000}"/>
    <hyperlink ref="AC401" r:id="rId37" display="CAP_EMISES 2019/19047 CKD/191121 mail EWI %3fCKD_ Membrane shipment for CKD  Urgent .pdf" xr:uid="{00000000-0004-0000-0100-000024000000}"/>
    <hyperlink ref="A406" r:id="rId38" xr:uid="{00000000-0004-0000-0100-00002A000000}"/>
    <hyperlink ref="A403" r:id="rId39" xr:uid="{00000000-0004-0000-0100-00002B000000}"/>
    <hyperlink ref="A405" r:id="rId40" xr:uid="{00000000-0004-0000-0100-00002C000000}"/>
    <hyperlink ref="A404" r:id="rId41" xr:uid="{00000000-0004-0000-0100-00002D000000}"/>
    <hyperlink ref="A402" r:id="rId42" xr:uid="{00000000-0004-0000-0100-00002E000000}"/>
    <hyperlink ref="A407" r:id="rId43" xr:uid="{00000000-0004-0000-0100-00002F000000}"/>
    <hyperlink ref="A347" r:id="rId44" xr:uid="{00000000-0004-0000-0100-000030000000}"/>
    <hyperlink ref="AC406" r:id="rId45" display="CAP_EMISES 2019\19052 Galactic\191212 AR REC Galactic _ NC-2020-039 CF201302 NOVASEP.pdf" xr:uid="{00000000-0004-0000-0100-000031000000}"/>
    <hyperlink ref="A359" r:id="rId46" xr:uid="{00000000-0004-0000-0100-000032000000}"/>
    <hyperlink ref="A408" r:id="rId47" xr:uid="{00000000-0004-0000-0100-000033000000}"/>
    <hyperlink ref="A397" r:id="rId48" xr:uid="{00000000-0004-0000-0100-000034000000}"/>
    <hyperlink ref="A395" r:id="rId49" xr:uid="{00000000-0004-0000-0100-000035000000}"/>
    <hyperlink ref="A390" r:id="rId50" xr:uid="{00000000-0004-0000-0100-000036000000}"/>
    <hyperlink ref="T407" r:id="rId51" xr:uid="{00000000-0004-0000-0100-000037000000}"/>
    <hyperlink ref="T406" r:id="rId52" xr:uid="{00000000-0004-0000-0100-000038000000}"/>
    <hyperlink ref="A393" r:id="rId53" xr:uid="{00000000-0004-0000-0100-000039000000}"/>
    <hyperlink ref="A392" r:id="rId54" xr:uid="{00000000-0004-0000-0100-00003A000000}"/>
    <hyperlink ref="A357" r:id="rId55" xr:uid="{00000000-0004-0000-0100-00003B000000}"/>
    <hyperlink ref="A398" r:id="rId56" xr:uid="{00000000-0004-0000-0100-00003C000000}"/>
    <hyperlink ref="A400" r:id="rId57" xr:uid="{00000000-0004-0000-0100-00003D000000}"/>
    <hyperlink ref="A409" r:id="rId58" xr:uid="{00000000-0004-0000-0100-00003E000000}"/>
    <hyperlink ref="A401" r:id="rId59" xr:uid="{00000000-0004-0000-0100-00003F000000}"/>
    <hyperlink ref="A410" r:id="rId60" xr:uid="{00000000-0004-0000-0100-000040000000}"/>
    <hyperlink ref="AC410" r:id="rId61" display="CAP_EMISES 2020\20002 ADM US\20 01 31 Dissatisfaction Novasep intervention.pdf" xr:uid="{00000000-0004-0000-0100-000041000000}"/>
    <hyperlink ref="A360" r:id="rId62" xr:uid="{00000000-0004-0000-0100-000042000000}"/>
    <hyperlink ref="A385" r:id="rId63" xr:uid="{00000000-0004-0000-0100-000043000000}"/>
    <hyperlink ref="A388" r:id="rId64" xr:uid="{00000000-0004-0000-0100-000044000000}"/>
    <hyperlink ref="A411" r:id="rId65" xr:uid="{00000000-0004-0000-0100-000045000000}"/>
    <hyperlink ref="A412" r:id="rId66" xr:uid="{00000000-0004-0000-0100-000046000000}"/>
    <hyperlink ref="A413" r:id="rId67" xr:uid="{00000000-0004-0000-0100-000047000000}"/>
    <hyperlink ref="A414" r:id="rId68" xr:uid="{00000000-0004-0000-0100-000048000000}"/>
    <hyperlink ref="T413" r:id="rId69" xr:uid="{00000000-0004-0000-0100-000049000000}"/>
    <hyperlink ref="A415" r:id="rId70" xr:uid="{00000000-0004-0000-0100-00004A000000}"/>
    <hyperlink ref="T415" r:id="rId71" xr:uid="{00000000-0004-0000-0100-00004B000000}"/>
    <hyperlink ref="A416" r:id="rId72" xr:uid="{00000000-0004-0000-0100-00004C000000}"/>
    <hyperlink ref="AC413" r:id="rId73" display="CAP_EMISES 2020\20005 Tereos Nesle\RE_ Réclamation pour défaut membrane.pdf" xr:uid="{00000000-0004-0000-0100-00004D000000}"/>
    <hyperlink ref="A417" r:id="rId74" xr:uid="{00000000-0004-0000-0100-00004E000000}"/>
    <hyperlink ref="A418" r:id="rId75" xr:uid="{00000000-0004-0000-0100-00004F000000}"/>
    <hyperlink ref="A419" r:id="rId76" xr:uid="{00000000-0004-0000-0100-000050000000}"/>
    <hyperlink ref="A420" r:id="rId77" xr:uid="{00000000-0004-0000-0100-000051000000}"/>
    <hyperlink ref="A421" r:id="rId78" xr:uid="{00000000-0004-0000-0100-000052000000}"/>
    <hyperlink ref="A422" r:id="rId79" xr:uid="{00000000-0004-0000-0100-000053000000}"/>
    <hyperlink ref="A423" r:id="rId80" xr:uid="{00000000-0004-0000-0100-000054000000}"/>
    <hyperlink ref="A424" r:id="rId81" xr:uid="{00000000-0004-0000-0100-000055000000}"/>
    <hyperlink ref="A425" r:id="rId82" xr:uid="{00000000-0004-0000-0100-000056000000}"/>
    <hyperlink ref="AC425" r:id="rId83" display="CAP_EMISES 2020\20017 Prolactal\20 06 26 AR Réclamation Prolactal.pdf" xr:uid="{00000000-0004-0000-0100-000057000000}"/>
    <hyperlink ref="AC422" r:id="rId84" display="CAP_EMISES 2020\20014 CKD Module K01\200602 mail CPT AR Claim.pdf" xr:uid="{00000000-0004-0000-0100-000058000000}"/>
    <hyperlink ref="A426" r:id="rId85" xr:uid="{00000000-0004-0000-0100-000059000000}"/>
    <hyperlink ref="A427" r:id="rId86" xr:uid="{00000000-0004-0000-0100-00005A000000}"/>
    <hyperlink ref="A428" r:id="rId87" xr:uid="{00000000-0004-0000-0100-00005B000000}"/>
    <hyperlink ref="A429" r:id="rId88" xr:uid="{00000000-0004-0000-0100-00005C000000}"/>
    <hyperlink ref="A430" r:id="rId89" xr:uid="{00000000-0004-0000-0100-00005D000000}"/>
    <hyperlink ref="T422" r:id="rId90" xr:uid="{00000000-0004-0000-0100-00005E000000}"/>
    <hyperlink ref="A389" r:id="rId91" xr:uid="{00000000-0004-0000-0100-00005F000000}"/>
    <hyperlink ref="T389" r:id="rId92" xr:uid="{00000000-0004-0000-0100-000060000000}"/>
    <hyperlink ref="T388" r:id="rId93" xr:uid="{00000000-0004-0000-0100-000061000000}"/>
    <hyperlink ref="A431" r:id="rId94" xr:uid="{00000000-0004-0000-0100-000062000000}"/>
    <hyperlink ref="A432" r:id="rId95" xr:uid="{00000000-0004-0000-0100-000063000000}"/>
    <hyperlink ref="A433" r:id="rId96" xr:uid="{00000000-0004-0000-0100-000064000000}"/>
    <hyperlink ref="AC433" r:id="rId97" display="CAP_EMISES 2021\21003 GOI étiquetage résine\210118 mail AR Claim_ Supplier_Non-conformance_Novasep_wrong resin labels- 13012021-1.msg" xr:uid="{00000000-0004-0000-0100-000065000000}"/>
    <hyperlink ref="T433" r:id="rId98" xr:uid="{00000000-0004-0000-0100-000066000000}"/>
    <hyperlink ref="A434" r:id="rId99" xr:uid="{00000000-0004-0000-0100-000067000000}"/>
    <hyperlink ref="A436" r:id="rId100" xr:uid="{00000000-0004-0000-0100-000068000000}"/>
    <hyperlink ref="A437" r:id="rId101" xr:uid="{00000000-0004-0000-0100-000069000000}"/>
    <hyperlink ref="A438" r:id="rId102" xr:uid="{00000000-0004-0000-0100-00006A000000}"/>
    <hyperlink ref="A439" r:id="rId103" xr:uid="{00000000-0004-0000-0100-00006B000000}"/>
    <hyperlink ref="A440" r:id="rId104" xr:uid="{00000000-0004-0000-0100-00006C000000}"/>
    <hyperlink ref="T435" r:id="rId105" xr:uid="{00000000-0004-0000-0100-00006D000000}"/>
    <hyperlink ref="A441" r:id="rId106" xr:uid="{00000000-0004-0000-0100-00006E000000}"/>
    <hyperlink ref="A435" r:id="rId107" xr:uid="{00000000-0004-0000-0100-00006F000000}"/>
    <hyperlink ref="T434" r:id="rId108" xr:uid="{00000000-0004-0000-0100-000070000000}"/>
    <hyperlink ref="A442" r:id="rId109" xr:uid="{00000000-0004-0000-0100-000071000000}"/>
    <hyperlink ref="A443" r:id="rId110" xr:uid="{00000000-0004-0000-0100-000072000000}"/>
    <hyperlink ref="A444" r:id="rId111" xr:uid="{00000000-0004-0000-0100-000073000000}"/>
    <hyperlink ref="A445" r:id="rId112" xr:uid="{00000000-0004-0000-0100-000074000000}"/>
    <hyperlink ref="S443" r:id="rId113" xr:uid="{00000000-0004-0000-0100-000075000000}"/>
    <hyperlink ref="S441" r:id="rId114" xr:uid="{00000000-0004-0000-0100-000076000000}"/>
    <hyperlink ref="A447" r:id="rId115" xr:uid="{00000000-0004-0000-0100-000077000000}"/>
    <hyperlink ref="AC447" r:id="rId116" display="CAP_EMISES 2021\21017 Tereos Nesle- mbre NF\210604 AR REC_Réclamation membranes NF.msg" xr:uid="{00000000-0004-0000-0100-000078000000}"/>
    <hyperlink ref="T447" r:id="rId117" xr:uid="{00000000-0004-0000-0100-000079000000}"/>
    <hyperlink ref="AB447" r:id="rId118" display="CAP_EMISES 2021\21017 Tereos Nesle- mbre NF\210531 mail TEREOS Nesle Réclamation sur 2 membranes DURACON 50D.msg" xr:uid="{00000000-0004-0000-0100-00007A000000}"/>
    <hyperlink ref="A448" r:id="rId119" xr:uid="{00000000-0004-0000-0100-00007B000000}"/>
    <hyperlink ref="A449" r:id="rId120" xr:uid="{00000000-0004-0000-0100-00007C000000}"/>
    <hyperlink ref="A446" r:id="rId121" xr:uid="{00000000-0004-0000-0100-00007D000000}"/>
    <hyperlink ref="A450" r:id="rId122" xr:uid="{00000000-0004-0000-0100-00007E000000}"/>
    <hyperlink ref="AB450" r:id="rId123" display="CAP_EMISES 2021\21020 Cargill MicroBA\21 06 28 mail Client_RE MicroBA - Novasep - Info on delivery.msg" xr:uid="{00000000-0004-0000-0100-00007F000000}"/>
    <hyperlink ref="AC450" r:id="rId124" display="CAP_EMISES 2021\21020 Cargill MicroBA\21 06 29 mail ABN Client_ MicroBA - Novasep - Info on delivery.msg" xr:uid="{00000000-0004-0000-0100-000080000000}"/>
    <hyperlink ref="A451" r:id="rId125" xr:uid="{00000000-0004-0000-0100-000081000000}"/>
    <hyperlink ref="AB451" r:id="rId126" display="CAP_EMISES 2021\21021 Cargill Haubourdin\210821 mail client_10.15842 Cargill Haubourdin  Ouverture CAP.msg" xr:uid="{00000000-0004-0000-0100-000082000000}"/>
    <hyperlink ref="A452" r:id="rId127" xr:uid="{00000000-0004-0000-0100-000083000000}"/>
    <hyperlink ref="AC451" r:id="rId128" display="CAP_EMISES 2021\21021 Cargill Haubourdin\Cargill Haubourdin - fuite résine colonne cationique.msg" xr:uid="{00000000-0004-0000-0100-000084000000}"/>
    <hyperlink ref="T452" r:id="rId129" xr:uid="{00000000-0004-0000-0100-000085000000}"/>
    <hyperlink ref="A455" r:id="rId130" xr:uid="{00000000-0004-0000-0100-000086000000}"/>
    <hyperlink ref="AB454" r:id="rId131" display="CAP_EMISES 2021\21024 Fufneg Longjiang\Letter of notication-FF longjiang.docx" xr:uid="{00000000-0004-0000-0100-000087000000}"/>
    <hyperlink ref="A458" r:id="rId132" xr:uid="{00000000-0004-0000-0100-000088000000}"/>
    <hyperlink ref="A456" r:id="rId133" xr:uid="{00000000-0004-0000-0100-000089000000}"/>
    <hyperlink ref="A457" r:id="rId134" xr:uid="{00000000-0004-0000-0100-00008A000000}"/>
    <hyperlink ref="A459" r:id="rId135" xr:uid="{00000000-0004-0000-0100-00008B000000}"/>
    <hyperlink ref="A460" r:id="rId136" xr:uid="{00000000-0004-0000-0100-00008C000000}"/>
    <hyperlink ref="T460" r:id="rId137" xr:uid="{00000000-0004-0000-0100-00008D000000}"/>
    <hyperlink ref="AC462" r:id="rId138" display="CAP_EMISES 2021\21032 Rousselot - raccord entrée-sortie\211021 mail AR CDV_TR Colonnes résines .msg" xr:uid="{7CBCB538-FD01-4992-91AC-7442DAA6EB55}"/>
    <hyperlink ref="AB462" r:id="rId139" display="CAP_EMISES 2021\21032 Rousselot - raccord entrée-sortie\Colonnes résines .msg" xr:uid="{D08E147D-3FBB-40FF-AF03-C17A15124463}"/>
    <hyperlink ref="A461" r:id="rId140" xr:uid="{E394FE05-20B6-4E53-81F9-C2013F25E0F1}"/>
    <hyperlink ref="A462" r:id="rId141" xr:uid="{0932F7B3-D60F-41D1-87A8-C0BA9BBC2214}"/>
    <hyperlink ref="T461" r:id="rId142" xr:uid="{FB99F5F1-591C-431C-A150-5F7E86DC0AB3}"/>
    <hyperlink ref="T462" r:id="rId143" xr:uid="{48E6D3B7-91A8-4B0D-A14B-478568EA02A5}"/>
    <hyperlink ref="T454" r:id="rId144" xr:uid="{7FC0D803-13DD-474B-A049-0E32D9BA5020}"/>
    <hyperlink ref="A463" r:id="rId145" xr:uid="{9AC66943-53E3-4848-8E9C-6DBF80417A70}"/>
    <hyperlink ref="T463" r:id="rId146" xr:uid="{C91FB14F-EDC3-453E-8D99-058461C5EE37}"/>
    <hyperlink ref="A464" r:id="rId147" xr:uid="{E1B2EB2D-6CE2-42EB-A616-809254989222}"/>
    <hyperlink ref="A465" r:id="rId148" xr:uid="{4BBC1100-5361-471C-BB83-09796E67944E}"/>
    <hyperlink ref="A466" r:id="rId149" xr:uid="{6B8C6C2B-4EB6-43FF-80D6-D4C037907625}"/>
    <hyperlink ref="T465" r:id="rId150" xr:uid="{3EB7D2F1-981D-4EAE-93C3-5763E574CD35}"/>
    <hyperlink ref="A467" r:id="rId151" xr:uid="{5C2430CA-B9C9-4FD6-A0EB-E50D923AE463}"/>
    <hyperlink ref="T468" r:id="rId152" xr:uid="{9D6A6DB1-0EDD-4D58-B1F1-5CE4F8701394}"/>
    <hyperlink ref="A468" r:id="rId153" xr:uid="{4280FF7D-9BFA-4F80-AD8C-CC91CFA01C04}"/>
    <hyperlink ref="T466" r:id="rId154" xr:uid="{52A104B6-D4A6-4727-893F-C37CDDCA7D77}"/>
    <hyperlink ref="A454" r:id="rId155" xr:uid="{30701FC0-650C-4CB0-B7ED-52C5AF4A4064}"/>
    <hyperlink ref="A469" r:id="rId156" xr:uid="{8C05B590-6CF2-4D7A-AD69-3DB641523A1E}"/>
    <hyperlink ref="A470" r:id="rId157" xr:uid="{DC2C81A5-85DB-4AA7-BF5C-CC4A26F38439}"/>
    <hyperlink ref="A473" r:id="rId158" xr:uid="{7F10C0DD-EC3B-48D3-AAF8-C10B8C12ED48}"/>
    <hyperlink ref="AC473" r:id="rId159" display="CAP_EMISES 2022\22005 Ram Sucre- Composites Vec\RE Crépine à filtre - colonne de décoloration (Filter-nozzles).msg" xr:uid="{20A717D6-B7F9-4FA9-9AA1-2AEB6832C3EC}"/>
    <hyperlink ref="T473" r:id="rId160" xr:uid="{5101E092-1B4A-43D7-9F2F-64E7AA0AA7E9}"/>
    <hyperlink ref="T469" r:id="rId161" xr:uid="{4E52359F-BCB4-4AB4-ABB5-53A6F849F0C4}"/>
    <hyperlink ref="AC469" r:id="rId162" display="CAP_EMISES 2022\22001 Teréos - Suez\220114 mail AR MGL_RE Problème jeu de 2 membranes.msg" xr:uid="{1BB83A56-D93D-498D-A276-98A84389C0D3}"/>
    <hyperlink ref="A474" r:id="rId163" xr:uid="{47EF5C32-A845-4EE0-9F05-29F108238FFC}"/>
    <hyperlink ref="A475" r:id="rId164" xr:uid="{6677529A-9C29-4B5D-9EC9-6547BF2A79A4}"/>
    <hyperlink ref="T474" r:id="rId165" xr:uid="{7F31D32C-997E-4914-BB83-7A437D25EB26}"/>
    <hyperlink ref="A476" r:id="rId166" xr:uid="{F175B533-BA8B-4A48-9656-8CE5B00F2271}"/>
    <hyperlink ref="A478" r:id="rId167" xr:uid="{3597BCC1-74CD-443B-A9B9-60D9548E939E}"/>
    <hyperlink ref="A479" r:id="rId168" xr:uid="{2C8F4D45-184C-4FA7-BDFE-CF0B51D04FD0}"/>
    <hyperlink ref="A480" r:id="rId169" xr:uid="{2B7B7D88-EDBA-4C8F-9D5D-C5D01067AF19}"/>
    <hyperlink ref="A482" r:id="rId170" xr:uid="{0058B473-B559-430D-877C-2B9534535377}"/>
    <hyperlink ref="AC482" r:id="rId171" display="CAP_EMISES 2022\22014 Parry Sugar\220311 AR REC SSI_TR Confirmation on the nomination for Consignment Pick Up from France to Chennai on CIP Chennai Airport LYS220245467 15773514140.msg" xr:uid="{37251551-0CBB-4ABE-8419-4982BD62C0EE}"/>
    <hyperlink ref="A485" r:id="rId172" xr:uid="{3C8CBD75-B937-457D-A369-C06419C4BD2C}"/>
    <hyperlink ref="A486" r:id="rId173" xr:uid="{6F0AD60E-7E47-409F-9453-88B09A49386F}"/>
    <hyperlink ref="A487" r:id="rId174" xr:uid="{7AD4618D-ADCD-4D83-884F-594D485E6623}"/>
    <hyperlink ref="A488" r:id="rId175" xr:uid="{4EC9B005-3C04-4226-ABF5-AE15297E1AD0}"/>
    <hyperlink ref="A489" r:id="rId176" xr:uid="{693FBC56-BCC8-453C-B877-8379244B10A3}"/>
    <hyperlink ref="A490" r:id="rId177" xr:uid="{4DA9A9C5-7E99-451E-937C-D166553324D0}"/>
    <hyperlink ref="A471" r:id="rId178" xr:uid="{103D0391-41E2-455D-A2ED-2EFD1B1603D5}"/>
    <hyperlink ref="A472" r:id="rId179" xr:uid="{90804B69-4B48-4690-A485-D1268F8E256E}"/>
    <hyperlink ref="A477" r:id="rId180" xr:uid="{1742E7AD-BAB6-4E49-9CC4-A3AFE515C8A2}"/>
    <hyperlink ref="A481" r:id="rId181" xr:uid="{844DAE11-7911-4528-B4B5-481FD0C3A34B}"/>
    <hyperlink ref="A483" r:id="rId182" xr:uid="{91880E56-2652-4C93-B379-764DF714D684}"/>
    <hyperlink ref="A491" r:id="rId183" xr:uid="{AD06A0A8-3B5B-43CB-BFA4-43252ED8C0F2}"/>
    <hyperlink ref="A492" r:id="rId184" xr:uid="{90763B0E-BD81-467A-8E30-4B2E2157CB71}"/>
    <hyperlink ref="A493" r:id="rId185" xr:uid="{AF37A248-B890-445A-A083-1FBA0A6A5901}"/>
    <hyperlink ref="A494" r:id="rId186" xr:uid="{2DC8B771-925E-4AD7-9F2C-7B8C3F9A9737}"/>
    <hyperlink ref="A495" r:id="rId187" xr:uid="{9FF28056-918C-4908-BE7C-B8316F617D21}"/>
    <hyperlink ref="A484" r:id="rId188" xr:uid="{E8757127-6CCE-4FAB-AF03-8221C86C64A6}"/>
    <hyperlink ref="AC476" r:id="rId189" display="CAP_EMISES 2022\22008 Tessier-casse mbre à réception\RE MARCHANDISES CASSEES - LIVRAISON TESSIER - Membranes KERASEP .msg" xr:uid="{6E585D5D-E936-4DE6-A364-2EBB6E0E8CC7}"/>
    <hyperlink ref="A496" r:id="rId190" xr:uid="{B91756F1-AB53-43D3-8924-FAB72B48559D}"/>
    <hyperlink ref="A497" r:id="rId191" xr:uid="{818AD805-BA0E-4964-A094-0DC48E4F23AE}"/>
    <hyperlink ref="A498" r:id="rId192" xr:uid="{62F64118-A5AD-48E5-AC85-334DDA78105C}"/>
    <hyperlink ref="A499" r:id="rId193" xr:uid="{580DD641-3EED-48B8-AB45-55744796D750}"/>
    <hyperlink ref="T498" r:id="rId194" xr:uid="{E7FE1885-040D-4828-A36F-A0B24A2C7A78}"/>
    <hyperlink ref="A501" r:id="rId195" xr:uid="{2C7694BD-ED35-48BD-A963-BFA9E1FC253E}"/>
    <hyperlink ref="A502" r:id="rId196" xr:uid="{77FA73E1-F61B-481B-AC9E-E369A383268A}"/>
    <hyperlink ref="A503" r:id="rId197" xr:uid="{4C4D3C56-B8D5-4CC2-9678-0497B83801B3}"/>
    <hyperlink ref="A504" r:id="rId198" xr:uid="{E1C2145D-C349-4FAB-BEA2-805D76E11AC2}"/>
    <hyperlink ref="A505" r:id="rId199" xr:uid="{E8146FEA-F9EE-4D4A-B18F-D51E32209813}"/>
    <hyperlink ref="A506" r:id="rId200" xr:uid="{5DD79B07-D3CC-4843-B64E-C6E1B1522BB2}"/>
    <hyperlink ref="A507" r:id="rId201" xr:uid="{77BC8381-30C3-43B8-BFC4-6D5AC3F6B67B}"/>
    <hyperlink ref="A508" r:id="rId202" xr:uid="{41585C67-60DE-4245-8EB8-37AB5152E8A1}"/>
    <hyperlink ref="AB508" r:id="rId203" display="CAP_EMISES 2022\22040 Sanofi-Etiquette\220921 mail réponse SGU_PR590548.msg" xr:uid="{F62F173D-55EA-4530-A78F-C219836802F3}"/>
    <hyperlink ref="AC508" r:id="rId204" display="CAP_EMISES 2022\22040 Sanofi-Etiquette\220921 mail réponse SGU_PR590548.msg" xr:uid="{EC366358-B1F6-44F5-821E-2D9D337E9523}"/>
    <hyperlink ref="A509" r:id="rId205" xr:uid="{B6392331-4DEA-4130-A0A4-E06DFD75D199}"/>
    <hyperlink ref="T509" r:id="rId206" xr:uid="{C8F21133-D549-495A-8656-CD3CD9B70F43}"/>
    <hyperlink ref="T507" r:id="rId207" xr:uid="{DB7E353B-C4D0-459C-A242-8192A9A32B5C}"/>
    <hyperlink ref="T503" r:id="rId208" xr:uid="{E3BA2FCD-A533-43EE-ACD2-153C52E3E45A}"/>
    <hyperlink ref="T497" r:id="rId209" xr:uid="{767D8F9C-A2B9-4D8C-9681-92D9C0D0A9AE}"/>
    <hyperlink ref="A510" r:id="rId210" xr:uid="{EB8AD66D-DAB1-4CFD-BE5C-23CAA5A41457}"/>
    <hyperlink ref="A511" r:id="rId211" xr:uid="{A194377F-61FC-4CD0-B4C7-06E0F45F0913}"/>
    <hyperlink ref="A513" r:id="rId212" xr:uid="{4FE2C061-868A-407F-A39F-4AA82AF18416}"/>
    <hyperlink ref="T513" r:id="rId213" xr:uid="{779BF94F-A76E-4BBF-AA07-79A8CB48047C}"/>
    <hyperlink ref="A521" r:id="rId214" xr:uid="{C88F9C99-DA2C-4406-9969-4C627ED08FD9}"/>
    <hyperlink ref="A520" r:id="rId215" xr:uid="{5A3091F3-0EDD-4CAC-8EF8-F50F7AF05676}"/>
    <hyperlink ref="A522" r:id="rId216" xr:uid="{8A07D38A-6AF4-40C9-91A7-99EB4B763124}"/>
    <hyperlink ref="A523" r:id="rId217" xr:uid="{845085FD-7789-4D27-AB07-DC57E63F8BB3}"/>
    <hyperlink ref="A524" r:id="rId218" xr:uid="{27A680AF-46D2-4238-802E-0E7E4E1327CF}"/>
    <hyperlink ref="A526" r:id="rId219" xr:uid="{A7B7436F-1594-4765-8D06-A22B50A41C44}"/>
    <hyperlink ref="AC526" r:id="rId220" display="C:\Users\nscpt\OneDrive - Novasep Process Solutions\AQHSE\1-Qualite\1-FICHES_CAP\CAP_EMISES 2023\23007 DSM-Qualifiltre\230227 mail AR Réclamation DBA_Siebec Filter Bags - DSM stock code UV02911209.msg" xr:uid="{69508230-1011-4C00-8724-411E6EAE7B34}"/>
    <hyperlink ref="AC520" r:id="rId221" display="C:\Users\nscpt\OneDrive - Novasep Process Solutions\AQHSE\1-Qualite\1-FICHES_CAP\CAP_EMISES 2023\23001 Sanofi DNE membranes\230106 mail SGU_RE RF NOVASEP - PR590905 - Test DNE non conforme sur équipement UF minéral PRP V16.msg" xr:uid="{7CA51E15-788D-4E66-8FE1-76BBE4D04FE2}"/>
    <hyperlink ref="AC522" r:id="rId222" display="C:\Users\nscpt\OneDrive - Novasep Process Solutions\AQHSE\1-Qualite\1-FICHES_CAP\CAP_EMISES 2023\23003 Cargill BOZ- joints EPDM\230123 mail XRO_RE Cargill-BoZ-ISEP Gaskets side window looks already worn-out and easy failure of the side glass..msg" xr:uid="{DFADB69D-3C45-46FF-8FDA-F6BDC807CBD9}"/>
    <hyperlink ref="AC528" r:id="rId223" display="CAP_EMISES 2023/23009 Cévital- Bolloré erreur démarquage/2023.02.22 courrier Cévital.pdf" xr:uid="{01485CCA-464C-4310-AAFB-AF3287322189}"/>
    <hyperlink ref="A527" r:id="rId224" xr:uid="{091D63DC-2035-45EC-94F7-D1330658D56D}"/>
    <hyperlink ref="A528" r:id="rId225" xr:uid="{A3BFC547-A40C-49E5-8E0F-FD11D72565A6}"/>
    <hyperlink ref="T520" r:id="rId226" xr:uid="{804599D4-789D-49A0-9715-D42AA05E454D}"/>
    <hyperlink ref="A530" r:id="rId227" xr:uid="{26B05835-3C9E-4176-B7FF-5E41AF6D84B6}"/>
    <hyperlink ref="AB526" r:id="rId228" display="CAP_EMISES 2023/23007 DSM-Qualifiltre/230224 mail DSM_RE Siebec Filter Bags - DSM stock code UV02911209.msg" xr:uid="{30A0ECD0-7978-445A-86C3-F9F06B03C8B4}"/>
    <hyperlink ref="A531" r:id="rId229" xr:uid="{79BA6FF6-978F-416B-BDC6-A875AADA4162}"/>
    <hyperlink ref="A535" r:id="rId230" xr:uid="{EA22EF23-102E-4CD8-9E11-65BF078E8FF8}"/>
    <hyperlink ref="A536" r:id="rId231" xr:uid="{FBEB2006-DFE9-4A5A-99A7-4B25DCB9B588}"/>
    <hyperlink ref="A539" r:id="rId232" xr:uid="{067AFB49-19C8-4572-A52A-54F240385D5D}"/>
    <hyperlink ref="A540" r:id="rId233" xr:uid="{FBCFF952-86BB-4026-AAF7-D7C8E5B35D62}"/>
    <hyperlink ref="A541" r:id="rId234" xr:uid="{6DC65607-CE9F-4446-968D-8EDE29DF4FC7}"/>
    <hyperlink ref="A542" r:id="rId235" xr:uid="{305C14E8-2B05-461A-9109-CB134945C625}"/>
    <hyperlink ref="A543" r:id="rId236" xr:uid="{2B48FC77-9FBD-43A4-9B8A-9FAA9FBC3C06}"/>
    <hyperlink ref="A544" r:id="rId237" xr:uid="{CB2B8953-8539-457C-8DC2-4FEAED167F13}"/>
    <hyperlink ref="A545" r:id="rId238" xr:uid="{9D64B4D7-356F-4456-8C74-6F272F54A0F9}"/>
    <hyperlink ref="A546" r:id="rId239" xr:uid="{B9033149-E4F6-4486-BAF3-A54BE1C59E07}"/>
    <hyperlink ref="A547" r:id="rId240" xr:uid="{D1989C4B-2FE9-45A4-99F9-EE2321D05FAE}"/>
    <hyperlink ref="A548" r:id="rId241" xr:uid="{2D404A53-BFA2-4DBE-BF7F-BF5D27AA3F42}"/>
    <hyperlink ref="T547" r:id="rId242" xr:uid="{9C75231F-F4FD-4AAF-9485-1C3664AFFD29}"/>
    <hyperlink ref="T545" r:id="rId243" xr:uid="{13D484B5-FFA0-459F-83DE-FC505423E1DC}"/>
    <hyperlink ref="A552" r:id="rId244" xr:uid="{7F921967-99E4-4784-8E62-F48551571877}"/>
    <hyperlink ref="T548" r:id="rId245" xr:uid="{95F45D1A-F108-4573-AAB4-52EB9539014C}"/>
    <hyperlink ref="A553" r:id="rId246" xr:uid="{1BD75E92-F9C2-462E-9D23-699479641FB4}"/>
    <hyperlink ref="A559" r:id="rId247" xr:uid="{FA0A9BC9-53E7-485C-9F5B-2508A69106BF}"/>
    <hyperlink ref="T559" r:id="rId248" xr:uid="{1C3BE08B-4667-4D76-8665-F7605BA19F33}"/>
    <hyperlink ref="T577" r:id="rId249" xr:uid="{E87EAB64-BE0D-498B-B584-4A0AD9C6D8C1}"/>
    <hyperlink ref="T576" r:id="rId250" xr:uid="{AADDB46B-6057-483C-A005-39F40F839081}"/>
    <hyperlink ref="T581" r:id="rId251" xr:uid="{1B978E58-FB4A-4945-B6C5-923471EE76BC}"/>
    <hyperlink ref="T583" r:id="rId252" xr:uid="{7F3D8049-F437-46A6-8604-974854B5F05F}"/>
    <hyperlink ref="T586" r:id="rId253" xr:uid="{9CF55F68-46FD-4F1D-A440-E6EA99EE9ADA}"/>
  </hyperlinks>
  <pageMargins left="0.7" right="0.7" top="0.75" bottom="0.75" header="0.3" footer="0.3"/>
  <pageSetup paperSize="8" scale="97" fitToHeight="0" orientation="landscape" r:id="rId254"/>
  <legacyDrawing r:id="rId255"/>
  <tableParts count="1">
    <tablePart r:id="rId2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C6B3-959A-42BC-809B-5C20AE581FD9}">
  <dimension ref="A3:XEV24"/>
  <sheetViews>
    <sheetView tabSelected="1" workbookViewId="0">
      <selection activeCell="G29" sqref="G29"/>
    </sheetView>
  </sheetViews>
  <sheetFormatPr defaultRowHeight="12.5" x14ac:dyDescent="0.25"/>
  <cols>
    <col min="15" max="15" width="19.81640625" customWidth="1"/>
    <col min="21" max="21" width="13.6328125" customWidth="1"/>
    <col min="25" max="25" width="13" customWidth="1"/>
    <col min="26" max="26" width="16.08984375" customWidth="1"/>
  </cols>
  <sheetData>
    <row r="3" spans="1:16376" ht="13" x14ac:dyDescent="0.3">
      <c r="A3" s="4" t="s">
        <v>64</v>
      </c>
      <c r="B3" s="5"/>
      <c r="C3" s="6"/>
      <c r="D3" s="5"/>
      <c r="E3" s="5"/>
      <c r="F3" s="5"/>
      <c r="G3" s="7"/>
      <c r="H3" s="7"/>
      <c r="I3" s="5"/>
      <c r="J3" s="5"/>
      <c r="K3" s="14"/>
      <c r="L3" s="14"/>
      <c r="M3" s="14"/>
      <c r="N3" s="15"/>
      <c r="O3" s="14"/>
      <c r="P3" s="16"/>
      <c r="Q3" s="31"/>
      <c r="R3" s="16"/>
      <c r="S3" s="16"/>
      <c r="T3" s="16"/>
      <c r="U3" s="16"/>
      <c r="V3" s="16"/>
      <c r="W3" s="16"/>
      <c r="X3" s="16"/>
      <c r="Y3" s="32"/>
      <c r="Z3" s="14"/>
      <c r="AA3" s="14"/>
      <c r="AB3" s="14"/>
      <c r="AC3" s="14"/>
      <c r="AD3" s="15"/>
      <c r="AE3" s="15"/>
      <c r="AF3" s="48"/>
      <c r="AG3" s="76"/>
      <c r="AH3" s="76"/>
      <c r="AI3" s="76"/>
      <c r="AJ3" s="49">
        <f ca="1">EDATE(AJ4,-3)</f>
        <v>45959</v>
      </c>
      <c r="AK3" s="50"/>
      <c r="AL3" s="50"/>
      <c r="AM3" s="50"/>
      <c r="AN3" s="50"/>
    </row>
    <row r="4" spans="1:16376" ht="13" x14ac:dyDescent="0.3">
      <c r="A4" s="8"/>
      <c r="B4" s="8"/>
      <c r="C4" s="8"/>
      <c r="D4" s="8"/>
      <c r="E4" s="8"/>
      <c r="F4" s="8"/>
      <c r="G4" s="9"/>
      <c r="H4" s="9"/>
      <c r="I4" s="17"/>
      <c r="J4" s="8"/>
      <c r="K4" s="18"/>
      <c r="L4" s="18" t="s">
        <v>65</v>
      </c>
      <c r="M4" s="19"/>
      <c r="N4" s="20"/>
      <c r="O4" s="21" t="s">
        <v>66</v>
      </c>
      <c r="P4" s="22"/>
      <c r="Q4" s="22"/>
      <c r="R4" s="33"/>
      <c r="S4" s="22"/>
      <c r="T4" s="34" t="s">
        <v>67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265" t="s">
        <v>68</v>
      </c>
      <c r="AH4" s="265"/>
      <c r="AI4" s="265"/>
      <c r="AJ4" s="51">
        <f ca="1">TODAY()</f>
        <v>46051</v>
      </c>
      <c r="AK4" s="37"/>
      <c r="AL4" s="56"/>
      <c r="AM4" s="57"/>
      <c r="AN4" s="57"/>
    </row>
    <row r="5" spans="1:16376" ht="13" x14ac:dyDescent="0.3">
      <c r="A5" s="10"/>
      <c r="B5" s="10"/>
      <c r="C5" s="10"/>
      <c r="D5" s="10"/>
      <c r="E5" s="10"/>
      <c r="F5" s="10"/>
      <c r="G5" s="11"/>
      <c r="H5" s="11"/>
      <c r="I5" s="23"/>
      <c r="J5" s="10"/>
      <c r="K5" s="24"/>
      <c r="L5" s="24"/>
      <c r="M5" s="25"/>
      <c r="N5" s="26"/>
      <c r="O5" s="27"/>
      <c r="P5" s="28"/>
      <c r="Q5" s="28"/>
      <c r="R5" s="36"/>
      <c r="S5" s="28"/>
      <c r="T5" s="34" t="s">
        <v>69</v>
      </c>
      <c r="U5" s="37"/>
      <c r="V5" s="38" t="s">
        <v>70</v>
      </c>
      <c r="W5" s="39"/>
      <c r="X5" s="40"/>
      <c r="Y5" s="41" t="s">
        <v>71</v>
      </c>
      <c r="Z5" s="52"/>
      <c r="AA5" s="53"/>
      <c r="AB5" s="267" t="s">
        <v>72</v>
      </c>
      <c r="AC5" s="268"/>
      <c r="AD5" s="268"/>
      <c r="AE5" s="268"/>
      <c r="AF5" s="269"/>
      <c r="AG5" s="264" t="s">
        <v>68</v>
      </c>
      <c r="AH5" s="265"/>
      <c r="AI5" s="266"/>
      <c r="AJ5" s="34" t="s">
        <v>73</v>
      </c>
      <c r="AK5" s="37"/>
      <c r="AL5" s="58"/>
      <c r="AM5" s="59"/>
      <c r="AN5" s="59"/>
    </row>
    <row r="6" spans="1:16376" ht="12" hidden="1" customHeight="1" x14ac:dyDescent="0.3">
      <c r="A6" s="12"/>
      <c r="B6" s="12"/>
      <c r="C6" s="12"/>
      <c r="D6" s="12"/>
      <c r="E6" s="12"/>
      <c r="F6" s="12"/>
      <c r="G6" s="13"/>
      <c r="H6" s="13"/>
      <c r="I6" s="29"/>
      <c r="J6" s="30"/>
      <c r="K6" s="12"/>
      <c r="L6" s="12"/>
      <c r="M6" s="29"/>
      <c r="N6" s="30"/>
      <c r="O6" s="12"/>
      <c r="P6" s="12"/>
      <c r="Q6" s="29"/>
      <c r="R6" s="42"/>
      <c r="S6" s="77"/>
      <c r="T6" s="43"/>
      <c r="U6" s="44"/>
      <c r="V6" s="45"/>
      <c r="W6" s="46"/>
      <c r="X6" s="47"/>
      <c r="Y6" s="47"/>
      <c r="Z6" s="47"/>
      <c r="AA6" s="44"/>
      <c r="AB6" s="54"/>
      <c r="AC6" s="54"/>
      <c r="AD6" s="54"/>
      <c r="AE6" s="45"/>
      <c r="AF6" s="42"/>
      <c r="AG6" s="77"/>
      <c r="AH6" s="77"/>
      <c r="AI6" s="77"/>
      <c r="AJ6" s="43"/>
      <c r="AK6" s="55"/>
      <c r="AL6" s="60"/>
      <c r="AM6" s="61"/>
    </row>
    <row r="7" spans="1:16376" ht="62.5" customHeight="1" x14ac:dyDescent="0.25">
      <c r="A7" s="87" t="s">
        <v>30</v>
      </c>
      <c r="B7" s="88" t="s">
        <v>31</v>
      </c>
      <c r="C7" s="89" t="s">
        <v>0</v>
      </c>
      <c r="D7" s="90" t="s">
        <v>27</v>
      </c>
      <c r="E7" s="89" t="s">
        <v>32</v>
      </c>
      <c r="F7" s="89" t="s">
        <v>33</v>
      </c>
      <c r="G7" s="91" t="s">
        <v>34</v>
      </c>
      <c r="H7" s="91" t="s">
        <v>35</v>
      </c>
      <c r="I7" s="92" t="s">
        <v>26</v>
      </c>
      <c r="J7" s="89" t="s">
        <v>36</v>
      </c>
      <c r="K7" s="93" t="s">
        <v>37</v>
      </c>
      <c r="L7" s="93" t="s">
        <v>22</v>
      </c>
      <c r="M7" s="93" t="s">
        <v>38</v>
      </c>
      <c r="N7" s="93" t="s">
        <v>39</v>
      </c>
      <c r="O7" s="84" t="s">
        <v>1</v>
      </c>
      <c r="P7" s="84" t="s">
        <v>40</v>
      </c>
      <c r="Q7" s="84" t="s">
        <v>41</v>
      </c>
      <c r="R7" s="84" t="s">
        <v>42</v>
      </c>
      <c r="S7" s="84" t="s">
        <v>43</v>
      </c>
      <c r="T7" s="63" t="s">
        <v>44</v>
      </c>
      <c r="U7" s="63" t="s">
        <v>74</v>
      </c>
      <c r="V7" s="85" t="s">
        <v>45</v>
      </c>
      <c r="W7" s="85" t="s">
        <v>46</v>
      </c>
      <c r="X7" s="85" t="s">
        <v>47</v>
      </c>
      <c r="Y7" s="86" t="s">
        <v>48</v>
      </c>
      <c r="Z7" s="86" t="s">
        <v>49</v>
      </c>
      <c r="AA7" s="86" t="s">
        <v>50</v>
      </c>
      <c r="AB7" s="83" t="s">
        <v>51</v>
      </c>
      <c r="AC7" s="83" t="s">
        <v>52</v>
      </c>
      <c r="AD7" s="83" t="s">
        <v>2059</v>
      </c>
      <c r="AE7" s="83" t="s">
        <v>2060</v>
      </c>
      <c r="AF7" s="83" t="s">
        <v>55</v>
      </c>
      <c r="AG7" s="94" t="s">
        <v>56</v>
      </c>
      <c r="AH7" s="94" t="s">
        <v>57</v>
      </c>
      <c r="AI7" s="94" t="s">
        <v>58</v>
      </c>
      <c r="AJ7" s="63" t="s">
        <v>59</v>
      </c>
      <c r="AK7" s="63" t="s">
        <v>60</v>
      </c>
      <c r="AL7" s="63" t="s">
        <v>61</v>
      </c>
      <c r="AM7" s="95" t="s">
        <v>62</v>
      </c>
      <c r="AN7" s="95" t="s">
        <v>63</v>
      </c>
    </row>
    <row r="8" spans="1:16376" ht="13" x14ac:dyDescent="0.3">
      <c r="A8" s="82"/>
      <c r="B8" s="207">
        <v>24002</v>
      </c>
      <c r="C8" s="210" t="s">
        <v>164</v>
      </c>
      <c r="D8" s="211" t="s">
        <v>2107</v>
      </c>
      <c r="E8" s="211" t="s">
        <v>1920</v>
      </c>
      <c r="F8" s="212" t="s">
        <v>2056</v>
      </c>
      <c r="G8" s="211" t="s">
        <v>2108</v>
      </c>
      <c r="H8" s="73" t="s">
        <v>2133</v>
      </c>
      <c r="I8" s="211" t="s">
        <v>9</v>
      </c>
      <c r="J8" s="111"/>
      <c r="K8" s="73"/>
      <c r="L8" s="73"/>
      <c r="M8" s="215" t="s">
        <v>6</v>
      </c>
      <c r="N8" s="210" t="s">
        <v>1965</v>
      </c>
      <c r="O8" s="208">
        <v>45352</v>
      </c>
      <c r="P8" s="209">
        <v>45398</v>
      </c>
      <c r="Q8" s="221">
        <v>45397</v>
      </c>
      <c r="R8" s="216" t="s">
        <v>6</v>
      </c>
      <c r="S8" s="208"/>
      <c r="T8" s="73"/>
      <c r="U8" s="73"/>
      <c r="V8" s="73"/>
      <c r="W8" s="217" t="s">
        <v>1894</v>
      </c>
      <c r="X8" s="218">
        <v>750</v>
      </c>
      <c r="Y8" s="218">
        <v>0</v>
      </c>
      <c r="Z8" s="222">
        <v>750</v>
      </c>
      <c r="AA8" s="219"/>
      <c r="AB8" s="73"/>
      <c r="AC8" s="73"/>
      <c r="AD8" s="220" t="s">
        <v>2217</v>
      </c>
      <c r="AE8" s="220" t="s">
        <v>2218</v>
      </c>
      <c r="AF8" s="217"/>
      <c r="AG8" s="217"/>
      <c r="AH8" s="217"/>
      <c r="AI8" s="217"/>
      <c r="AJ8" s="217"/>
      <c r="AK8" s="217"/>
      <c r="AL8" s="217"/>
      <c r="AM8" s="217"/>
    </row>
    <row r="9" spans="1:16376" ht="13" x14ac:dyDescent="0.3">
      <c r="A9" s="82"/>
      <c r="B9" s="207">
        <v>24003</v>
      </c>
      <c r="C9" s="210" t="s">
        <v>164</v>
      </c>
      <c r="D9" s="211" t="s">
        <v>2109</v>
      </c>
      <c r="E9" s="211" t="s">
        <v>1668</v>
      </c>
      <c r="F9" s="212" t="s">
        <v>5</v>
      </c>
      <c r="G9" s="211" t="s">
        <v>2110</v>
      </c>
      <c r="H9" s="73" t="s">
        <v>916</v>
      </c>
      <c r="I9" s="211" t="s">
        <v>9</v>
      </c>
      <c r="J9" s="111"/>
      <c r="K9" s="73"/>
      <c r="L9" s="73"/>
      <c r="M9" s="215" t="s">
        <v>6</v>
      </c>
      <c r="N9" s="210" t="s">
        <v>1854</v>
      </c>
      <c r="O9" s="208">
        <v>45321</v>
      </c>
      <c r="P9" s="209">
        <v>45404</v>
      </c>
      <c r="Q9" s="221">
        <v>45418</v>
      </c>
      <c r="R9" s="216" t="s">
        <v>10</v>
      </c>
      <c r="S9" s="208">
        <v>45304</v>
      </c>
      <c r="T9" s="208">
        <v>45304</v>
      </c>
      <c r="U9" s="208">
        <v>45443</v>
      </c>
      <c r="V9" s="221">
        <v>45418</v>
      </c>
      <c r="W9" s="217" t="s">
        <v>6</v>
      </c>
      <c r="X9" s="218">
        <v>7000</v>
      </c>
      <c r="Y9" s="218">
        <v>3832</v>
      </c>
      <c r="Z9" s="222">
        <v>10832</v>
      </c>
      <c r="AA9" s="219"/>
      <c r="AB9" s="73"/>
      <c r="AC9" s="73"/>
      <c r="AD9" s="220" t="s">
        <v>2219</v>
      </c>
      <c r="AE9" s="220" t="s">
        <v>2220</v>
      </c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7"/>
      <c r="CA9" s="217"/>
      <c r="CB9" s="217"/>
      <c r="CC9" s="217"/>
      <c r="CD9" s="217"/>
      <c r="CE9" s="217"/>
      <c r="CF9" s="217"/>
      <c r="CG9" s="217"/>
      <c r="CH9" s="217"/>
      <c r="CI9" s="217"/>
      <c r="CJ9" s="217"/>
      <c r="CK9" s="217"/>
      <c r="CL9" s="217"/>
      <c r="CM9" s="217"/>
      <c r="CN9" s="217"/>
      <c r="CO9" s="217"/>
      <c r="CP9" s="217"/>
      <c r="CQ9" s="217"/>
      <c r="CR9" s="217"/>
      <c r="CS9" s="217"/>
      <c r="CT9" s="217"/>
      <c r="CU9" s="217"/>
      <c r="CV9" s="217"/>
      <c r="CW9" s="217"/>
      <c r="CX9" s="217"/>
      <c r="CY9" s="217"/>
      <c r="CZ9" s="217"/>
      <c r="DA9" s="217"/>
      <c r="DB9" s="217"/>
      <c r="DC9" s="217"/>
      <c r="DD9" s="217"/>
      <c r="DE9" s="217"/>
      <c r="DF9" s="217"/>
      <c r="DG9" s="217"/>
      <c r="DH9" s="217"/>
      <c r="DI9" s="217"/>
      <c r="DJ9" s="217"/>
      <c r="DK9" s="217"/>
      <c r="DL9" s="217"/>
      <c r="DM9" s="217"/>
      <c r="DN9" s="217"/>
      <c r="DO9" s="217"/>
      <c r="DP9" s="217"/>
      <c r="DQ9" s="217"/>
      <c r="DR9" s="217"/>
      <c r="DS9" s="217"/>
      <c r="DT9" s="217"/>
      <c r="DU9" s="217"/>
      <c r="DV9" s="217"/>
      <c r="DW9" s="217"/>
      <c r="DX9" s="217"/>
      <c r="DY9" s="217"/>
      <c r="DZ9" s="217"/>
      <c r="EA9" s="217"/>
      <c r="EB9" s="217"/>
      <c r="EC9" s="217"/>
      <c r="ED9" s="217"/>
      <c r="EE9" s="217"/>
      <c r="EF9" s="217"/>
      <c r="EG9" s="217"/>
      <c r="EH9" s="217"/>
      <c r="EI9" s="217"/>
      <c r="EJ9" s="217"/>
      <c r="EK9" s="217"/>
      <c r="EL9" s="217"/>
      <c r="EM9" s="217"/>
      <c r="EN9" s="217"/>
      <c r="EO9" s="217"/>
      <c r="EP9" s="217"/>
      <c r="EQ9" s="217"/>
      <c r="ER9" s="217"/>
      <c r="ES9" s="217"/>
      <c r="ET9" s="217"/>
      <c r="EU9" s="217"/>
      <c r="EV9" s="217"/>
      <c r="EW9" s="217"/>
      <c r="EX9" s="217"/>
      <c r="EY9" s="217"/>
      <c r="EZ9" s="217"/>
      <c r="FA9" s="217"/>
      <c r="FB9" s="217"/>
      <c r="FC9" s="217"/>
      <c r="FD9" s="217"/>
      <c r="FE9" s="217"/>
      <c r="FF9" s="217"/>
      <c r="FG9" s="217"/>
      <c r="FH9" s="217"/>
      <c r="FI9" s="217"/>
      <c r="FJ9" s="217"/>
      <c r="FK9" s="217"/>
      <c r="FL9" s="217"/>
      <c r="FM9" s="217"/>
      <c r="FN9" s="217"/>
      <c r="FO9" s="217"/>
      <c r="FP9" s="217"/>
      <c r="FQ9" s="217"/>
      <c r="FR9" s="217"/>
      <c r="FS9" s="217"/>
      <c r="FT9" s="217"/>
      <c r="FU9" s="217"/>
      <c r="FV9" s="217"/>
      <c r="FW9" s="217"/>
      <c r="FX9" s="217"/>
      <c r="FY9" s="217"/>
      <c r="FZ9" s="217"/>
      <c r="GA9" s="217"/>
      <c r="GB9" s="217"/>
      <c r="GC9" s="217"/>
      <c r="GD9" s="217"/>
      <c r="GE9" s="217"/>
      <c r="GF9" s="217"/>
      <c r="GG9" s="217"/>
      <c r="GH9" s="217"/>
      <c r="GI9" s="217"/>
      <c r="GJ9" s="217"/>
      <c r="GK9" s="217"/>
      <c r="GL9" s="217"/>
      <c r="GM9" s="217"/>
      <c r="GN9" s="217"/>
      <c r="GO9" s="217"/>
      <c r="GP9" s="217"/>
      <c r="GQ9" s="217"/>
      <c r="GR9" s="217"/>
      <c r="GS9" s="217"/>
      <c r="GT9" s="217"/>
      <c r="GU9" s="217"/>
      <c r="GV9" s="217"/>
      <c r="GW9" s="217"/>
      <c r="GX9" s="217"/>
      <c r="GY9" s="217"/>
      <c r="GZ9" s="217"/>
      <c r="HA9" s="217"/>
      <c r="HB9" s="217"/>
      <c r="HC9" s="217"/>
      <c r="HD9" s="217"/>
      <c r="HE9" s="217"/>
      <c r="HF9" s="217"/>
      <c r="HG9" s="217"/>
      <c r="HH9" s="217"/>
      <c r="HI9" s="217"/>
      <c r="HJ9" s="217"/>
      <c r="HK9" s="217"/>
      <c r="HL9" s="217"/>
      <c r="HM9" s="217"/>
      <c r="HN9" s="217"/>
      <c r="HO9" s="217"/>
      <c r="HP9" s="217"/>
      <c r="HQ9" s="217"/>
      <c r="HR9" s="217"/>
      <c r="HS9" s="217"/>
      <c r="HT9" s="217"/>
      <c r="HU9" s="217"/>
      <c r="HV9" s="217"/>
      <c r="HW9" s="217"/>
      <c r="HX9" s="217"/>
      <c r="HY9" s="217"/>
      <c r="HZ9" s="217"/>
      <c r="IA9" s="217"/>
      <c r="IB9" s="217"/>
      <c r="IC9" s="217"/>
      <c r="ID9" s="217"/>
      <c r="IE9" s="217"/>
      <c r="IF9" s="217"/>
      <c r="IG9" s="217"/>
      <c r="IH9" s="217"/>
      <c r="II9" s="217"/>
      <c r="IJ9" s="217"/>
      <c r="IK9" s="217"/>
      <c r="IL9" s="217"/>
      <c r="IM9" s="217"/>
      <c r="IN9" s="217"/>
      <c r="IO9" s="217"/>
      <c r="IP9" s="217"/>
      <c r="IQ9" s="217"/>
      <c r="IR9" s="217"/>
      <c r="IS9" s="217"/>
      <c r="IT9" s="217"/>
      <c r="IU9" s="217"/>
      <c r="IV9" s="217"/>
      <c r="IW9" s="217"/>
      <c r="IX9" s="217"/>
      <c r="IY9" s="217"/>
      <c r="IZ9" s="217"/>
      <c r="JA9" s="217"/>
      <c r="JB9" s="217"/>
      <c r="JC9" s="217"/>
      <c r="JD9" s="217"/>
      <c r="JE9" s="217"/>
      <c r="JF9" s="217"/>
      <c r="JG9" s="217"/>
      <c r="JH9" s="217"/>
      <c r="JI9" s="217"/>
      <c r="JJ9" s="217"/>
      <c r="JK9" s="217"/>
      <c r="JL9" s="217"/>
      <c r="JM9" s="217"/>
      <c r="JN9" s="217"/>
      <c r="JO9" s="217"/>
      <c r="JP9" s="217"/>
      <c r="JQ9" s="217"/>
      <c r="JR9" s="217"/>
      <c r="JS9" s="217"/>
      <c r="JT9" s="217"/>
      <c r="JU9" s="217"/>
      <c r="JV9" s="217"/>
      <c r="JW9" s="217"/>
      <c r="JX9" s="217"/>
      <c r="JY9" s="217"/>
      <c r="JZ9" s="217"/>
      <c r="KA9" s="217"/>
      <c r="KB9" s="217"/>
      <c r="KC9" s="217"/>
      <c r="KD9" s="217"/>
      <c r="KE9" s="217"/>
      <c r="KF9" s="217"/>
      <c r="KG9" s="217"/>
      <c r="KH9" s="217"/>
      <c r="KI9" s="217"/>
      <c r="KJ9" s="217"/>
      <c r="KK9" s="217"/>
      <c r="KL9" s="217"/>
      <c r="KM9" s="217"/>
      <c r="KN9" s="217"/>
      <c r="KO9" s="217"/>
      <c r="KP9" s="217"/>
      <c r="KQ9" s="217"/>
      <c r="KR9" s="217"/>
      <c r="KS9" s="217"/>
      <c r="KT9" s="217"/>
      <c r="KU9" s="217"/>
      <c r="KV9" s="217"/>
      <c r="KW9" s="217"/>
      <c r="KX9" s="217"/>
      <c r="KY9" s="217"/>
      <c r="KZ9" s="217"/>
      <c r="LA9" s="217"/>
      <c r="LB9" s="217"/>
      <c r="LC9" s="217"/>
      <c r="LD9" s="217"/>
      <c r="LE9" s="217"/>
      <c r="LF9" s="217"/>
      <c r="LG9" s="217"/>
      <c r="LH9" s="217"/>
      <c r="LI9" s="217"/>
      <c r="LJ9" s="217"/>
      <c r="LK9" s="217"/>
      <c r="LL9" s="217"/>
      <c r="LM9" s="217"/>
      <c r="LN9" s="217"/>
      <c r="LO9" s="217"/>
      <c r="LP9" s="217"/>
      <c r="LQ9" s="217"/>
      <c r="LR9" s="217"/>
      <c r="LS9" s="217"/>
      <c r="LT9" s="217"/>
      <c r="LU9" s="217"/>
      <c r="LV9" s="217"/>
      <c r="LW9" s="217"/>
      <c r="LX9" s="217"/>
      <c r="LY9" s="217"/>
      <c r="LZ9" s="217"/>
      <c r="MA9" s="217"/>
      <c r="MB9" s="217"/>
      <c r="MC9" s="217"/>
      <c r="MD9" s="217"/>
      <c r="ME9" s="217"/>
      <c r="MF9" s="217"/>
      <c r="MG9" s="217"/>
      <c r="MH9" s="217"/>
      <c r="MI9" s="217"/>
      <c r="MJ9" s="217"/>
      <c r="MK9" s="217"/>
      <c r="ML9" s="217"/>
      <c r="MM9" s="217"/>
      <c r="MN9" s="217"/>
      <c r="MO9" s="217"/>
      <c r="MP9" s="217"/>
      <c r="MQ9" s="217"/>
      <c r="MR9" s="217"/>
      <c r="MS9" s="217"/>
      <c r="MT9" s="217"/>
      <c r="MU9" s="217"/>
      <c r="MV9" s="217"/>
      <c r="MW9" s="217"/>
      <c r="MX9" s="217"/>
      <c r="MY9" s="217"/>
      <c r="MZ9" s="217"/>
      <c r="NA9" s="217"/>
      <c r="NB9" s="217"/>
      <c r="NC9" s="217"/>
      <c r="ND9" s="217"/>
      <c r="NE9" s="217"/>
      <c r="NF9" s="217"/>
      <c r="NG9" s="217"/>
      <c r="NH9" s="217"/>
      <c r="NI9" s="217"/>
      <c r="NJ9" s="217"/>
      <c r="NK9" s="217"/>
      <c r="NL9" s="217"/>
      <c r="NM9" s="217"/>
      <c r="NN9" s="217"/>
      <c r="NO9" s="217"/>
      <c r="NP9" s="217"/>
      <c r="NQ9" s="217"/>
      <c r="NR9" s="217"/>
      <c r="NS9" s="217"/>
      <c r="NT9" s="217"/>
      <c r="NU9" s="217"/>
      <c r="NV9" s="217"/>
      <c r="NW9" s="217"/>
      <c r="NX9" s="217"/>
      <c r="NY9" s="217"/>
      <c r="NZ9" s="217"/>
      <c r="OA9" s="217"/>
      <c r="OB9" s="217"/>
      <c r="OC9" s="217"/>
      <c r="OD9" s="217"/>
      <c r="OE9" s="217"/>
      <c r="OF9" s="217"/>
      <c r="OG9" s="217"/>
      <c r="OH9" s="217"/>
      <c r="OI9" s="217"/>
      <c r="OJ9" s="217"/>
      <c r="OK9" s="217"/>
      <c r="OL9" s="217"/>
      <c r="OM9" s="217"/>
      <c r="ON9" s="217"/>
      <c r="OO9" s="217"/>
      <c r="OP9" s="217"/>
      <c r="OQ9" s="217"/>
      <c r="OR9" s="217"/>
      <c r="OS9" s="217"/>
      <c r="OT9" s="217"/>
      <c r="OU9" s="217"/>
      <c r="OV9" s="217"/>
      <c r="OW9" s="217"/>
      <c r="OX9" s="217"/>
      <c r="OY9" s="217"/>
      <c r="OZ9" s="217"/>
      <c r="PA9" s="217"/>
      <c r="PB9" s="217"/>
      <c r="PC9" s="217"/>
      <c r="PD9" s="217"/>
      <c r="PE9" s="217"/>
      <c r="PF9" s="217"/>
      <c r="PG9" s="217"/>
      <c r="PH9" s="217"/>
      <c r="PI9" s="217"/>
      <c r="PJ9" s="217"/>
      <c r="PK9" s="217"/>
      <c r="PL9" s="217"/>
      <c r="PM9" s="217"/>
      <c r="PN9" s="217"/>
      <c r="PO9" s="217"/>
      <c r="PP9" s="217"/>
      <c r="PQ9" s="217"/>
      <c r="PR9" s="217"/>
      <c r="PS9" s="217"/>
      <c r="PT9" s="217"/>
      <c r="PU9" s="217"/>
      <c r="PV9" s="217"/>
      <c r="PW9" s="217"/>
      <c r="PX9" s="217"/>
      <c r="PY9" s="217"/>
      <c r="PZ9" s="217"/>
      <c r="QA9" s="217"/>
      <c r="QB9" s="217"/>
      <c r="QC9" s="217"/>
      <c r="QD9" s="217"/>
      <c r="QE9" s="217"/>
      <c r="QF9" s="217"/>
      <c r="QG9" s="217"/>
      <c r="QH9" s="217"/>
      <c r="QI9" s="217"/>
      <c r="QJ9" s="217"/>
      <c r="QK9" s="217"/>
      <c r="QL9" s="217"/>
      <c r="QM9" s="217"/>
      <c r="QN9" s="217"/>
      <c r="QO9" s="217"/>
      <c r="QP9" s="217"/>
      <c r="QQ9" s="217"/>
      <c r="QR9" s="217"/>
      <c r="QS9" s="217"/>
      <c r="QT9" s="217"/>
      <c r="QU9" s="217"/>
      <c r="QV9" s="217"/>
      <c r="QW9" s="217"/>
      <c r="QX9" s="217"/>
      <c r="QY9" s="217"/>
      <c r="QZ9" s="217"/>
      <c r="RA9" s="217"/>
      <c r="RB9" s="217"/>
      <c r="RC9" s="217"/>
      <c r="RD9" s="217"/>
      <c r="RE9" s="217"/>
      <c r="RF9" s="217"/>
      <c r="RG9" s="217"/>
      <c r="RH9" s="217"/>
      <c r="RI9" s="217"/>
      <c r="RJ9" s="217"/>
      <c r="RK9" s="217"/>
      <c r="RL9" s="217"/>
      <c r="RM9" s="217"/>
      <c r="RN9" s="217"/>
      <c r="RO9" s="217"/>
      <c r="RP9" s="217"/>
      <c r="RQ9" s="217"/>
      <c r="RR9" s="217"/>
      <c r="RS9" s="217"/>
      <c r="RT9" s="217"/>
      <c r="RU9" s="217"/>
      <c r="RV9" s="217"/>
      <c r="RW9" s="217"/>
      <c r="RX9" s="217"/>
      <c r="RY9" s="217"/>
      <c r="RZ9" s="217"/>
      <c r="SA9" s="217"/>
      <c r="SB9" s="217"/>
      <c r="SC9" s="217"/>
      <c r="SD9" s="217"/>
      <c r="SE9" s="217"/>
      <c r="SF9" s="217"/>
      <c r="SG9" s="217"/>
      <c r="SH9" s="217"/>
      <c r="SI9" s="217"/>
      <c r="SJ9" s="217"/>
      <c r="SK9" s="217"/>
      <c r="SL9" s="217"/>
      <c r="SM9" s="217"/>
      <c r="SN9" s="217"/>
      <c r="SO9" s="217"/>
      <c r="SP9" s="217"/>
      <c r="SQ9" s="217"/>
      <c r="SR9" s="217"/>
      <c r="SS9" s="217"/>
      <c r="ST9" s="217"/>
      <c r="SU9" s="217"/>
      <c r="SV9" s="217"/>
      <c r="SW9" s="217"/>
      <c r="SX9" s="217"/>
      <c r="SY9" s="217"/>
      <c r="SZ9" s="217"/>
      <c r="TA9" s="217"/>
      <c r="TB9" s="217"/>
      <c r="TC9" s="217"/>
      <c r="TD9" s="217"/>
      <c r="TE9" s="217"/>
      <c r="TF9" s="217"/>
      <c r="TG9" s="217"/>
      <c r="TH9" s="217"/>
      <c r="TI9" s="217"/>
      <c r="TJ9" s="217"/>
      <c r="TK9" s="217"/>
      <c r="TL9" s="217"/>
      <c r="TM9" s="217"/>
      <c r="TN9" s="217"/>
      <c r="TO9" s="217"/>
      <c r="TP9" s="217"/>
      <c r="TQ9" s="217"/>
      <c r="TR9" s="217"/>
      <c r="TS9" s="217"/>
      <c r="TT9" s="217"/>
      <c r="TU9" s="217"/>
      <c r="TV9" s="217"/>
      <c r="TW9" s="217"/>
      <c r="TX9" s="217"/>
      <c r="TY9" s="217"/>
      <c r="TZ9" s="217"/>
      <c r="UA9" s="217"/>
      <c r="UB9" s="217"/>
      <c r="UC9" s="217"/>
      <c r="UD9" s="217"/>
      <c r="UE9" s="217"/>
      <c r="UF9" s="217"/>
      <c r="UG9" s="217"/>
      <c r="UH9" s="217"/>
      <c r="UI9" s="217"/>
      <c r="UJ9" s="217"/>
      <c r="UK9" s="217"/>
      <c r="UL9" s="217"/>
      <c r="UM9" s="217"/>
      <c r="UN9" s="217"/>
      <c r="UO9" s="217"/>
      <c r="UP9" s="217"/>
      <c r="UQ9" s="217"/>
      <c r="UR9" s="217"/>
      <c r="US9" s="217"/>
      <c r="UT9" s="217"/>
      <c r="UU9" s="217"/>
      <c r="UV9" s="217"/>
      <c r="UW9" s="217"/>
      <c r="UX9" s="217"/>
      <c r="UY9" s="217"/>
      <c r="UZ9" s="217"/>
      <c r="VA9" s="217"/>
      <c r="VB9" s="217"/>
      <c r="VC9" s="217"/>
      <c r="VD9" s="217"/>
      <c r="VE9" s="217"/>
      <c r="VF9" s="217"/>
      <c r="VG9" s="217"/>
      <c r="VH9" s="217"/>
      <c r="VI9" s="217"/>
      <c r="VJ9" s="217"/>
      <c r="VK9" s="217"/>
      <c r="VL9" s="217"/>
      <c r="VM9" s="217"/>
      <c r="VN9" s="217"/>
      <c r="VO9" s="217"/>
      <c r="VP9" s="217"/>
      <c r="VQ9" s="217"/>
      <c r="VR9" s="217"/>
      <c r="VS9" s="217"/>
      <c r="VT9" s="217"/>
      <c r="VU9" s="217"/>
      <c r="VV9" s="217"/>
      <c r="VW9" s="217"/>
      <c r="VX9" s="217"/>
      <c r="VY9" s="217"/>
      <c r="VZ9" s="217"/>
      <c r="WA9" s="217"/>
      <c r="WB9" s="217"/>
      <c r="WC9" s="217"/>
      <c r="WD9" s="217"/>
      <c r="WE9" s="217"/>
      <c r="WF9" s="217"/>
      <c r="WG9" s="217"/>
      <c r="WH9" s="217"/>
      <c r="WI9" s="217"/>
      <c r="WJ9" s="217"/>
      <c r="WK9" s="217"/>
      <c r="WL9" s="217"/>
      <c r="WM9" s="217"/>
      <c r="WN9" s="217"/>
      <c r="WO9" s="217"/>
      <c r="WP9" s="217"/>
      <c r="WQ9" s="217"/>
      <c r="WR9" s="217"/>
      <c r="WS9" s="217"/>
      <c r="WT9" s="217"/>
      <c r="WU9" s="217"/>
      <c r="WV9" s="217"/>
      <c r="WW9" s="217"/>
      <c r="WX9" s="217"/>
      <c r="WY9" s="217"/>
      <c r="WZ9" s="217"/>
      <c r="XA9" s="217"/>
      <c r="XB9" s="217"/>
      <c r="XC9" s="217"/>
      <c r="XD9" s="217"/>
      <c r="XE9" s="217"/>
      <c r="XF9" s="217"/>
      <c r="XG9" s="217"/>
      <c r="XH9" s="217"/>
      <c r="XI9" s="217"/>
      <c r="XJ9" s="217"/>
      <c r="XK9" s="217"/>
      <c r="XL9" s="217"/>
      <c r="XM9" s="217"/>
      <c r="XN9" s="217"/>
      <c r="XO9" s="217"/>
      <c r="XP9" s="217"/>
      <c r="XQ9" s="217"/>
      <c r="XR9" s="217"/>
      <c r="XS9" s="217"/>
      <c r="XT9" s="217"/>
      <c r="XU9" s="217"/>
      <c r="XV9" s="217"/>
      <c r="XW9" s="217"/>
      <c r="XX9" s="217"/>
      <c r="XY9" s="217"/>
      <c r="XZ9" s="217"/>
      <c r="YA9" s="217"/>
      <c r="YB9" s="217"/>
      <c r="YC9" s="217"/>
      <c r="YD9" s="217"/>
      <c r="YE9" s="217"/>
      <c r="YF9" s="217"/>
      <c r="YG9" s="217"/>
      <c r="YH9" s="217"/>
      <c r="YI9" s="217"/>
      <c r="YJ9" s="217"/>
      <c r="YK9" s="217"/>
      <c r="YL9" s="217"/>
      <c r="YM9" s="217"/>
      <c r="YN9" s="217"/>
      <c r="YO9" s="217"/>
      <c r="YP9" s="217"/>
      <c r="YQ9" s="217"/>
      <c r="YR9" s="217"/>
      <c r="YS9" s="217"/>
      <c r="YT9" s="217"/>
      <c r="YU9" s="217"/>
      <c r="YV9" s="217"/>
      <c r="YW9" s="217"/>
      <c r="YX9" s="217"/>
      <c r="YY9" s="217"/>
      <c r="YZ9" s="217"/>
      <c r="ZA9" s="217"/>
      <c r="ZB9" s="217"/>
      <c r="ZC9" s="217"/>
      <c r="ZD9" s="217"/>
      <c r="ZE9" s="217"/>
      <c r="ZF9" s="217"/>
      <c r="ZG9" s="217"/>
      <c r="ZH9" s="217"/>
      <c r="ZI9" s="217"/>
      <c r="ZJ9" s="217"/>
      <c r="ZK9" s="217"/>
      <c r="ZL9" s="217"/>
      <c r="ZM9" s="217"/>
      <c r="ZN9" s="217"/>
      <c r="ZO9" s="217"/>
      <c r="ZP9" s="217"/>
      <c r="ZQ9" s="217"/>
      <c r="ZR9" s="217"/>
      <c r="ZS9" s="217"/>
      <c r="ZT9" s="217"/>
      <c r="ZU9" s="217"/>
      <c r="ZV9" s="217"/>
      <c r="ZW9" s="217"/>
      <c r="ZX9" s="217"/>
      <c r="ZY9" s="217"/>
      <c r="ZZ9" s="217"/>
      <c r="AAA9" s="217"/>
      <c r="AAB9" s="217"/>
      <c r="AAC9" s="217"/>
      <c r="AAD9" s="217"/>
      <c r="AAE9" s="217"/>
      <c r="AAF9" s="217"/>
      <c r="AAG9" s="217"/>
      <c r="AAH9" s="217"/>
      <c r="AAI9" s="217"/>
      <c r="AAJ9" s="217"/>
      <c r="AAK9" s="217"/>
      <c r="AAL9" s="217"/>
      <c r="AAM9" s="217"/>
      <c r="AAN9" s="217"/>
      <c r="AAO9" s="217"/>
      <c r="AAP9" s="217"/>
      <c r="AAQ9" s="217"/>
      <c r="AAR9" s="217"/>
      <c r="AAS9" s="217"/>
      <c r="AAT9" s="217"/>
      <c r="AAU9" s="217"/>
      <c r="AAV9" s="217"/>
      <c r="AAW9" s="217"/>
      <c r="AAX9" s="217"/>
      <c r="AAY9" s="217"/>
      <c r="AAZ9" s="217"/>
      <c r="ABA9" s="217"/>
      <c r="ABB9" s="217"/>
      <c r="ABC9" s="217"/>
      <c r="ABD9" s="217"/>
      <c r="ABE9" s="217"/>
      <c r="ABF9" s="217"/>
      <c r="ABG9" s="217"/>
      <c r="ABH9" s="217"/>
      <c r="ABI9" s="217"/>
      <c r="ABJ9" s="217"/>
      <c r="ABK9" s="217"/>
      <c r="ABL9" s="217"/>
      <c r="ABM9" s="217"/>
      <c r="ABN9" s="217"/>
      <c r="ABO9" s="217"/>
      <c r="ABP9" s="217"/>
      <c r="ABQ9" s="217"/>
      <c r="ABR9" s="217"/>
      <c r="ABS9" s="217"/>
      <c r="ABT9" s="217"/>
      <c r="ABU9" s="217"/>
      <c r="ABV9" s="217"/>
      <c r="ABW9" s="217"/>
      <c r="ABX9" s="217"/>
      <c r="ABY9" s="217"/>
      <c r="ABZ9" s="217"/>
      <c r="ACA9" s="217"/>
      <c r="ACB9" s="217"/>
      <c r="ACC9" s="217"/>
      <c r="ACD9" s="217"/>
      <c r="ACE9" s="217"/>
      <c r="ACF9" s="217"/>
      <c r="ACG9" s="217"/>
      <c r="ACH9" s="217"/>
      <c r="ACI9" s="217"/>
      <c r="ACJ9" s="217"/>
      <c r="ACK9" s="217"/>
      <c r="ACL9" s="217"/>
      <c r="ACM9" s="217"/>
      <c r="ACN9" s="217"/>
      <c r="ACO9" s="217"/>
      <c r="ACP9" s="217"/>
      <c r="ACQ9" s="217"/>
      <c r="ACR9" s="217"/>
      <c r="ACS9" s="217"/>
      <c r="ACT9" s="217"/>
      <c r="ACU9" s="217"/>
      <c r="ACV9" s="217"/>
      <c r="ACW9" s="217"/>
      <c r="ACX9" s="217"/>
      <c r="ACY9" s="217"/>
      <c r="ACZ9" s="217"/>
      <c r="ADA9" s="217"/>
      <c r="ADB9" s="217"/>
      <c r="ADC9" s="217"/>
      <c r="ADD9" s="217"/>
      <c r="ADE9" s="217"/>
      <c r="ADF9" s="217"/>
      <c r="ADG9" s="217"/>
      <c r="ADH9" s="217"/>
      <c r="ADI9" s="217"/>
      <c r="ADJ9" s="217"/>
      <c r="ADK9" s="217"/>
      <c r="ADL9" s="217"/>
      <c r="ADM9" s="217"/>
      <c r="ADN9" s="217"/>
      <c r="ADO9" s="217"/>
      <c r="ADP9" s="217"/>
      <c r="ADQ9" s="217"/>
      <c r="ADR9" s="217"/>
      <c r="ADS9" s="217"/>
      <c r="ADT9" s="217"/>
      <c r="ADU9" s="217"/>
      <c r="ADV9" s="217"/>
      <c r="ADW9" s="217"/>
      <c r="ADX9" s="217"/>
      <c r="ADY9" s="217"/>
      <c r="ADZ9" s="217"/>
      <c r="AEA9" s="217"/>
      <c r="AEB9" s="217"/>
      <c r="AEC9" s="217"/>
      <c r="AED9" s="217"/>
      <c r="AEE9" s="217"/>
      <c r="AEF9" s="217"/>
      <c r="AEG9" s="217"/>
      <c r="AEH9" s="217"/>
      <c r="AEI9" s="217"/>
      <c r="AEJ9" s="217"/>
      <c r="AEK9" s="217"/>
      <c r="AEL9" s="217"/>
      <c r="AEM9" s="217"/>
      <c r="AEN9" s="217"/>
      <c r="AEO9" s="217"/>
      <c r="AEP9" s="217"/>
      <c r="AEQ9" s="217"/>
      <c r="AER9" s="217"/>
      <c r="AES9" s="217"/>
      <c r="AET9" s="217"/>
      <c r="AEU9" s="217"/>
      <c r="AEV9" s="217"/>
      <c r="AEW9" s="217"/>
      <c r="AEX9" s="217"/>
      <c r="AEY9" s="217"/>
      <c r="AEZ9" s="217"/>
      <c r="AFA9" s="217"/>
      <c r="AFB9" s="217"/>
      <c r="AFC9" s="217"/>
      <c r="AFD9" s="217"/>
      <c r="AFE9" s="217"/>
      <c r="AFF9" s="217"/>
      <c r="AFG9" s="217"/>
      <c r="AFH9" s="217"/>
      <c r="AFI9" s="217"/>
      <c r="AFJ9" s="217"/>
      <c r="AFK9" s="217"/>
      <c r="AFL9" s="217"/>
      <c r="AFM9" s="217"/>
      <c r="AFN9" s="217"/>
      <c r="AFO9" s="217"/>
      <c r="AFP9" s="217"/>
      <c r="AFQ9" s="217"/>
      <c r="AFR9" s="217"/>
      <c r="AFS9" s="217"/>
      <c r="AFT9" s="217"/>
      <c r="AFU9" s="217"/>
      <c r="AFV9" s="217"/>
      <c r="AFW9" s="217"/>
      <c r="AFX9" s="217"/>
      <c r="AFY9" s="217"/>
      <c r="AFZ9" s="217"/>
      <c r="AGA9" s="217"/>
      <c r="AGB9" s="217"/>
      <c r="AGC9" s="217"/>
      <c r="AGD9" s="217"/>
      <c r="AGE9" s="217"/>
      <c r="AGF9" s="217"/>
      <c r="AGG9" s="217"/>
      <c r="AGH9" s="217"/>
      <c r="AGI9" s="217"/>
      <c r="AGJ9" s="217"/>
      <c r="AGK9" s="217"/>
      <c r="AGL9" s="217"/>
      <c r="AGM9" s="217"/>
      <c r="AGN9" s="217"/>
      <c r="AGO9" s="217"/>
      <c r="AGP9" s="217"/>
      <c r="AGQ9" s="217"/>
      <c r="AGR9" s="217"/>
      <c r="AGS9" s="217"/>
      <c r="AGT9" s="217"/>
      <c r="AGU9" s="217"/>
      <c r="AGV9" s="217"/>
      <c r="AGW9" s="217"/>
      <c r="AGX9" s="217"/>
      <c r="AGY9" s="217"/>
      <c r="AGZ9" s="217"/>
      <c r="AHA9" s="217"/>
      <c r="AHB9" s="217"/>
      <c r="AHC9" s="217"/>
      <c r="AHD9" s="217"/>
      <c r="AHE9" s="217"/>
      <c r="AHF9" s="217"/>
      <c r="AHG9" s="217"/>
      <c r="AHH9" s="217"/>
      <c r="AHI9" s="217"/>
      <c r="AHJ9" s="217"/>
      <c r="AHK9" s="217"/>
      <c r="AHL9" s="217"/>
      <c r="AHM9" s="217"/>
      <c r="AHN9" s="217"/>
      <c r="AHO9" s="217"/>
      <c r="AHP9" s="217"/>
      <c r="AHQ9" s="217"/>
      <c r="AHR9" s="217"/>
      <c r="AHS9" s="217"/>
      <c r="AHT9" s="217"/>
      <c r="AHU9" s="217"/>
      <c r="AHV9" s="217"/>
      <c r="AHW9" s="217"/>
      <c r="AHX9" s="217"/>
      <c r="AHY9" s="217"/>
      <c r="AHZ9" s="217"/>
      <c r="AIA9" s="217"/>
      <c r="AIB9" s="217"/>
      <c r="AIC9" s="217"/>
      <c r="AID9" s="217"/>
      <c r="AIE9" s="217"/>
      <c r="AIF9" s="217"/>
      <c r="AIG9" s="217"/>
      <c r="AIH9" s="217"/>
      <c r="AII9" s="217"/>
      <c r="AIJ9" s="217"/>
      <c r="AIK9" s="217"/>
      <c r="AIL9" s="217"/>
      <c r="AIM9" s="217"/>
      <c r="AIN9" s="217"/>
      <c r="AIO9" s="217"/>
      <c r="AIP9" s="217"/>
      <c r="AIQ9" s="217"/>
      <c r="AIR9" s="217"/>
      <c r="AIS9" s="217"/>
      <c r="AIT9" s="217"/>
      <c r="AIU9" s="217"/>
      <c r="AIV9" s="217"/>
      <c r="AIW9" s="217"/>
      <c r="AIX9" s="217"/>
      <c r="AIY9" s="217"/>
      <c r="AIZ9" s="217"/>
      <c r="AJA9" s="217"/>
      <c r="AJB9" s="217"/>
      <c r="AJC9" s="217"/>
      <c r="AJD9" s="217"/>
      <c r="AJE9" s="217"/>
      <c r="AJF9" s="217"/>
      <c r="AJG9" s="217"/>
      <c r="AJH9" s="217"/>
      <c r="AJI9" s="217"/>
      <c r="AJJ9" s="217"/>
      <c r="AJK9" s="217"/>
      <c r="AJL9" s="217"/>
      <c r="AJM9" s="217"/>
      <c r="AJN9" s="217"/>
      <c r="AJO9" s="217"/>
      <c r="AJP9" s="217"/>
      <c r="AJQ9" s="217"/>
      <c r="AJR9" s="217"/>
      <c r="AJS9" s="217"/>
      <c r="AJT9" s="217"/>
      <c r="AJU9" s="217"/>
      <c r="AJV9" s="217"/>
      <c r="AJW9" s="217"/>
      <c r="AJX9" s="217"/>
      <c r="AJY9" s="217"/>
      <c r="AJZ9" s="217"/>
      <c r="AKA9" s="217"/>
      <c r="AKB9" s="217"/>
      <c r="AKC9" s="217"/>
      <c r="AKD9" s="217"/>
      <c r="AKE9" s="217"/>
      <c r="AKF9" s="217"/>
      <c r="AKG9" s="217"/>
      <c r="AKH9" s="217"/>
      <c r="AKI9" s="217"/>
      <c r="AKJ9" s="217"/>
      <c r="AKK9" s="217"/>
      <c r="AKL9" s="217"/>
      <c r="AKM9" s="217"/>
      <c r="AKN9" s="217"/>
      <c r="AKO9" s="217"/>
      <c r="AKP9" s="217"/>
      <c r="AKQ9" s="217"/>
      <c r="AKR9" s="217"/>
      <c r="AKS9" s="217"/>
      <c r="AKT9" s="217"/>
      <c r="AKU9" s="217"/>
      <c r="AKV9" s="217"/>
      <c r="AKW9" s="217"/>
      <c r="AKX9" s="217"/>
      <c r="AKY9" s="217"/>
      <c r="AKZ9" s="217"/>
      <c r="ALA9" s="217"/>
      <c r="ALB9" s="217"/>
      <c r="ALC9" s="217"/>
      <c r="ALD9" s="217"/>
      <c r="ALE9" s="217"/>
      <c r="ALF9" s="217"/>
      <c r="ALG9" s="217"/>
      <c r="ALH9" s="217"/>
      <c r="ALI9" s="217"/>
      <c r="ALJ9" s="217"/>
      <c r="ALK9" s="217"/>
      <c r="ALL9" s="217"/>
      <c r="ALM9" s="217"/>
      <c r="ALN9" s="217"/>
      <c r="ALO9" s="217"/>
      <c r="ALP9" s="217"/>
      <c r="ALQ9" s="217"/>
      <c r="ALR9" s="217"/>
      <c r="ALS9" s="217"/>
      <c r="ALT9" s="217"/>
      <c r="ALU9" s="217"/>
      <c r="ALV9" s="217"/>
      <c r="ALW9" s="217"/>
      <c r="ALX9" s="217"/>
      <c r="ALY9" s="217"/>
      <c r="ALZ9" s="217"/>
      <c r="AMA9" s="217"/>
      <c r="AMB9" s="217"/>
      <c r="AMC9" s="217"/>
      <c r="AMD9" s="217"/>
      <c r="AME9" s="217"/>
      <c r="AMF9" s="217"/>
      <c r="AMG9" s="217"/>
      <c r="AMH9" s="217"/>
      <c r="AMI9" s="217"/>
      <c r="AMJ9" s="217"/>
      <c r="AMK9" s="217"/>
      <c r="AML9" s="217"/>
      <c r="AMM9" s="217"/>
      <c r="AMN9" s="217"/>
      <c r="AMO9" s="217"/>
      <c r="AMP9" s="217"/>
      <c r="AMQ9" s="217"/>
      <c r="AMR9" s="217"/>
      <c r="AMS9" s="217"/>
      <c r="AMT9" s="217"/>
      <c r="AMU9" s="217"/>
      <c r="AMV9" s="217"/>
      <c r="AMW9" s="217"/>
      <c r="AMX9" s="217"/>
      <c r="AMY9" s="217"/>
      <c r="AMZ9" s="217"/>
      <c r="ANA9" s="217"/>
      <c r="ANB9" s="217"/>
      <c r="ANC9" s="217"/>
      <c r="AND9" s="217"/>
      <c r="ANE9" s="217"/>
      <c r="ANF9" s="217"/>
      <c r="ANG9" s="217"/>
      <c r="ANH9" s="217"/>
      <c r="ANI9" s="217"/>
      <c r="ANJ9" s="217"/>
      <c r="ANK9" s="217"/>
      <c r="ANL9" s="217"/>
      <c r="ANM9" s="217"/>
      <c r="ANN9" s="217"/>
      <c r="ANO9" s="217"/>
      <c r="ANP9" s="217"/>
      <c r="ANQ9" s="217"/>
      <c r="ANR9" s="217"/>
      <c r="ANS9" s="217"/>
      <c r="ANT9" s="217"/>
      <c r="ANU9" s="217"/>
      <c r="ANV9" s="217"/>
      <c r="ANW9" s="217"/>
      <c r="ANX9" s="217"/>
      <c r="ANY9" s="217"/>
      <c r="ANZ9" s="217"/>
      <c r="AOA9" s="217"/>
      <c r="AOB9" s="217"/>
      <c r="AOC9" s="217"/>
      <c r="AOD9" s="217"/>
      <c r="AOE9" s="217"/>
      <c r="AOF9" s="217"/>
      <c r="AOG9" s="217"/>
      <c r="AOH9" s="217"/>
      <c r="AOI9" s="217"/>
      <c r="AOJ9" s="217"/>
      <c r="AOK9" s="217"/>
      <c r="AOL9" s="217"/>
      <c r="AOM9" s="217"/>
      <c r="AON9" s="217"/>
      <c r="AOO9" s="217"/>
      <c r="AOP9" s="217"/>
      <c r="AOQ9" s="217"/>
      <c r="AOR9" s="217"/>
      <c r="AOS9" s="217"/>
      <c r="AOT9" s="217"/>
      <c r="AOU9" s="217"/>
      <c r="AOV9" s="217"/>
      <c r="AOW9" s="217"/>
      <c r="AOX9" s="217"/>
      <c r="AOY9" s="217"/>
      <c r="AOZ9" s="217"/>
      <c r="APA9" s="217"/>
      <c r="APB9" s="217"/>
      <c r="APC9" s="217"/>
      <c r="APD9" s="217"/>
      <c r="APE9" s="217"/>
      <c r="APF9" s="217"/>
      <c r="APG9" s="217"/>
      <c r="APH9" s="217"/>
      <c r="API9" s="217"/>
      <c r="APJ9" s="217"/>
      <c r="APK9" s="217"/>
      <c r="APL9" s="217"/>
      <c r="APM9" s="217"/>
      <c r="APN9" s="217"/>
      <c r="APO9" s="217"/>
      <c r="APP9" s="217"/>
      <c r="APQ9" s="217"/>
      <c r="APR9" s="217"/>
      <c r="APS9" s="217"/>
      <c r="APT9" s="217"/>
      <c r="APU9" s="217"/>
      <c r="APV9" s="217"/>
      <c r="APW9" s="217"/>
      <c r="APX9" s="217"/>
      <c r="APY9" s="217"/>
      <c r="APZ9" s="217"/>
      <c r="AQA9" s="217"/>
      <c r="AQB9" s="217"/>
      <c r="AQC9" s="217"/>
      <c r="AQD9" s="217"/>
      <c r="AQE9" s="217"/>
      <c r="AQF9" s="217"/>
      <c r="AQG9" s="217"/>
      <c r="AQH9" s="217"/>
      <c r="AQI9" s="217"/>
      <c r="AQJ9" s="217"/>
      <c r="AQK9" s="217"/>
      <c r="AQL9" s="217"/>
      <c r="AQM9" s="217"/>
      <c r="AQN9" s="217"/>
      <c r="AQO9" s="217"/>
      <c r="AQP9" s="217"/>
      <c r="AQQ9" s="217"/>
      <c r="AQR9" s="217"/>
      <c r="AQS9" s="217"/>
      <c r="AQT9" s="217"/>
      <c r="AQU9" s="217"/>
      <c r="AQV9" s="217"/>
      <c r="AQW9" s="217"/>
      <c r="AQX9" s="217"/>
      <c r="AQY9" s="217"/>
      <c r="AQZ9" s="217"/>
      <c r="ARA9" s="217"/>
      <c r="ARB9" s="217"/>
      <c r="ARC9" s="217"/>
      <c r="ARD9" s="217"/>
      <c r="ARE9" s="217"/>
      <c r="ARF9" s="217"/>
      <c r="ARG9" s="217"/>
      <c r="ARH9" s="217"/>
      <c r="ARI9" s="217"/>
      <c r="ARJ9" s="217"/>
      <c r="ARK9" s="217"/>
      <c r="ARL9" s="217"/>
      <c r="ARM9" s="217"/>
      <c r="ARN9" s="217"/>
      <c r="ARO9" s="217"/>
      <c r="ARP9" s="217"/>
      <c r="ARQ9" s="217"/>
      <c r="ARR9" s="217"/>
      <c r="ARS9" s="217"/>
      <c r="ART9" s="217"/>
      <c r="ARU9" s="217"/>
      <c r="ARV9" s="217"/>
      <c r="ARW9" s="217"/>
      <c r="ARX9" s="217"/>
      <c r="ARY9" s="217"/>
      <c r="ARZ9" s="217"/>
      <c r="ASA9" s="217"/>
      <c r="ASB9" s="217"/>
      <c r="ASC9" s="217"/>
      <c r="ASD9" s="217"/>
      <c r="ASE9" s="217"/>
      <c r="ASF9" s="217"/>
      <c r="ASG9" s="217"/>
      <c r="ASH9" s="217"/>
      <c r="ASI9" s="217"/>
      <c r="ASJ9" s="217"/>
      <c r="ASK9" s="217"/>
      <c r="ASL9" s="217"/>
      <c r="ASM9" s="217"/>
      <c r="ASN9" s="217"/>
      <c r="ASO9" s="217"/>
      <c r="ASP9" s="217"/>
      <c r="ASQ9" s="217"/>
      <c r="ASR9" s="217"/>
      <c r="ASS9" s="217"/>
      <c r="AST9" s="217"/>
      <c r="ASU9" s="217"/>
      <c r="ASV9" s="217"/>
      <c r="ASW9" s="217"/>
      <c r="ASX9" s="217"/>
      <c r="ASY9" s="217"/>
      <c r="ASZ9" s="217"/>
      <c r="ATA9" s="217"/>
      <c r="ATB9" s="217"/>
      <c r="ATC9" s="217"/>
      <c r="ATD9" s="217"/>
      <c r="ATE9" s="217"/>
      <c r="ATF9" s="217"/>
      <c r="ATG9" s="217"/>
      <c r="ATH9" s="217"/>
      <c r="ATI9" s="217"/>
      <c r="ATJ9" s="217"/>
      <c r="ATK9" s="217"/>
      <c r="ATL9" s="217"/>
      <c r="ATM9" s="217"/>
      <c r="ATN9" s="217"/>
      <c r="ATO9" s="217"/>
      <c r="ATP9" s="217"/>
      <c r="ATQ9" s="217"/>
      <c r="ATR9" s="217"/>
      <c r="ATS9" s="217"/>
      <c r="ATT9" s="217"/>
      <c r="ATU9" s="217"/>
      <c r="ATV9" s="217"/>
      <c r="ATW9" s="217"/>
      <c r="ATX9" s="217"/>
      <c r="ATY9" s="217"/>
      <c r="ATZ9" s="217"/>
      <c r="AUA9" s="217"/>
      <c r="AUB9" s="217"/>
      <c r="AUC9" s="217"/>
      <c r="AUD9" s="217"/>
      <c r="AUE9" s="217"/>
      <c r="AUF9" s="217"/>
      <c r="AUG9" s="217"/>
      <c r="AUH9" s="217"/>
      <c r="AUI9" s="217"/>
      <c r="AUJ9" s="217"/>
      <c r="AUK9" s="217"/>
      <c r="AUL9" s="217"/>
      <c r="AUM9" s="217"/>
      <c r="AUN9" s="217"/>
      <c r="AUO9" s="217"/>
      <c r="AUP9" s="217"/>
      <c r="AUQ9" s="217"/>
      <c r="AUR9" s="217"/>
      <c r="AUS9" s="217"/>
      <c r="AUT9" s="217"/>
      <c r="AUU9" s="217"/>
      <c r="AUV9" s="217"/>
      <c r="AUW9" s="217"/>
      <c r="AUX9" s="217"/>
      <c r="AUY9" s="217"/>
      <c r="AUZ9" s="217"/>
      <c r="AVA9" s="217"/>
      <c r="AVB9" s="217"/>
      <c r="AVC9" s="217"/>
      <c r="AVD9" s="217"/>
      <c r="AVE9" s="217"/>
      <c r="AVF9" s="217"/>
      <c r="AVG9" s="217"/>
      <c r="AVH9" s="217"/>
      <c r="AVI9" s="217"/>
      <c r="AVJ9" s="217"/>
      <c r="AVK9" s="217"/>
      <c r="AVL9" s="217"/>
      <c r="AVM9" s="217"/>
      <c r="AVN9" s="217"/>
      <c r="AVO9" s="217"/>
      <c r="AVP9" s="217"/>
      <c r="AVQ9" s="217"/>
      <c r="AVR9" s="217"/>
      <c r="AVS9" s="217"/>
      <c r="AVT9" s="217"/>
      <c r="AVU9" s="217"/>
      <c r="AVV9" s="217"/>
      <c r="AVW9" s="217"/>
      <c r="AVX9" s="217"/>
      <c r="AVY9" s="217"/>
      <c r="AVZ9" s="217"/>
      <c r="AWA9" s="217"/>
      <c r="AWB9" s="217"/>
      <c r="AWC9" s="217"/>
      <c r="AWD9" s="217"/>
      <c r="AWE9" s="217"/>
      <c r="AWF9" s="217"/>
      <c r="AWG9" s="217"/>
      <c r="AWH9" s="217"/>
      <c r="AWI9" s="217"/>
      <c r="AWJ9" s="217"/>
      <c r="AWK9" s="217"/>
      <c r="AWL9" s="217"/>
      <c r="AWM9" s="217"/>
      <c r="AWN9" s="217"/>
      <c r="AWO9" s="217"/>
      <c r="AWP9" s="217"/>
      <c r="AWQ9" s="217"/>
      <c r="AWR9" s="217"/>
      <c r="AWS9" s="217"/>
      <c r="AWT9" s="217"/>
      <c r="AWU9" s="217"/>
      <c r="AWV9" s="217"/>
      <c r="AWW9" s="217"/>
      <c r="AWX9" s="217"/>
      <c r="AWY9" s="217"/>
      <c r="AWZ9" s="217"/>
      <c r="AXA9" s="217"/>
      <c r="AXB9" s="217"/>
      <c r="AXC9" s="217"/>
      <c r="AXD9" s="217"/>
      <c r="AXE9" s="217"/>
      <c r="AXF9" s="217"/>
      <c r="AXG9" s="217"/>
      <c r="AXH9" s="217"/>
      <c r="AXI9" s="217"/>
      <c r="AXJ9" s="217"/>
      <c r="AXK9" s="217"/>
      <c r="AXL9" s="217"/>
      <c r="AXM9" s="217"/>
      <c r="AXN9" s="217"/>
      <c r="AXO9" s="217"/>
      <c r="AXP9" s="217"/>
      <c r="AXQ9" s="217"/>
      <c r="AXR9" s="217"/>
      <c r="AXS9" s="217"/>
      <c r="AXT9" s="217"/>
      <c r="AXU9" s="217"/>
      <c r="AXV9" s="217"/>
      <c r="AXW9" s="217"/>
      <c r="AXX9" s="217"/>
      <c r="AXY9" s="217"/>
      <c r="AXZ9" s="217"/>
      <c r="AYA9" s="217"/>
      <c r="AYB9" s="217"/>
      <c r="AYC9" s="217"/>
      <c r="AYD9" s="217"/>
      <c r="AYE9" s="217"/>
      <c r="AYF9" s="217"/>
      <c r="AYG9" s="217"/>
      <c r="AYH9" s="217"/>
      <c r="AYI9" s="217"/>
      <c r="AYJ9" s="217"/>
      <c r="AYK9" s="217"/>
      <c r="AYL9" s="217"/>
      <c r="AYM9" s="217"/>
      <c r="AYN9" s="217"/>
      <c r="AYO9" s="217"/>
      <c r="AYP9" s="217"/>
      <c r="AYQ9" s="217"/>
      <c r="AYR9" s="217"/>
      <c r="AYS9" s="217"/>
      <c r="AYT9" s="217"/>
      <c r="AYU9" s="217"/>
      <c r="AYV9" s="217"/>
      <c r="AYW9" s="217"/>
      <c r="AYX9" s="217"/>
      <c r="AYY9" s="217"/>
      <c r="AYZ9" s="217"/>
      <c r="AZA9" s="217"/>
      <c r="AZB9" s="217"/>
      <c r="AZC9" s="217"/>
      <c r="AZD9" s="217"/>
      <c r="AZE9" s="217"/>
      <c r="AZF9" s="217"/>
      <c r="AZG9" s="217"/>
      <c r="AZH9" s="217"/>
      <c r="AZI9" s="217"/>
      <c r="AZJ9" s="217"/>
      <c r="AZK9" s="217"/>
      <c r="AZL9" s="217"/>
      <c r="AZM9" s="217"/>
      <c r="AZN9" s="217"/>
      <c r="AZO9" s="217"/>
      <c r="AZP9" s="217"/>
      <c r="AZQ9" s="217"/>
      <c r="AZR9" s="217"/>
      <c r="AZS9" s="217"/>
      <c r="AZT9" s="217"/>
      <c r="AZU9" s="217"/>
      <c r="AZV9" s="217"/>
      <c r="AZW9" s="217"/>
      <c r="AZX9" s="217"/>
      <c r="AZY9" s="217"/>
      <c r="AZZ9" s="217"/>
      <c r="BAA9" s="217"/>
      <c r="BAB9" s="217"/>
      <c r="BAC9" s="217"/>
      <c r="BAD9" s="217"/>
      <c r="BAE9" s="217"/>
      <c r="BAF9" s="217"/>
      <c r="BAG9" s="217"/>
      <c r="BAH9" s="217"/>
      <c r="BAI9" s="217"/>
      <c r="BAJ9" s="217"/>
      <c r="BAK9" s="217"/>
      <c r="BAL9" s="217"/>
      <c r="BAM9" s="217"/>
      <c r="BAN9" s="217"/>
      <c r="BAO9" s="217"/>
      <c r="BAP9" s="217"/>
      <c r="BAQ9" s="217"/>
      <c r="BAR9" s="217"/>
      <c r="BAS9" s="217"/>
      <c r="BAT9" s="217"/>
      <c r="BAU9" s="217"/>
      <c r="BAV9" s="217"/>
      <c r="BAW9" s="217"/>
      <c r="BAX9" s="217"/>
      <c r="BAY9" s="217"/>
      <c r="BAZ9" s="217"/>
      <c r="BBA9" s="217"/>
      <c r="BBB9" s="217"/>
      <c r="BBC9" s="217"/>
      <c r="BBD9" s="217"/>
      <c r="BBE9" s="217"/>
      <c r="BBF9" s="217"/>
      <c r="BBG9" s="217"/>
      <c r="BBH9" s="217"/>
      <c r="BBI9" s="217"/>
      <c r="BBJ9" s="217"/>
      <c r="BBK9" s="217"/>
      <c r="BBL9" s="217"/>
      <c r="BBM9" s="217"/>
      <c r="BBN9" s="217"/>
      <c r="BBO9" s="217"/>
      <c r="BBP9" s="217"/>
      <c r="BBQ9" s="217"/>
      <c r="BBR9" s="217"/>
      <c r="BBS9" s="217"/>
      <c r="BBT9" s="217"/>
      <c r="BBU9" s="217"/>
      <c r="BBV9" s="217"/>
      <c r="BBW9" s="217"/>
      <c r="BBX9" s="217"/>
      <c r="BBY9" s="217"/>
      <c r="BBZ9" s="217"/>
      <c r="BCA9" s="217"/>
      <c r="BCB9" s="217"/>
      <c r="BCC9" s="217"/>
      <c r="BCD9" s="217"/>
      <c r="BCE9" s="217"/>
      <c r="BCF9" s="217"/>
      <c r="BCG9" s="217"/>
      <c r="BCH9" s="217"/>
      <c r="BCI9" s="217"/>
      <c r="BCJ9" s="217"/>
      <c r="BCK9" s="217"/>
      <c r="BCL9" s="217"/>
      <c r="BCM9" s="217"/>
      <c r="BCN9" s="217"/>
      <c r="BCO9" s="217"/>
      <c r="BCP9" s="217"/>
      <c r="BCQ9" s="217"/>
      <c r="BCR9" s="217"/>
      <c r="BCS9" s="217"/>
      <c r="BCT9" s="217"/>
      <c r="BCU9" s="217"/>
      <c r="BCV9" s="217"/>
      <c r="BCW9" s="217"/>
      <c r="BCX9" s="217"/>
      <c r="BCY9" s="217"/>
      <c r="BCZ9" s="217"/>
      <c r="BDA9" s="217"/>
      <c r="BDB9" s="217"/>
      <c r="BDC9" s="217"/>
      <c r="BDD9" s="217"/>
      <c r="BDE9" s="217"/>
      <c r="BDF9" s="217"/>
      <c r="BDG9" s="217"/>
      <c r="BDH9" s="217"/>
      <c r="BDI9" s="217"/>
      <c r="BDJ9" s="217"/>
      <c r="BDK9" s="217"/>
      <c r="BDL9" s="217"/>
      <c r="BDM9" s="217"/>
      <c r="BDN9" s="217"/>
      <c r="BDO9" s="217"/>
      <c r="BDP9" s="217"/>
      <c r="BDQ9" s="217"/>
      <c r="BDR9" s="217"/>
      <c r="BDS9" s="217"/>
      <c r="BDT9" s="217"/>
      <c r="BDU9" s="217"/>
      <c r="BDV9" s="217"/>
      <c r="BDW9" s="217"/>
      <c r="BDX9" s="217"/>
      <c r="BDY9" s="217"/>
      <c r="BDZ9" s="217"/>
      <c r="BEA9" s="217"/>
      <c r="BEB9" s="217"/>
      <c r="BEC9" s="217"/>
      <c r="BED9" s="217"/>
      <c r="BEE9" s="217"/>
      <c r="BEF9" s="217"/>
      <c r="BEG9" s="217"/>
      <c r="BEH9" s="217"/>
      <c r="BEI9" s="217"/>
      <c r="BEJ9" s="217"/>
      <c r="BEK9" s="217"/>
      <c r="BEL9" s="217"/>
      <c r="BEM9" s="217"/>
      <c r="BEN9" s="217"/>
      <c r="BEO9" s="217"/>
      <c r="BEP9" s="217"/>
      <c r="BEQ9" s="217"/>
      <c r="BER9" s="217"/>
      <c r="BES9" s="217"/>
      <c r="BET9" s="217"/>
      <c r="BEU9" s="217"/>
      <c r="BEV9" s="217"/>
      <c r="BEW9" s="217"/>
      <c r="BEX9" s="217"/>
      <c r="BEY9" s="217"/>
      <c r="BEZ9" s="217"/>
      <c r="BFA9" s="217"/>
      <c r="BFB9" s="217"/>
      <c r="BFC9" s="217"/>
      <c r="BFD9" s="217"/>
      <c r="BFE9" s="217"/>
      <c r="BFF9" s="217"/>
      <c r="BFG9" s="217"/>
      <c r="BFH9" s="217"/>
      <c r="BFI9" s="217"/>
      <c r="BFJ9" s="217"/>
      <c r="BFK9" s="217"/>
      <c r="BFL9" s="217"/>
      <c r="BFM9" s="217"/>
      <c r="BFN9" s="217"/>
      <c r="BFO9" s="217"/>
      <c r="BFP9" s="217"/>
      <c r="BFQ9" s="217"/>
      <c r="BFR9" s="217"/>
      <c r="BFS9" s="217"/>
      <c r="BFT9" s="217"/>
      <c r="BFU9" s="217"/>
      <c r="BFV9" s="217"/>
      <c r="BFW9" s="217"/>
      <c r="BFX9" s="217"/>
      <c r="BFY9" s="217"/>
      <c r="BFZ9" s="217"/>
      <c r="BGA9" s="217"/>
      <c r="BGB9" s="217"/>
      <c r="BGC9" s="217"/>
      <c r="BGD9" s="217"/>
      <c r="BGE9" s="217"/>
      <c r="BGF9" s="217"/>
      <c r="BGG9" s="217"/>
      <c r="BGH9" s="217"/>
      <c r="BGI9" s="217"/>
      <c r="BGJ9" s="217"/>
      <c r="BGK9" s="217"/>
      <c r="BGL9" s="217"/>
      <c r="BGM9" s="217"/>
      <c r="BGN9" s="217"/>
      <c r="BGO9" s="217"/>
      <c r="BGP9" s="217"/>
      <c r="BGQ9" s="217"/>
      <c r="BGR9" s="217"/>
      <c r="BGS9" s="217"/>
      <c r="BGT9" s="217"/>
      <c r="BGU9" s="217"/>
      <c r="BGV9" s="217"/>
      <c r="BGW9" s="217"/>
      <c r="BGX9" s="217"/>
      <c r="BGY9" s="217"/>
      <c r="BGZ9" s="217"/>
      <c r="BHA9" s="217"/>
      <c r="BHB9" s="217"/>
      <c r="BHC9" s="217"/>
      <c r="BHD9" s="217"/>
      <c r="BHE9" s="217"/>
      <c r="BHF9" s="217"/>
      <c r="BHG9" s="217"/>
      <c r="BHH9" s="217"/>
      <c r="BHI9" s="217"/>
      <c r="BHJ9" s="217"/>
      <c r="BHK9" s="217"/>
      <c r="BHL9" s="217"/>
      <c r="BHM9" s="217"/>
      <c r="BHN9" s="217"/>
      <c r="BHO9" s="217"/>
      <c r="BHP9" s="217"/>
      <c r="BHQ9" s="217"/>
      <c r="BHR9" s="217"/>
      <c r="BHS9" s="217"/>
      <c r="BHT9" s="217"/>
      <c r="BHU9" s="217"/>
      <c r="BHV9" s="217"/>
      <c r="BHW9" s="217"/>
      <c r="BHX9" s="217"/>
      <c r="BHY9" s="217"/>
      <c r="BHZ9" s="217"/>
      <c r="BIA9" s="217"/>
      <c r="BIB9" s="217"/>
      <c r="BIC9" s="217"/>
      <c r="BID9" s="217"/>
      <c r="BIE9" s="217"/>
      <c r="BIF9" s="217"/>
      <c r="BIG9" s="217"/>
      <c r="BIH9" s="217"/>
      <c r="BII9" s="217"/>
      <c r="BIJ9" s="217"/>
      <c r="BIK9" s="217"/>
      <c r="BIL9" s="217"/>
      <c r="BIM9" s="217"/>
      <c r="BIN9" s="217"/>
      <c r="BIO9" s="217"/>
      <c r="BIP9" s="217"/>
      <c r="BIQ9" s="217"/>
      <c r="BIR9" s="217"/>
      <c r="BIS9" s="217"/>
      <c r="BIT9" s="217"/>
      <c r="BIU9" s="217"/>
      <c r="BIV9" s="217"/>
      <c r="BIW9" s="217"/>
      <c r="BIX9" s="217"/>
      <c r="BIY9" s="217"/>
      <c r="BIZ9" s="217"/>
      <c r="BJA9" s="217"/>
      <c r="BJB9" s="217"/>
      <c r="BJC9" s="217"/>
      <c r="BJD9" s="217"/>
      <c r="BJE9" s="217"/>
      <c r="BJF9" s="217"/>
      <c r="BJG9" s="217"/>
      <c r="BJH9" s="217"/>
      <c r="BJI9" s="217"/>
      <c r="BJJ9" s="217"/>
      <c r="BJK9" s="217"/>
      <c r="BJL9" s="217"/>
      <c r="BJM9" s="217"/>
      <c r="BJN9" s="217"/>
      <c r="BJO9" s="217"/>
      <c r="BJP9" s="217"/>
      <c r="BJQ9" s="217"/>
      <c r="BJR9" s="217"/>
      <c r="BJS9" s="217"/>
      <c r="BJT9" s="217"/>
      <c r="BJU9" s="217"/>
      <c r="BJV9" s="217"/>
      <c r="BJW9" s="217"/>
      <c r="BJX9" s="217"/>
      <c r="BJY9" s="217"/>
      <c r="BJZ9" s="217"/>
      <c r="BKA9" s="217"/>
      <c r="BKB9" s="217"/>
      <c r="BKC9" s="217"/>
      <c r="BKD9" s="217"/>
      <c r="BKE9" s="217"/>
      <c r="BKF9" s="217"/>
      <c r="BKG9" s="217"/>
      <c r="BKH9" s="217"/>
      <c r="BKI9" s="217"/>
      <c r="BKJ9" s="217"/>
      <c r="BKK9" s="217"/>
      <c r="BKL9" s="217"/>
      <c r="BKM9" s="217"/>
      <c r="BKN9" s="217"/>
      <c r="BKO9" s="217"/>
      <c r="BKP9" s="217"/>
      <c r="BKQ9" s="217"/>
      <c r="BKR9" s="217"/>
      <c r="BKS9" s="217"/>
      <c r="BKT9" s="217"/>
      <c r="BKU9" s="217"/>
      <c r="BKV9" s="217"/>
      <c r="BKW9" s="217"/>
      <c r="BKX9" s="217"/>
      <c r="BKY9" s="217"/>
      <c r="BKZ9" s="217"/>
      <c r="BLA9" s="217"/>
      <c r="BLB9" s="217"/>
      <c r="BLC9" s="217"/>
      <c r="BLD9" s="217"/>
      <c r="BLE9" s="217"/>
      <c r="BLF9" s="217"/>
      <c r="BLG9" s="217"/>
      <c r="BLH9" s="217"/>
      <c r="BLI9" s="217"/>
      <c r="BLJ9" s="217"/>
      <c r="BLK9" s="217"/>
      <c r="BLL9" s="217"/>
      <c r="BLM9" s="217"/>
      <c r="BLN9" s="217"/>
      <c r="BLO9" s="217"/>
      <c r="BLP9" s="217"/>
      <c r="BLQ9" s="217"/>
      <c r="BLR9" s="217"/>
      <c r="BLS9" s="217"/>
      <c r="BLT9" s="217"/>
      <c r="BLU9" s="217"/>
      <c r="BLV9" s="217"/>
      <c r="BLW9" s="217"/>
      <c r="BLX9" s="217"/>
      <c r="BLY9" s="217"/>
      <c r="BLZ9" s="217"/>
      <c r="BMA9" s="217"/>
      <c r="BMB9" s="217"/>
      <c r="BMC9" s="217"/>
      <c r="BMD9" s="217"/>
      <c r="BME9" s="217"/>
      <c r="BMF9" s="217"/>
      <c r="BMG9" s="217"/>
      <c r="BMH9" s="217"/>
      <c r="BMI9" s="217"/>
      <c r="BMJ9" s="217"/>
      <c r="BMK9" s="217"/>
      <c r="BML9" s="217"/>
      <c r="BMM9" s="217"/>
      <c r="BMN9" s="217"/>
      <c r="BMO9" s="217"/>
      <c r="BMP9" s="217"/>
      <c r="BMQ9" s="217"/>
      <c r="BMR9" s="217"/>
      <c r="BMS9" s="217"/>
      <c r="BMT9" s="217"/>
      <c r="BMU9" s="217"/>
      <c r="BMV9" s="217"/>
      <c r="BMW9" s="217"/>
      <c r="BMX9" s="217"/>
      <c r="BMY9" s="217"/>
      <c r="BMZ9" s="217"/>
      <c r="BNA9" s="217"/>
      <c r="BNB9" s="217"/>
      <c r="BNC9" s="217"/>
      <c r="BND9" s="217"/>
      <c r="BNE9" s="217"/>
      <c r="BNF9" s="217"/>
      <c r="BNG9" s="217"/>
      <c r="BNH9" s="217"/>
      <c r="BNI9" s="217"/>
      <c r="BNJ9" s="217"/>
      <c r="BNK9" s="217"/>
      <c r="BNL9" s="217"/>
      <c r="BNM9" s="217"/>
      <c r="BNN9" s="217"/>
      <c r="BNO9" s="217"/>
      <c r="BNP9" s="217"/>
      <c r="BNQ9" s="217"/>
      <c r="BNR9" s="217"/>
      <c r="BNS9" s="217"/>
      <c r="BNT9" s="217"/>
      <c r="BNU9" s="217"/>
      <c r="BNV9" s="217"/>
      <c r="BNW9" s="217"/>
      <c r="BNX9" s="217"/>
      <c r="BNY9" s="217"/>
      <c r="BNZ9" s="217"/>
      <c r="BOA9" s="217"/>
      <c r="BOB9" s="217"/>
      <c r="BOC9" s="217"/>
      <c r="BOD9" s="217"/>
      <c r="BOE9" s="217"/>
      <c r="BOF9" s="217"/>
      <c r="BOG9" s="217"/>
      <c r="BOH9" s="217"/>
      <c r="BOI9" s="217"/>
      <c r="BOJ9" s="217"/>
      <c r="BOK9" s="217"/>
      <c r="BOL9" s="217"/>
      <c r="BOM9" s="217"/>
      <c r="BON9" s="217"/>
      <c r="BOO9" s="217"/>
      <c r="BOP9" s="217"/>
      <c r="BOQ9" s="217"/>
      <c r="BOR9" s="217"/>
      <c r="BOS9" s="217"/>
      <c r="BOT9" s="217"/>
      <c r="BOU9" s="217"/>
      <c r="BOV9" s="217"/>
      <c r="BOW9" s="217"/>
      <c r="BOX9" s="217"/>
      <c r="BOY9" s="217"/>
      <c r="BOZ9" s="217"/>
      <c r="BPA9" s="217"/>
      <c r="BPB9" s="217"/>
      <c r="BPC9" s="217"/>
      <c r="BPD9" s="217"/>
      <c r="BPE9" s="217"/>
      <c r="BPF9" s="217"/>
      <c r="BPG9" s="217"/>
      <c r="BPH9" s="217"/>
      <c r="BPI9" s="217"/>
      <c r="BPJ9" s="217"/>
      <c r="BPK9" s="217"/>
      <c r="BPL9" s="217"/>
      <c r="BPM9" s="217"/>
      <c r="BPN9" s="217"/>
      <c r="BPO9" s="217"/>
      <c r="BPP9" s="217"/>
      <c r="BPQ9" s="217"/>
      <c r="BPR9" s="217"/>
      <c r="BPS9" s="217"/>
      <c r="BPT9" s="217"/>
      <c r="BPU9" s="217"/>
      <c r="BPV9" s="217"/>
      <c r="BPW9" s="217"/>
      <c r="BPX9" s="217"/>
      <c r="BPY9" s="217"/>
      <c r="BPZ9" s="217"/>
      <c r="BQA9" s="217"/>
      <c r="BQB9" s="217"/>
      <c r="BQC9" s="217"/>
      <c r="BQD9" s="217"/>
      <c r="BQE9" s="217"/>
      <c r="BQF9" s="217"/>
      <c r="BQG9" s="217"/>
      <c r="BQH9" s="217"/>
      <c r="BQI9" s="217"/>
      <c r="BQJ9" s="217"/>
      <c r="BQK9" s="217"/>
      <c r="BQL9" s="217"/>
      <c r="BQM9" s="217"/>
      <c r="BQN9" s="217"/>
      <c r="BQO9" s="217"/>
      <c r="BQP9" s="217"/>
      <c r="BQQ9" s="217"/>
      <c r="BQR9" s="217"/>
      <c r="BQS9" s="217"/>
      <c r="BQT9" s="217"/>
      <c r="BQU9" s="217"/>
      <c r="BQV9" s="217"/>
      <c r="BQW9" s="217"/>
      <c r="BQX9" s="217"/>
      <c r="BQY9" s="217"/>
      <c r="BQZ9" s="217"/>
      <c r="BRA9" s="217"/>
      <c r="BRB9" s="217"/>
      <c r="BRC9" s="217"/>
      <c r="BRD9" s="217"/>
      <c r="BRE9" s="217"/>
      <c r="BRF9" s="217"/>
      <c r="BRG9" s="217"/>
      <c r="BRH9" s="217"/>
      <c r="BRI9" s="217"/>
      <c r="BRJ9" s="217"/>
      <c r="BRK9" s="217"/>
      <c r="BRL9" s="217"/>
      <c r="BRM9" s="217"/>
      <c r="BRN9" s="217"/>
      <c r="BRO9" s="217"/>
      <c r="BRP9" s="217"/>
      <c r="BRQ9" s="217"/>
      <c r="BRR9" s="217"/>
      <c r="BRS9" s="217"/>
      <c r="BRT9" s="217"/>
      <c r="BRU9" s="217"/>
      <c r="BRV9" s="217"/>
      <c r="BRW9" s="217"/>
      <c r="BRX9" s="217"/>
      <c r="BRY9" s="217"/>
      <c r="BRZ9" s="217"/>
      <c r="BSA9" s="217"/>
      <c r="BSB9" s="217"/>
      <c r="BSC9" s="217"/>
      <c r="BSD9" s="217"/>
      <c r="BSE9" s="217"/>
      <c r="BSF9" s="217"/>
      <c r="BSG9" s="217"/>
      <c r="BSH9" s="217"/>
      <c r="BSI9" s="217"/>
      <c r="BSJ9" s="217"/>
      <c r="BSK9" s="217"/>
      <c r="BSL9" s="217"/>
      <c r="BSM9" s="217"/>
      <c r="BSN9" s="217"/>
      <c r="BSO9" s="217"/>
      <c r="BSP9" s="217"/>
      <c r="BSQ9" s="217"/>
      <c r="BSR9" s="217"/>
      <c r="BSS9" s="217"/>
      <c r="BST9" s="217"/>
      <c r="BSU9" s="217"/>
      <c r="BSV9" s="217"/>
      <c r="BSW9" s="217"/>
      <c r="BSX9" s="217"/>
      <c r="BSY9" s="217"/>
      <c r="BSZ9" s="217"/>
      <c r="BTA9" s="217"/>
      <c r="BTB9" s="217"/>
      <c r="BTC9" s="217"/>
      <c r="BTD9" s="217"/>
      <c r="BTE9" s="217"/>
      <c r="BTF9" s="217"/>
      <c r="BTG9" s="217"/>
      <c r="BTH9" s="217"/>
      <c r="BTI9" s="217"/>
      <c r="BTJ9" s="217"/>
      <c r="BTK9" s="217"/>
      <c r="BTL9" s="217"/>
      <c r="BTM9" s="217"/>
      <c r="BTN9" s="217"/>
      <c r="BTO9" s="217"/>
      <c r="BTP9" s="217"/>
      <c r="BTQ9" s="217"/>
      <c r="BTR9" s="217"/>
      <c r="BTS9" s="217"/>
      <c r="BTT9" s="217"/>
      <c r="BTU9" s="217"/>
      <c r="BTV9" s="217"/>
      <c r="BTW9" s="217"/>
      <c r="BTX9" s="217"/>
      <c r="BTY9" s="217"/>
      <c r="BTZ9" s="217"/>
      <c r="BUA9" s="217"/>
      <c r="BUB9" s="217"/>
      <c r="BUC9" s="217"/>
      <c r="BUD9" s="217"/>
      <c r="BUE9" s="217"/>
      <c r="BUF9" s="217"/>
      <c r="BUG9" s="217"/>
      <c r="BUH9" s="217"/>
      <c r="BUI9" s="217"/>
      <c r="BUJ9" s="217"/>
      <c r="BUK9" s="217"/>
      <c r="BUL9" s="217"/>
      <c r="BUM9" s="217"/>
      <c r="BUN9" s="217"/>
      <c r="BUO9" s="217"/>
      <c r="BUP9" s="217"/>
      <c r="BUQ9" s="217"/>
      <c r="BUR9" s="217"/>
      <c r="BUS9" s="217"/>
      <c r="BUT9" s="217"/>
      <c r="BUU9" s="217"/>
      <c r="BUV9" s="217"/>
      <c r="BUW9" s="217"/>
      <c r="BUX9" s="217"/>
      <c r="BUY9" s="217"/>
      <c r="BUZ9" s="217"/>
      <c r="BVA9" s="217"/>
      <c r="BVB9" s="217"/>
      <c r="BVC9" s="217"/>
      <c r="BVD9" s="217"/>
      <c r="BVE9" s="217"/>
      <c r="BVF9" s="217"/>
      <c r="BVG9" s="217"/>
      <c r="BVH9" s="217"/>
      <c r="BVI9" s="217"/>
      <c r="BVJ9" s="217"/>
      <c r="BVK9" s="217"/>
      <c r="BVL9" s="217"/>
      <c r="BVM9" s="217"/>
      <c r="BVN9" s="217"/>
      <c r="BVO9" s="217"/>
      <c r="BVP9" s="217"/>
      <c r="BVQ9" s="217"/>
      <c r="BVR9" s="217"/>
      <c r="BVS9" s="217"/>
      <c r="BVT9" s="217"/>
      <c r="BVU9" s="217"/>
      <c r="BVV9" s="217"/>
      <c r="BVW9" s="217"/>
      <c r="BVX9" s="217"/>
      <c r="BVY9" s="217"/>
      <c r="BVZ9" s="217"/>
      <c r="BWA9" s="217"/>
      <c r="BWB9" s="217"/>
      <c r="BWC9" s="217"/>
      <c r="BWD9" s="217"/>
      <c r="BWE9" s="217"/>
      <c r="BWF9" s="217"/>
      <c r="BWG9" s="217"/>
      <c r="BWH9" s="217"/>
      <c r="BWI9" s="217"/>
      <c r="BWJ9" s="217"/>
      <c r="BWK9" s="217"/>
      <c r="BWL9" s="217"/>
      <c r="BWM9" s="217"/>
      <c r="BWN9" s="217"/>
      <c r="BWO9" s="217"/>
      <c r="BWP9" s="217"/>
      <c r="BWQ9" s="217"/>
      <c r="BWR9" s="217"/>
      <c r="BWS9" s="217"/>
      <c r="BWT9" s="217"/>
      <c r="BWU9" s="217"/>
      <c r="BWV9" s="217"/>
      <c r="BWW9" s="217"/>
      <c r="BWX9" s="217"/>
      <c r="BWY9" s="217"/>
      <c r="BWZ9" s="217"/>
      <c r="BXA9" s="217"/>
      <c r="BXB9" s="217"/>
      <c r="BXC9" s="217"/>
      <c r="BXD9" s="217"/>
      <c r="BXE9" s="217"/>
      <c r="BXF9" s="217"/>
      <c r="BXG9" s="217"/>
      <c r="BXH9" s="217"/>
      <c r="BXI9" s="217"/>
      <c r="BXJ9" s="217"/>
      <c r="BXK9" s="217"/>
      <c r="BXL9" s="217"/>
      <c r="BXM9" s="217"/>
      <c r="BXN9" s="217"/>
      <c r="BXO9" s="217"/>
      <c r="BXP9" s="217"/>
      <c r="BXQ9" s="217"/>
      <c r="BXR9" s="217"/>
      <c r="BXS9" s="217"/>
      <c r="BXT9" s="217"/>
      <c r="BXU9" s="217"/>
      <c r="BXV9" s="217"/>
      <c r="BXW9" s="217"/>
      <c r="BXX9" s="217"/>
      <c r="BXY9" s="217"/>
      <c r="BXZ9" s="217"/>
      <c r="BYA9" s="217"/>
      <c r="BYB9" s="217"/>
      <c r="BYC9" s="217"/>
      <c r="BYD9" s="217"/>
      <c r="BYE9" s="217"/>
      <c r="BYF9" s="217"/>
      <c r="BYG9" s="217"/>
      <c r="BYH9" s="217"/>
      <c r="BYI9" s="217"/>
      <c r="BYJ9" s="217"/>
      <c r="BYK9" s="217"/>
      <c r="BYL9" s="217"/>
      <c r="BYM9" s="217"/>
      <c r="BYN9" s="217"/>
      <c r="BYO9" s="217"/>
      <c r="BYP9" s="217"/>
      <c r="BYQ9" s="217"/>
      <c r="BYR9" s="217"/>
      <c r="BYS9" s="217"/>
      <c r="BYT9" s="217"/>
      <c r="BYU9" s="217"/>
      <c r="BYV9" s="217"/>
      <c r="BYW9" s="217"/>
      <c r="BYX9" s="217"/>
      <c r="BYY9" s="217"/>
      <c r="BYZ9" s="217"/>
      <c r="BZA9" s="217"/>
      <c r="BZB9" s="217"/>
      <c r="BZC9" s="217"/>
      <c r="BZD9" s="217"/>
      <c r="BZE9" s="217"/>
      <c r="BZF9" s="217"/>
      <c r="BZG9" s="217"/>
      <c r="BZH9" s="217"/>
      <c r="BZI9" s="217"/>
      <c r="BZJ9" s="217"/>
      <c r="BZK9" s="217"/>
      <c r="BZL9" s="217"/>
      <c r="BZM9" s="217"/>
      <c r="BZN9" s="217"/>
      <c r="BZO9" s="217"/>
      <c r="BZP9" s="217"/>
      <c r="BZQ9" s="217"/>
      <c r="BZR9" s="217"/>
      <c r="BZS9" s="217"/>
      <c r="BZT9" s="217"/>
      <c r="BZU9" s="217"/>
      <c r="BZV9" s="217"/>
      <c r="BZW9" s="217"/>
      <c r="BZX9" s="217"/>
      <c r="BZY9" s="217"/>
      <c r="BZZ9" s="217"/>
      <c r="CAA9" s="217"/>
      <c r="CAB9" s="217"/>
      <c r="CAC9" s="217"/>
      <c r="CAD9" s="217"/>
      <c r="CAE9" s="217"/>
      <c r="CAF9" s="217"/>
      <c r="CAG9" s="217"/>
      <c r="CAH9" s="217"/>
      <c r="CAI9" s="217"/>
      <c r="CAJ9" s="217"/>
      <c r="CAK9" s="217"/>
      <c r="CAL9" s="217"/>
      <c r="CAM9" s="217"/>
      <c r="CAN9" s="217"/>
      <c r="CAO9" s="217"/>
      <c r="CAP9" s="217"/>
      <c r="CAQ9" s="217"/>
      <c r="CAR9" s="217"/>
      <c r="CAS9" s="217"/>
      <c r="CAT9" s="217"/>
      <c r="CAU9" s="217"/>
      <c r="CAV9" s="217"/>
      <c r="CAW9" s="217"/>
      <c r="CAX9" s="217"/>
      <c r="CAY9" s="217"/>
      <c r="CAZ9" s="217"/>
      <c r="CBA9" s="217"/>
      <c r="CBB9" s="217"/>
      <c r="CBC9" s="217"/>
      <c r="CBD9" s="217"/>
      <c r="CBE9" s="217"/>
      <c r="CBF9" s="217"/>
      <c r="CBG9" s="217"/>
      <c r="CBH9" s="217"/>
      <c r="CBI9" s="217"/>
      <c r="CBJ9" s="217"/>
      <c r="CBK9" s="217"/>
      <c r="CBL9" s="217"/>
      <c r="CBM9" s="217"/>
      <c r="CBN9" s="217"/>
      <c r="CBO9" s="217"/>
      <c r="CBP9" s="217"/>
      <c r="CBQ9" s="217"/>
      <c r="CBR9" s="217"/>
      <c r="CBS9" s="217"/>
      <c r="CBT9" s="217"/>
      <c r="CBU9" s="217"/>
      <c r="CBV9" s="217"/>
      <c r="CBW9" s="217"/>
      <c r="CBX9" s="217"/>
      <c r="CBY9" s="217"/>
      <c r="CBZ9" s="217"/>
      <c r="CCA9" s="217"/>
      <c r="CCB9" s="217"/>
      <c r="CCC9" s="217"/>
      <c r="CCD9" s="217"/>
      <c r="CCE9" s="217"/>
      <c r="CCF9" s="217"/>
      <c r="CCG9" s="217"/>
      <c r="CCH9" s="217"/>
      <c r="CCI9" s="217"/>
      <c r="CCJ9" s="217"/>
      <c r="CCK9" s="217"/>
      <c r="CCL9" s="217"/>
      <c r="CCM9" s="217"/>
      <c r="CCN9" s="217"/>
      <c r="CCO9" s="217"/>
      <c r="CCP9" s="217"/>
      <c r="CCQ9" s="217"/>
      <c r="CCR9" s="217"/>
      <c r="CCS9" s="217"/>
      <c r="CCT9" s="217"/>
      <c r="CCU9" s="217"/>
      <c r="CCV9" s="217"/>
      <c r="CCW9" s="217"/>
      <c r="CCX9" s="217"/>
      <c r="CCY9" s="217"/>
      <c r="CCZ9" s="217"/>
      <c r="CDA9" s="217"/>
      <c r="CDB9" s="217"/>
      <c r="CDC9" s="217"/>
      <c r="CDD9" s="217"/>
      <c r="CDE9" s="217"/>
      <c r="CDF9" s="217"/>
      <c r="CDG9" s="217"/>
      <c r="CDH9" s="217"/>
      <c r="CDI9" s="217"/>
      <c r="CDJ9" s="217"/>
      <c r="CDK9" s="217"/>
      <c r="CDL9" s="217"/>
      <c r="CDM9" s="217"/>
      <c r="CDN9" s="217"/>
      <c r="CDO9" s="217"/>
      <c r="CDP9" s="217"/>
      <c r="CDQ9" s="217"/>
      <c r="CDR9" s="217"/>
      <c r="CDS9" s="217"/>
      <c r="CDT9" s="217"/>
      <c r="CDU9" s="217"/>
      <c r="CDV9" s="217"/>
      <c r="CDW9" s="217"/>
      <c r="CDX9" s="217"/>
      <c r="CDY9" s="217"/>
      <c r="CDZ9" s="217"/>
      <c r="CEA9" s="217"/>
      <c r="CEB9" s="217"/>
      <c r="CEC9" s="217"/>
      <c r="CED9" s="217"/>
      <c r="CEE9" s="217"/>
      <c r="CEF9" s="217"/>
      <c r="CEG9" s="217"/>
      <c r="CEH9" s="217"/>
      <c r="CEI9" s="217"/>
      <c r="CEJ9" s="217"/>
      <c r="CEK9" s="217"/>
      <c r="CEL9" s="217"/>
      <c r="CEM9" s="217"/>
      <c r="CEN9" s="217"/>
      <c r="CEO9" s="217"/>
      <c r="CEP9" s="217"/>
      <c r="CEQ9" s="217"/>
      <c r="CER9" s="217"/>
      <c r="CES9" s="217"/>
      <c r="CET9" s="217"/>
      <c r="CEU9" s="217"/>
      <c r="CEV9" s="217"/>
      <c r="CEW9" s="217"/>
      <c r="CEX9" s="217"/>
      <c r="CEY9" s="217"/>
      <c r="CEZ9" s="217"/>
      <c r="CFA9" s="217"/>
      <c r="CFB9" s="217"/>
      <c r="CFC9" s="217"/>
      <c r="CFD9" s="217"/>
      <c r="CFE9" s="217"/>
      <c r="CFF9" s="217"/>
      <c r="CFG9" s="217"/>
      <c r="CFH9" s="217"/>
      <c r="CFI9" s="217"/>
      <c r="CFJ9" s="217"/>
      <c r="CFK9" s="217"/>
      <c r="CFL9" s="217"/>
      <c r="CFM9" s="217"/>
      <c r="CFN9" s="217"/>
      <c r="CFO9" s="217"/>
      <c r="CFP9" s="217"/>
      <c r="CFQ9" s="217"/>
      <c r="CFR9" s="217"/>
      <c r="CFS9" s="217"/>
      <c r="CFT9" s="217"/>
      <c r="CFU9" s="217"/>
      <c r="CFV9" s="217"/>
      <c r="CFW9" s="217"/>
      <c r="CFX9" s="217"/>
      <c r="CFY9" s="217"/>
      <c r="CFZ9" s="217"/>
      <c r="CGA9" s="217"/>
      <c r="CGB9" s="217"/>
      <c r="CGC9" s="217"/>
      <c r="CGD9" s="217"/>
      <c r="CGE9" s="217"/>
      <c r="CGF9" s="217"/>
      <c r="CGG9" s="217"/>
      <c r="CGH9" s="217"/>
      <c r="CGI9" s="217"/>
      <c r="CGJ9" s="217"/>
      <c r="CGK9" s="217"/>
      <c r="CGL9" s="217"/>
      <c r="CGM9" s="217"/>
      <c r="CGN9" s="217"/>
      <c r="CGO9" s="217"/>
      <c r="CGP9" s="217"/>
      <c r="CGQ9" s="217"/>
      <c r="CGR9" s="217"/>
      <c r="CGS9" s="217"/>
      <c r="CGT9" s="217"/>
      <c r="CGU9" s="217"/>
      <c r="CGV9" s="217"/>
      <c r="CGW9" s="217"/>
      <c r="CGX9" s="217"/>
      <c r="CGY9" s="217"/>
      <c r="CGZ9" s="217"/>
      <c r="CHA9" s="217"/>
      <c r="CHB9" s="217"/>
      <c r="CHC9" s="217"/>
      <c r="CHD9" s="217"/>
      <c r="CHE9" s="217"/>
      <c r="CHF9" s="217"/>
      <c r="CHG9" s="217"/>
      <c r="CHH9" s="217"/>
      <c r="CHI9" s="217"/>
      <c r="CHJ9" s="217"/>
      <c r="CHK9" s="217"/>
      <c r="CHL9" s="217"/>
      <c r="CHM9" s="217"/>
      <c r="CHN9" s="217"/>
      <c r="CHO9" s="217"/>
      <c r="CHP9" s="217"/>
      <c r="CHQ9" s="217"/>
      <c r="CHR9" s="217"/>
      <c r="CHS9" s="217"/>
      <c r="CHT9" s="217"/>
      <c r="CHU9" s="217"/>
      <c r="CHV9" s="217"/>
      <c r="CHW9" s="217"/>
      <c r="CHX9" s="217"/>
      <c r="CHY9" s="217"/>
      <c r="CHZ9" s="217"/>
      <c r="CIA9" s="217"/>
      <c r="CIB9" s="217"/>
      <c r="CIC9" s="217"/>
      <c r="CID9" s="217"/>
      <c r="CIE9" s="217"/>
      <c r="CIF9" s="217"/>
      <c r="CIG9" s="217"/>
      <c r="CIH9" s="217"/>
      <c r="CII9" s="217"/>
      <c r="CIJ9" s="217"/>
      <c r="CIK9" s="217"/>
      <c r="CIL9" s="217"/>
      <c r="CIM9" s="217"/>
      <c r="CIN9" s="217"/>
      <c r="CIO9" s="217"/>
      <c r="CIP9" s="217"/>
      <c r="CIQ9" s="217"/>
      <c r="CIR9" s="217"/>
      <c r="CIS9" s="217"/>
      <c r="CIT9" s="217"/>
      <c r="CIU9" s="217"/>
      <c r="CIV9" s="217"/>
      <c r="CIW9" s="217"/>
      <c r="CIX9" s="217"/>
      <c r="CIY9" s="217"/>
      <c r="CIZ9" s="217"/>
      <c r="CJA9" s="217"/>
      <c r="CJB9" s="217"/>
      <c r="CJC9" s="217"/>
      <c r="CJD9" s="217"/>
      <c r="CJE9" s="217"/>
      <c r="CJF9" s="217"/>
      <c r="CJG9" s="217"/>
      <c r="CJH9" s="217"/>
      <c r="CJI9" s="217"/>
      <c r="CJJ9" s="217"/>
      <c r="CJK9" s="217"/>
      <c r="CJL9" s="217"/>
      <c r="CJM9" s="217"/>
      <c r="CJN9" s="217"/>
      <c r="CJO9" s="217"/>
      <c r="CJP9" s="217"/>
      <c r="CJQ9" s="217"/>
      <c r="CJR9" s="217"/>
      <c r="CJS9" s="217"/>
      <c r="CJT9" s="217"/>
      <c r="CJU9" s="217"/>
      <c r="CJV9" s="217"/>
      <c r="CJW9" s="217"/>
      <c r="CJX9" s="217"/>
      <c r="CJY9" s="217"/>
      <c r="CJZ9" s="217"/>
      <c r="CKA9" s="217"/>
      <c r="CKB9" s="217"/>
      <c r="CKC9" s="217"/>
      <c r="CKD9" s="217"/>
      <c r="CKE9" s="217"/>
      <c r="CKF9" s="217"/>
      <c r="CKG9" s="217"/>
      <c r="CKH9" s="217"/>
      <c r="CKI9" s="217"/>
      <c r="CKJ9" s="217"/>
      <c r="CKK9" s="217"/>
      <c r="CKL9" s="217"/>
      <c r="CKM9" s="217"/>
      <c r="CKN9" s="217"/>
      <c r="CKO9" s="217"/>
      <c r="CKP9" s="217"/>
      <c r="CKQ9" s="217"/>
      <c r="CKR9" s="217"/>
      <c r="CKS9" s="217"/>
      <c r="CKT9" s="217"/>
      <c r="CKU9" s="217"/>
      <c r="CKV9" s="217"/>
      <c r="CKW9" s="217"/>
      <c r="CKX9" s="217"/>
      <c r="CKY9" s="217"/>
      <c r="CKZ9" s="217"/>
      <c r="CLA9" s="217"/>
      <c r="CLB9" s="217"/>
      <c r="CLC9" s="217"/>
      <c r="CLD9" s="217"/>
      <c r="CLE9" s="217"/>
      <c r="CLF9" s="217"/>
      <c r="CLG9" s="217"/>
      <c r="CLH9" s="217"/>
      <c r="CLI9" s="217"/>
      <c r="CLJ9" s="217"/>
      <c r="CLK9" s="217"/>
      <c r="CLL9" s="217"/>
      <c r="CLM9" s="217"/>
      <c r="CLN9" s="217"/>
      <c r="CLO9" s="217"/>
      <c r="CLP9" s="217"/>
      <c r="CLQ9" s="217"/>
      <c r="CLR9" s="217"/>
      <c r="CLS9" s="217"/>
      <c r="CLT9" s="217"/>
      <c r="CLU9" s="217"/>
      <c r="CLV9" s="217"/>
      <c r="CLW9" s="217"/>
      <c r="CLX9" s="217"/>
      <c r="CLY9" s="217"/>
      <c r="CLZ9" s="217"/>
      <c r="CMA9" s="217"/>
      <c r="CMB9" s="217"/>
      <c r="CMC9" s="217"/>
      <c r="CMD9" s="217"/>
      <c r="CME9" s="217"/>
      <c r="CMF9" s="217"/>
      <c r="CMG9" s="217"/>
      <c r="CMH9" s="217"/>
      <c r="CMI9" s="217"/>
      <c r="CMJ9" s="217"/>
      <c r="CMK9" s="217"/>
      <c r="CML9" s="217"/>
      <c r="CMM9" s="217"/>
      <c r="CMN9" s="217"/>
      <c r="CMO9" s="217"/>
      <c r="CMP9" s="217"/>
      <c r="CMQ9" s="217"/>
      <c r="CMR9" s="217"/>
      <c r="CMS9" s="217"/>
      <c r="CMT9" s="217"/>
      <c r="CMU9" s="217"/>
      <c r="CMV9" s="217"/>
      <c r="CMW9" s="217"/>
      <c r="CMX9" s="217"/>
      <c r="CMY9" s="217"/>
      <c r="CMZ9" s="217"/>
      <c r="CNA9" s="217"/>
      <c r="CNB9" s="217"/>
      <c r="CNC9" s="217"/>
      <c r="CND9" s="217"/>
      <c r="CNE9" s="217"/>
      <c r="CNF9" s="217"/>
      <c r="CNG9" s="217"/>
      <c r="CNH9" s="217"/>
      <c r="CNI9" s="217"/>
      <c r="CNJ9" s="217"/>
      <c r="CNK9" s="217"/>
      <c r="CNL9" s="217"/>
      <c r="CNM9" s="217"/>
      <c r="CNN9" s="217"/>
      <c r="CNO9" s="217"/>
      <c r="CNP9" s="217"/>
      <c r="CNQ9" s="217"/>
      <c r="CNR9" s="217"/>
      <c r="CNS9" s="217"/>
      <c r="CNT9" s="217"/>
      <c r="CNU9" s="217"/>
      <c r="CNV9" s="217"/>
      <c r="CNW9" s="217"/>
      <c r="CNX9" s="217"/>
      <c r="CNY9" s="217"/>
      <c r="CNZ9" s="217"/>
      <c r="COA9" s="217"/>
      <c r="COB9" s="217"/>
      <c r="COC9" s="217"/>
      <c r="COD9" s="217"/>
      <c r="COE9" s="217"/>
      <c r="COF9" s="217"/>
      <c r="COG9" s="217"/>
      <c r="COH9" s="217"/>
      <c r="COI9" s="217"/>
      <c r="COJ9" s="217"/>
      <c r="COK9" s="217"/>
      <c r="COL9" s="217"/>
      <c r="COM9" s="217"/>
      <c r="CON9" s="217"/>
      <c r="COO9" s="217"/>
      <c r="COP9" s="217"/>
      <c r="COQ9" s="217"/>
      <c r="COR9" s="217"/>
      <c r="COS9" s="217"/>
      <c r="COT9" s="217"/>
      <c r="COU9" s="217"/>
      <c r="COV9" s="217"/>
      <c r="COW9" s="217"/>
      <c r="COX9" s="217"/>
      <c r="COY9" s="217"/>
      <c r="COZ9" s="217"/>
      <c r="CPA9" s="217"/>
      <c r="CPB9" s="217"/>
      <c r="CPC9" s="217"/>
      <c r="CPD9" s="217"/>
      <c r="CPE9" s="217"/>
      <c r="CPF9" s="217"/>
      <c r="CPG9" s="217"/>
      <c r="CPH9" s="217"/>
      <c r="CPI9" s="217"/>
      <c r="CPJ9" s="217"/>
      <c r="CPK9" s="217"/>
      <c r="CPL9" s="217"/>
      <c r="CPM9" s="217"/>
      <c r="CPN9" s="217"/>
      <c r="CPO9" s="217"/>
      <c r="CPP9" s="217"/>
      <c r="CPQ9" s="217"/>
      <c r="CPR9" s="217"/>
      <c r="CPS9" s="217"/>
      <c r="CPT9" s="217"/>
      <c r="CPU9" s="217"/>
      <c r="CPV9" s="217"/>
      <c r="CPW9" s="217"/>
      <c r="CPX9" s="217"/>
      <c r="CPY9" s="217"/>
      <c r="CPZ9" s="217"/>
      <c r="CQA9" s="217"/>
      <c r="CQB9" s="217"/>
      <c r="CQC9" s="217"/>
      <c r="CQD9" s="217"/>
      <c r="CQE9" s="217"/>
      <c r="CQF9" s="217"/>
      <c r="CQG9" s="217"/>
      <c r="CQH9" s="217"/>
      <c r="CQI9" s="217"/>
      <c r="CQJ9" s="217"/>
      <c r="CQK9" s="217"/>
      <c r="CQL9" s="217"/>
      <c r="CQM9" s="217"/>
      <c r="CQN9" s="217"/>
      <c r="CQO9" s="217"/>
      <c r="CQP9" s="217"/>
      <c r="CQQ9" s="217"/>
      <c r="CQR9" s="217"/>
      <c r="CQS9" s="217"/>
      <c r="CQT9" s="217"/>
      <c r="CQU9" s="217"/>
      <c r="CQV9" s="217"/>
      <c r="CQW9" s="217"/>
      <c r="CQX9" s="217"/>
      <c r="CQY9" s="217"/>
      <c r="CQZ9" s="217"/>
      <c r="CRA9" s="217"/>
      <c r="CRB9" s="217"/>
      <c r="CRC9" s="217"/>
      <c r="CRD9" s="217"/>
      <c r="CRE9" s="217"/>
      <c r="CRF9" s="217"/>
      <c r="CRG9" s="217"/>
      <c r="CRH9" s="217"/>
      <c r="CRI9" s="217"/>
      <c r="CRJ9" s="217"/>
      <c r="CRK9" s="217"/>
      <c r="CRL9" s="217"/>
      <c r="CRM9" s="217"/>
      <c r="CRN9" s="217"/>
      <c r="CRO9" s="217"/>
      <c r="CRP9" s="217"/>
      <c r="CRQ9" s="217"/>
      <c r="CRR9" s="217"/>
      <c r="CRS9" s="217"/>
      <c r="CRT9" s="217"/>
      <c r="CRU9" s="217"/>
      <c r="CRV9" s="217"/>
      <c r="CRW9" s="217"/>
      <c r="CRX9" s="217"/>
      <c r="CRY9" s="217"/>
      <c r="CRZ9" s="217"/>
      <c r="CSA9" s="217"/>
      <c r="CSB9" s="217"/>
      <c r="CSC9" s="217"/>
      <c r="CSD9" s="217"/>
      <c r="CSE9" s="217"/>
      <c r="CSF9" s="217"/>
      <c r="CSG9" s="217"/>
      <c r="CSH9" s="217"/>
      <c r="CSI9" s="217"/>
      <c r="CSJ9" s="217"/>
      <c r="CSK9" s="217"/>
      <c r="CSL9" s="217"/>
      <c r="CSM9" s="217"/>
      <c r="CSN9" s="217"/>
      <c r="CSO9" s="217"/>
      <c r="CSP9" s="217"/>
      <c r="CSQ9" s="217"/>
      <c r="CSR9" s="217"/>
      <c r="CSS9" s="217"/>
      <c r="CST9" s="217"/>
      <c r="CSU9" s="217"/>
      <c r="CSV9" s="217"/>
      <c r="CSW9" s="217"/>
      <c r="CSX9" s="217"/>
      <c r="CSY9" s="217"/>
      <c r="CSZ9" s="217"/>
      <c r="CTA9" s="217"/>
      <c r="CTB9" s="217"/>
      <c r="CTC9" s="217"/>
      <c r="CTD9" s="217"/>
      <c r="CTE9" s="217"/>
      <c r="CTF9" s="217"/>
      <c r="CTG9" s="217"/>
      <c r="CTH9" s="217"/>
      <c r="CTI9" s="217"/>
      <c r="CTJ9" s="217"/>
      <c r="CTK9" s="217"/>
      <c r="CTL9" s="217"/>
      <c r="CTM9" s="217"/>
      <c r="CTN9" s="217"/>
      <c r="CTO9" s="217"/>
      <c r="CTP9" s="217"/>
      <c r="CTQ9" s="217"/>
      <c r="CTR9" s="217"/>
      <c r="CTS9" s="217"/>
      <c r="CTT9" s="217"/>
      <c r="CTU9" s="217"/>
      <c r="CTV9" s="217"/>
      <c r="CTW9" s="217"/>
      <c r="CTX9" s="217"/>
      <c r="CTY9" s="217"/>
      <c r="CTZ9" s="217"/>
      <c r="CUA9" s="217"/>
      <c r="CUB9" s="217"/>
      <c r="CUC9" s="217"/>
      <c r="CUD9" s="217"/>
      <c r="CUE9" s="217"/>
      <c r="CUF9" s="217"/>
      <c r="CUG9" s="217"/>
      <c r="CUH9" s="217"/>
      <c r="CUI9" s="217"/>
      <c r="CUJ9" s="217"/>
      <c r="CUK9" s="217"/>
      <c r="CUL9" s="217"/>
      <c r="CUM9" s="217"/>
      <c r="CUN9" s="217"/>
      <c r="CUO9" s="217"/>
      <c r="CUP9" s="217"/>
      <c r="CUQ9" s="217"/>
      <c r="CUR9" s="217"/>
      <c r="CUS9" s="217"/>
      <c r="CUT9" s="217"/>
      <c r="CUU9" s="217"/>
      <c r="CUV9" s="217"/>
      <c r="CUW9" s="217"/>
      <c r="CUX9" s="217"/>
      <c r="CUY9" s="217"/>
      <c r="CUZ9" s="217"/>
      <c r="CVA9" s="217"/>
      <c r="CVB9" s="217"/>
      <c r="CVC9" s="217"/>
      <c r="CVD9" s="217"/>
      <c r="CVE9" s="217"/>
      <c r="CVF9" s="217"/>
      <c r="CVG9" s="217"/>
      <c r="CVH9" s="217"/>
      <c r="CVI9" s="217"/>
      <c r="CVJ9" s="217"/>
      <c r="CVK9" s="217"/>
      <c r="CVL9" s="217"/>
      <c r="CVM9" s="217"/>
      <c r="CVN9" s="217"/>
      <c r="CVO9" s="217"/>
      <c r="CVP9" s="217"/>
      <c r="CVQ9" s="217"/>
      <c r="CVR9" s="217"/>
      <c r="CVS9" s="217"/>
      <c r="CVT9" s="217"/>
      <c r="CVU9" s="217"/>
      <c r="CVV9" s="217"/>
      <c r="CVW9" s="217"/>
      <c r="CVX9" s="217"/>
      <c r="CVY9" s="217"/>
      <c r="CVZ9" s="217"/>
      <c r="CWA9" s="217"/>
      <c r="CWB9" s="217"/>
      <c r="CWC9" s="217"/>
      <c r="CWD9" s="217"/>
      <c r="CWE9" s="217"/>
      <c r="CWF9" s="217"/>
      <c r="CWG9" s="217"/>
      <c r="CWH9" s="217"/>
      <c r="CWI9" s="217"/>
      <c r="CWJ9" s="217"/>
      <c r="CWK9" s="217"/>
      <c r="CWL9" s="217"/>
      <c r="CWM9" s="217"/>
      <c r="CWN9" s="217"/>
      <c r="CWO9" s="217"/>
      <c r="CWP9" s="217"/>
      <c r="CWQ9" s="217"/>
      <c r="CWR9" s="217"/>
      <c r="CWS9" s="217"/>
      <c r="CWT9" s="217"/>
      <c r="CWU9" s="217"/>
      <c r="CWV9" s="217"/>
      <c r="CWW9" s="217"/>
      <c r="CWX9" s="217"/>
      <c r="CWY9" s="217"/>
      <c r="CWZ9" s="217"/>
      <c r="CXA9" s="217"/>
      <c r="CXB9" s="217"/>
      <c r="CXC9" s="217"/>
      <c r="CXD9" s="217"/>
      <c r="CXE9" s="217"/>
      <c r="CXF9" s="217"/>
      <c r="CXG9" s="217"/>
      <c r="CXH9" s="217"/>
      <c r="CXI9" s="217"/>
      <c r="CXJ9" s="217"/>
      <c r="CXK9" s="217"/>
      <c r="CXL9" s="217"/>
      <c r="CXM9" s="217"/>
      <c r="CXN9" s="217"/>
      <c r="CXO9" s="217"/>
      <c r="CXP9" s="217"/>
      <c r="CXQ9" s="217"/>
      <c r="CXR9" s="217"/>
      <c r="CXS9" s="217"/>
      <c r="CXT9" s="217"/>
      <c r="CXU9" s="217"/>
      <c r="CXV9" s="217"/>
      <c r="CXW9" s="217"/>
      <c r="CXX9" s="217"/>
      <c r="CXY9" s="217"/>
      <c r="CXZ9" s="217"/>
      <c r="CYA9" s="217"/>
      <c r="CYB9" s="217"/>
      <c r="CYC9" s="217"/>
      <c r="CYD9" s="217"/>
      <c r="CYE9" s="217"/>
      <c r="CYF9" s="217"/>
      <c r="CYG9" s="217"/>
      <c r="CYH9" s="217"/>
      <c r="CYI9" s="217"/>
      <c r="CYJ9" s="217"/>
      <c r="CYK9" s="217"/>
      <c r="CYL9" s="217"/>
      <c r="CYM9" s="217"/>
      <c r="CYN9" s="217"/>
      <c r="CYO9" s="217"/>
      <c r="CYP9" s="217"/>
      <c r="CYQ9" s="217"/>
      <c r="CYR9" s="217"/>
      <c r="CYS9" s="217"/>
      <c r="CYT9" s="217"/>
      <c r="CYU9" s="217"/>
      <c r="CYV9" s="217"/>
      <c r="CYW9" s="217"/>
      <c r="CYX9" s="217"/>
      <c r="CYY9" s="217"/>
      <c r="CYZ9" s="217"/>
      <c r="CZA9" s="217"/>
      <c r="CZB9" s="217"/>
      <c r="CZC9" s="217"/>
      <c r="CZD9" s="217"/>
      <c r="CZE9" s="217"/>
      <c r="CZF9" s="217"/>
      <c r="CZG9" s="217"/>
      <c r="CZH9" s="217"/>
      <c r="CZI9" s="217"/>
      <c r="CZJ9" s="217"/>
      <c r="CZK9" s="217"/>
      <c r="CZL9" s="217"/>
      <c r="CZM9" s="217"/>
      <c r="CZN9" s="217"/>
      <c r="CZO9" s="217"/>
      <c r="CZP9" s="217"/>
      <c r="CZQ9" s="217"/>
      <c r="CZR9" s="217"/>
      <c r="CZS9" s="217"/>
      <c r="CZT9" s="217"/>
      <c r="CZU9" s="217"/>
      <c r="CZV9" s="217"/>
      <c r="CZW9" s="217"/>
      <c r="CZX9" s="217"/>
      <c r="CZY9" s="217"/>
      <c r="CZZ9" s="217"/>
      <c r="DAA9" s="217"/>
      <c r="DAB9" s="217"/>
      <c r="DAC9" s="217"/>
      <c r="DAD9" s="217"/>
      <c r="DAE9" s="217"/>
      <c r="DAF9" s="217"/>
      <c r="DAG9" s="217"/>
      <c r="DAH9" s="217"/>
      <c r="DAI9" s="217"/>
      <c r="DAJ9" s="217"/>
      <c r="DAK9" s="217"/>
      <c r="DAL9" s="217"/>
      <c r="DAM9" s="217"/>
      <c r="DAN9" s="217"/>
      <c r="DAO9" s="217"/>
      <c r="DAP9" s="217"/>
      <c r="DAQ9" s="217"/>
      <c r="DAR9" s="217"/>
      <c r="DAS9" s="217"/>
      <c r="DAT9" s="217"/>
      <c r="DAU9" s="217"/>
      <c r="DAV9" s="217"/>
      <c r="DAW9" s="217"/>
      <c r="DAX9" s="217"/>
      <c r="DAY9" s="217"/>
      <c r="DAZ9" s="217"/>
      <c r="DBA9" s="217"/>
      <c r="DBB9" s="217"/>
      <c r="DBC9" s="217"/>
      <c r="DBD9" s="217"/>
      <c r="DBE9" s="217"/>
      <c r="DBF9" s="217"/>
      <c r="DBG9" s="217"/>
      <c r="DBH9" s="217"/>
      <c r="DBI9" s="217"/>
      <c r="DBJ9" s="217"/>
      <c r="DBK9" s="217"/>
      <c r="DBL9" s="217"/>
      <c r="DBM9" s="217"/>
      <c r="DBN9" s="217"/>
      <c r="DBO9" s="217"/>
      <c r="DBP9" s="217"/>
      <c r="DBQ9" s="217"/>
      <c r="DBR9" s="217"/>
      <c r="DBS9" s="217"/>
      <c r="DBT9" s="217"/>
      <c r="DBU9" s="217"/>
      <c r="DBV9" s="217"/>
      <c r="DBW9" s="217"/>
      <c r="DBX9" s="217"/>
      <c r="DBY9" s="217"/>
      <c r="DBZ9" s="217"/>
      <c r="DCA9" s="217"/>
      <c r="DCB9" s="217"/>
      <c r="DCC9" s="217"/>
      <c r="DCD9" s="217"/>
      <c r="DCE9" s="217"/>
      <c r="DCF9" s="217"/>
      <c r="DCG9" s="217"/>
      <c r="DCH9" s="217"/>
      <c r="DCI9" s="217"/>
      <c r="DCJ9" s="217"/>
      <c r="DCK9" s="217"/>
      <c r="DCL9" s="217"/>
      <c r="DCM9" s="217"/>
      <c r="DCN9" s="217"/>
      <c r="DCO9" s="217"/>
      <c r="DCP9" s="217"/>
      <c r="DCQ9" s="217"/>
      <c r="DCR9" s="217"/>
      <c r="DCS9" s="217"/>
      <c r="DCT9" s="217"/>
      <c r="DCU9" s="217"/>
      <c r="DCV9" s="217"/>
      <c r="DCW9" s="217"/>
      <c r="DCX9" s="217"/>
      <c r="DCY9" s="217"/>
      <c r="DCZ9" s="217"/>
      <c r="DDA9" s="217"/>
      <c r="DDB9" s="217"/>
      <c r="DDC9" s="217"/>
      <c r="DDD9" s="217"/>
      <c r="DDE9" s="217"/>
      <c r="DDF9" s="217"/>
      <c r="DDG9" s="217"/>
      <c r="DDH9" s="217"/>
      <c r="DDI9" s="217"/>
      <c r="DDJ9" s="217"/>
      <c r="DDK9" s="217"/>
      <c r="DDL9" s="217"/>
      <c r="DDM9" s="217"/>
      <c r="DDN9" s="217"/>
      <c r="DDO9" s="217"/>
      <c r="DDP9" s="217"/>
      <c r="DDQ9" s="217"/>
      <c r="DDR9" s="217"/>
      <c r="DDS9" s="217"/>
      <c r="DDT9" s="217"/>
      <c r="DDU9" s="217"/>
      <c r="DDV9" s="217"/>
      <c r="DDW9" s="217"/>
      <c r="DDX9" s="217"/>
      <c r="DDY9" s="217"/>
      <c r="DDZ9" s="217"/>
      <c r="DEA9" s="217"/>
      <c r="DEB9" s="217"/>
      <c r="DEC9" s="217"/>
      <c r="DED9" s="217"/>
      <c r="DEE9" s="217"/>
      <c r="DEF9" s="217"/>
      <c r="DEG9" s="217"/>
      <c r="DEH9" s="217"/>
      <c r="DEI9" s="217"/>
      <c r="DEJ9" s="217"/>
      <c r="DEK9" s="217"/>
      <c r="DEL9" s="217"/>
      <c r="DEM9" s="217"/>
      <c r="DEN9" s="217"/>
      <c r="DEO9" s="217"/>
      <c r="DEP9" s="217"/>
      <c r="DEQ9" s="217"/>
      <c r="DER9" s="217"/>
      <c r="DES9" s="217"/>
      <c r="DET9" s="217"/>
      <c r="DEU9" s="217"/>
      <c r="DEV9" s="217"/>
      <c r="DEW9" s="217"/>
      <c r="DEX9" s="217"/>
      <c r="DEY9" s="217"/>
      <c r="DEZ9" s="217"/>
      <c r="DFA9" s="217"/>
      <c r="DFB9" s="217"/>
      <c r="DFC9" s="217"/>
      <c r="DFD9" s="217"/>
      <c r="DFE9" s="217"/>
      <c r="DFF9" s="217"/>
      <c r="DFG9" s="217"/>
      <c r="DFH9" s="217"/>
      <c r="DFI9" s="217"/>
      <c r="DFJ9" s="217"/>
      <c r="DFK9" s="217"/>
      <c r="DFL9" s="217"/>
      <c r="DFM9" s="217"/>
      <c r="DFN9" s="217"/>
      <c r="DFO9" s="217"/>
      <c r="DFP9" s="217"/>
      <c r="DFQ9" s="217"/>
      <c r="DFR9" s="217"/>
      <c r="DFS9" s="217"/>
      <c r="DFT9" s="217"/>
      <c r="DFU9" s="217"/>
      <c r="DFV9" s="217"/>
      <c r="DFW9" s="217"/>
      <c r="DFX9" s="217"/>
      <c r="DFY9" s="217"/>
      <c r="DFZ9" s="217"/>
      <c r="DGA9" s="217"/>
      <c r="DGB9" s="217"/>
      <c r="DGC9" s="217"/>
      <c r="DGD9" s="217"/>
      <c r="DGE9" s="217"/>
      <c r="DGF9" s="217"/>
      <c r="DGG9" s="217"/>
      <c r="DGH9" s="217"/>
      <c r="DGI9" s="217"/>
      <c r="DGJ9" s="217"/>
      <c r="DGK9" s="217"/>
      <c r="DGL9" s="217"/>
      <c r="DGM9" s="217"/>
      <c r="DGN9" s="217"/>
      <c r="DGO9" s="217"/>
      <c r="DGP9" s="217"/>
      <c r="DGQ9" s="217"/>
      <c r="DGR9" s="217"/>
      <c r="DGS9" s="217"/>
      <c r="DGT9" s="217"/>
      <c r="DGU9" s="217"/>
      <c r="DGV9" s="217"/>
      <c r="DGW9" s="217"/>
      <c r="DGX9" s="217"/>
      <c r="DGY9" s="217"/>
      <c r="DGZ9" s="217"/>
      <c r="DHA9" s="217"/>
      <c r="DHB9" s="217"/>
      <c r="DHC9" s="217"/>
      <c r="DHD9" s="217"/>
      <c r="DHE9" s="217"/>
      <c r="DHF9" s="217"/>
      <c r="DHG9" s="217"/>
      <c r="DHH9" s="217"/>
      <c r="DHI9" s="217"/>
      <c r="DHJ9" s="217"/>
      <c r="DHK9" s="217"/>
      <c r="DHL9" s="217"/>
      <c r="DHM9" s="217"/>
      <c r="DHN9" s="217"/>
      <c r="DHO9" s="217"/>
      <c r="DHP9" s="217"/>
      <c r="DHQ9" s="217"/>
      <c r="DHR9" s="217"/>
      <c r="DHS9" s="217"/>
      <c r="DHT9" s="217"/>
      <c r="DHU9" s="217"/>
      <c r="DHV9" s="217"/>
      <c r="DHW9" s="217"/>
      <c r="DHX9" s="217"/>
      <c r="DHY9" s="217"/>
      <c r="DHZ9" s="217"/>
      <c r="DIA9" s="217"/>
      <c r="DIB9" s="217"/>
      <c r="DIC9" s="217"/>
      <c r="DID9" s="217"/>
      <c r="DIE9" s="217"/>
      <c r="DIF9" s="217"/>
      <c r="DIG9" s="217"/>
      <c r="DIH9" s="217"/>
      <c r="DII9" s="217"/>
      <c r="DIJ9" s="217"/>
      <c r="DIK9" s="217"/>
      <c r="DIL9" s="217"/>
      <c r="DIM9" s="217"/>
      <c r="DIN9" s="217"/>
      <c r="DIO9" s="217"/>
      <c r="DIP9" s="217"/>
      <c r="DIQ9" s="217"/>
      <c r="DIR9" s="217"/>
      <c r="DIS9" s="217"/>
      <c r="DIT9" s="217"/>
      <c r="DIU9" s="217"/>
      <c r="DIV9" s="217"/>
      <c r="DIW9" s="217"/>
      <c r="DIX9" s="217"/>
      <c r="DIY9" s="217"/>
      <c r="DIZ9" s="217"/>
      <c r="DJA9" s="217"/>
      <c r="DJB9" s="217"/>
      <c r="DJC9" s="217"/>
      <c r="DJD9" s="217"/>
      <c r="DJE9" s="217"/>
      <c r="DJF9" s="217"/>
      <c r="DJG9" s="217"/>
      <c r="DJH9" s="217"/>
      <c r="DJI9" s="217"/>
      <c r="DJJ9" s="217"/>
      <c r="DJK9" s="217"/>
      <c r="DJL9" s="217"/>
      <c r="DJM9" s="217"/>
      <c r="DJN9" s="217"/>
      <c r="DJO9" s="217"/>
      <c r="DJP9" s="217"/>
      <c r="DJQ9" s="217"/>
      <c r="DJR9" s="217"/>
      <c r="DJS9" s="217"/>
      <c r="DJT9" s="217"/>
      <c r="DJU9" s="217"/>
      <c r="DJV9" s="217"/>
      <c r="DJW9" s="217"/>
      <c r="DJX9" s="217"/>
      <c r="DJY9" s="217"/>
      <c r="DJZ9" s="217"/>
      <c r="DKA9" s="217"/>
      <c r="DKB9" s="217"/>
      <c r="DKC9" s="217"/>
      <c r="DKD9" s="217"/>
      <c r="DKE9" s="217"/>
      <c r="DKF9" s="217"/>
      <c r="DKG9" s="217"/>
      <c r="DKH9" s="217"/>
      <c r="DKI9" s="217"/>
      <c r="DKJ9" s="217"/>
      <c r="DKK9" s="217"/>
      <c r="DKL9" s="217"/>
      <c r="DKM9" s="217"/>
      <c r="DKN9" s="217"/>
      <c r="DKO9" s="217"/>
      <c r="DKP9" s="217"/>
      <c r="DKQ9" s="217"/>
      <c r="DKR9" s="217"/>
      <c r="DKS9" s="217"/>
      <c r="DKT9" s="217"/>
      <c r="DKU9" s="217"/>
      <c r="DKV9" s="217"/>
      <c r="DKW9" s="217"/>
      <c r="DKX9" s="217"/>
      <c r="DKY9" s="217"/>
      <c r="DKZ9" s="217"/>
      <c r="DLA9" s="217"/>
      <c r="DLB9" s="217"/>
      <c r="DLC9" s="217"/>
      <c r="DLD9" s="217"/>
      <c r="DLE9" s="217"/>
      <c r="DLF9" s="217"/>
      <c r="DLG9" s="217"/>
      <c r="DLH9" s="217"/>
      <c r="DLI9" s="217"/>
      <c r="DLJ9" s="217"/>
      <c r="DLK9" s="217"/>
      <c r="DLL9" s="217"/>
      <c r="DLM9" s="217"/>
      <c r="DLN9" s="217"/>
      <c r="DLO9" s="217"/>
      <c r="DLP9" s="217"/>
      <c r="DLQ9" s="217"/>
      <c r="DLR9" s="217"/>
      <c r="DLS9" s="217"/>
      <c r="DLT9" s="217"/>
      <c r="DLU9" s="217"/>
      <c r="DLV9" s="217"/>
      <c r="DLW9" s="217"/>
      <c r="DLX9" s="217"/>
      <c r="DLY9" s="217"/>
      <c r="DLZ9" s="217"/>
      <c r="DMA9" s="217"/>
      <c r="DMB9" s="217"/>
      <c r="DMC9" s="217"/>
      <c r="DMD9" s="217"/>
      <c r="DME9" s="217"/>
      <c r="DMF9" s="217"/>
      <c r="DMG9" s="217"/>
      <c r="DMH9" s="217"/>
      <c r="DMI9" s="217"/>
      <c r="DMJ9" s="217"/>
      <c r="DMK9" s="217"/>
      <c r="DML9" s="217"/>
      <c r="DMM9" s="217"/>
      <c r="DMN9" s="217"/>
      <c r="DMO9" s="217"/>
      <c r="DMP9" s="217"/>
      <c r="DMQ9" s="217"/>
      <c r="DMR9" s="217"/>
      <c r="DMS9" s="217"/>
      <c r="DMT9" s="217"/>
      <c r="DMU9" s="217"/>
      <c r="DMV9" s="217"/>
      <c r="DMW9" s="217"/>
      <c r="DMX9" s="217"/>
      <c r="DMY9" s="217"/>
      <c r="DMZ9" s="217"/>
      <c r="DNA9" s="217"/>
      <c r="DNB9" s="217"/>
      <c r="DNC9" s="217"/>
      <c r="DND9" s="217"/>
      <c r="DNE9" s="217"/>
      <c r="DNF9" s="217"/>
      <c r="DNG9" s="217"/>
      <c r="DNH9" s="217"/>
      <c r="DNI9" s="217"/>
      <c r="DNJ9" s="217"/>
      <c r="DNK9" s="217"/>
      <c r="DNL9" s="217"/>
      <c r="DNM9" s="217"/>
      <c r="DNN9" s="217"/>
      <c r="DNO9" s="217"/>
      <c r="DNP9" s="217"/>
      <c r="DNQ9" s="217"/>
      <c r="DNR9" s="217"/>
      <c r="DNS9" s="217"/>
      <c r="DNT9" s="217"/>
      <c r="DNU9" s="217"/>
      <c r="DNV9" s="217"/>
      <c r="DNW9" s="217"/>
      <c r="DNX9" s="217"/>
      <c r="DNY9" s="217"/>
      <c r="DNZ9" s="217"/>
      <c r="DOA9" s="217"/>
      <c r="DOB9" s="217"/>
      <c r="DOC9" s="217"/>
      <c r="DOD9" s="217"/>
      <c r="DOE9" s="217"/>
      <c r="DOF9" s="217"/>
      <c r="DOG9" s="217"/>
      <c r="DOH9" s="217"/>
      <c r="DOI9" s="217"/>
      <c r="DOJ9" s="217"/>
      <c r="DOK9" s="217"/>
      <c r="DOL9" s="217"/>
      <c r="DOM9" s="217"/>
      <c r="DON9" s="217"/>
      <c r="DOO9" s="217"/>
      <c r="DOP9" s="217"/>
      <c r="DOQ9" s="217"/>
      <c r="DOR9" s="217"/>
      <c r="DOS9" s="217"/>
      <c r="DOT9" s="217"/>
      <c r="DOU9" s="217"/>
      <c r="DOV9" s="217"/>
      <c r="DOW9" s="217"/>
      <c r="DOX9" s="217"/>
      <c r="DOY9" s="217"/>
      <c r="DOZ9" s="217"/>
      <c r="DPA9" s="217"/>
      <c r="DPB9" s="217"/>
      <c r="DPC9" s="217"/>
      <c r="DPD9" s="217"/>
      <c r="DPE9" s="217"/>
      <c r="DPF9" s="217"/>
      <c r="DPG9" s="217"/>
      <c r="DPH9" s="217"/>
      <c r="DPI9" s="217"/>
      <c r="DPJ9" s="217"/>
      <c r="DPK9" s="217"/>
      <c r="DPL9" s="217"/>
      <c r="DPM9" s="217"/>
      <c r="DPN9" s="217"/>
      <c r="DPO9" s="217"/>
      <c r="DPP9" s="217"/>
      <c r="DPQ9" s="217"/>
      <c r="DPR9" s="217"/>
      <c r="DPS9" s="217"/>
      <c r="DPT9" s="217"/>
      <c r="DPU9" s="217"/>
      <c r="DPV9" s="217"/>
      <c r="DPW9" s="217"/>
      <c r="DPX9" s="217"/>
      <c r="DPY9" s="217"/>
      <c r="DPZ9" s="217"/>
      <c r="DQA9" s="217"/>
      <c r="DQB9" s="217"/>
      <c r="DQC9" s="217"/>
      <c r="DQD9" s="217"/>
      <c r="DQE9" s="217"/>
      <c r="DQF9" s="217"/>
      <c r="DQG9" s="217"/>
      <c r="DQH9" s="217"/>
      <c r="DQI9" s="217"/>
      <c r="DQJ9" s="217"/>
      <c r="DQK9" s="217"/>
      <c r="DQL9" s="217"/>
      <c r="DQM9" s="217"/>
      <c r="DQN9" s="217"/>
      <c r="DQO9" s="217"/>
      <c r="DQP9" s="217"/>
      <c r="DQQ9" s="217"/>
      <c r="DQR9" s="217"/>
      <c r="DQS9" s="217"/>
      <c r="DQT9" s="217"/>
      <c r="DQU9" s="217"/>
      <c r="DQV9" s="217"/>
      <c r="DQW9" s="217"/>
      <c r="DQX9" s="217"/>
      <c r="DQY9" s="217"/>
      <c r="DQZ9" s="217"/>
      <c r="DRA9" s="217"/>
      <c r="DRB9" s="217"/>
      <c r="DRC9" s="217"/>
      <c r="DRD9" s="217"/>
      <c r="DRE9" s="217"/>
      <c r="DRF9" s="217"/>
      <c r="DRG9" s="217"/>
      <c r="DRH9" s="217"/>
      <c r="DRI9" s="217"/>
      <c r="DRJ9" s="217"/>
      <c r="DRK9" s="217"/>
      <c r="DRL9" s="217"/>
      <c r="DRM9" s="217"/>
      <c r="DRN9" s="217"/>
      <c r="DRO9" s="217"/>
      <c r="DRP9" s="217"/>
      <c r="DRQ9" s="217"/>
      <c r="DRR9" s="217"/>
      <c r="DRS9" s="217"/>
      <c r="DRT9" s="217"/>
      <c r="DRU9" s="217"/>
      <c r="DRV9" s="217"/>
      <c r="DRW9" s="217"/>
      <c r="DRX9" s="217"/>
      <c r="DRY9" s="217"/>
      <c r="DRZ9" s="217"/>
      <c r="DSA9" s="217"/>
      <c r="DSB9" s="217"/>
      <c r="DSC9" s="217"/>
      <c r="DSD9" s="217"/>
      <c r="DSE9" s="217"/>
      <c r="DSF9" s="217"/>
      <c r="DSG9" s="217"/>
      <c r="DSH9" s="217"/>
      <c r="DSI9" s="217"/>
      <c r="DSJ9" s="217"/>
      <c r="DSK9" s="217"/>
      <c r="DSL9" s="217"/>
      <c r="DSM9" s="217"/>
      <c r="DSN9" s="217"/>
      <c r="DSO9" s="217"/>
      <c r="DSP9" s="217"/>
      <c r="DSQ9" s="217"/>
      <c r="DSR9" s="217"/>
      <c r="DSS9" s="217"/>
      <c r="DST9" s="217"/>
      <c r="DSU9" s="217"/>
      <c r="DSV9" s="217"/>
      <c r="DSW9" s="217"/>
      <c r="DSX9" s="217"/>
      <c r="DSY9" s="217"/>
      <c r="DSZ9" s="217"/>
      <c r="DTA9" s="217"/>
      <c r="DTB9" s="217"/>
      <c r="DTC9" s="217"/>
      <c r="DTD9" s="217"/>
      <c r="DTE9" s="217"/>
      <c r="DTF9" s="217"/>
      <c r="DTG9" s="217"/>
      <c r="DTH9" s="217"/>
      <c r="DTI9" s="217"/>
      <c r="DTJ9" s="217"/>
      <c r="DTK9" s="217"/>
      <c r="DTL9" s="217"/>
      <c r="DTM9" s="217"/>
      <c r="DTN9" s="217"/>
      <c r="DTO9" s="217"/>
      <c r="DTP9" s="217"/>
      <c r="DTQ9" s="217"/>
      <c r="DTR9" s="217"/>
      <c r="DTS9" s="217"/>
      <c r="DTT9" s="217"/>
      <c r="DTU9" s="217"/>
      <c r="DTV9" s="217"/>
      <c r="DTW9" s="217"/>
      <c r="DTX9" s="217"/>
      <c r="DTY9" s="217"/>
      <c r="DTZ9" s="217"/>
      <c r="DUA9" s="217"/>
      <c r="DUB9" s="217"/>
      <c r="DUC9" s="217"/>
      <c r="DUD9" s="217"/>
      <c r="DUE9" s="217"/>
      <c r="DUF9" s="217"/>
      <c r="DUG9" s="217"/>
      <c r="DUH9" s="217"/>
      <c r="DUI9" s="217"/>
      <c r="DUJ9" s="217"/>
      <c r="DUK9" s="217"/>
      <c r="DUL9" s="217"/>
      <c r="DUM9" s="217"/>
      <c r="DUN9" s="217"/>
      <c r="DUO9" s="217"/>
      <c r="DUP9" s="217"/>
      <c r="DUQ9" s="217"/>
      <c r="DUR9" s="217"/>
      <c r="DUS9" s="217"/>
      <c r="DUT9" s="217"/>
      <c r="DUU9" s="217"/>
      <c r="DUV9" s="217"/>
      <c r="DUW9" s="217"/>
      <c r="DUX9" s="217"/>
      <c r="DUY9" s="217"/>
      <c r="DUZ9" s="217"/>
      <c r="DVA9" s="217"/>
      <c r="DVB9" s="217"/>
      <c r="DVC9" s="217"/>
      <c r="DVD9" s="217"/>
      <c r="DVE9" s="217"/>
      <c r="DVF9" s="217"/>
      <c r="DVG9" s="217"/>
      <c r="DVH9" s="217"/>
      <c r="DVI9" s="217"/>
      <c r="DVJ9" s="217"/>
      <c r="DVK9" s="217"/>
      <c r="DVL9" s="217"/>
      <c r="DVM9" s="217"/>
      <c r="DVN9" s="217"/>
      <c r="DVO9" s="217"/>
      <c r="DVP9" s="217"/>
      <c r="DVQ9" s="217"/>
      <c r="DVR9" s="217"/>
      <c r="DVS9" s="217"/>
      <c r="DVT9" s="217"/>
      <c r="DVU9" s="217"/>
      <c r="DVV9" s="217"/>
      <c r="DVW9" s="217"/>
      <c r="DVX9" s="217"/>
      <c r="DVY9" s="217"/>
      <c r="DVZ9" s="217"/>
      <c r="DWA9" s="217"/>
      <c r="DWB9" s="217"/>
      <c r="DWC9" s="217"/>
      <c r="DWD9" s="217"/>
      <c r="DWE9" s="217"/>
      <c r="DWF9" s="217"/>
      <c r="DWG9" s="217"/>
      <c r="DWH9" s="217"/>
      <c r="DWI9" s="217"/>
      <c r="DWJ9" s="217"/>
      <c r="DWK9" s="217"/>
      <c r="DWL9" s="217"/>
      <c r="DWM9" s="217"/>
      <c r="DWN9" s="217"/>
      <c r="DWO9" s="217"/>
      <c r="DWP9" s="217"/>
      <c r="DWQ9" s="217"/>
      <c r="DWR9" s="217"/>
      <c r="DWS9" s="217"/>
      <c r="DWT9" s="217"/>
      <c r="DWU9" s="217"/>
      <c r="DWV9" s="217"/>
      <c r="DWW9" s="217"/>
      <c r="DWX9" s="217"/>
      <c r="DWY9" s="217"/>
      <c r="DWZ9" s="217"/>
      <c r="DXA9" s="217"/>
      <c r="DXB9" s="217"/>
      <c r="DXC9" s="217"/>
      <c r="DXD9" s="217"/>
      <c r="DXE9" s="217"/>
      <c r="DXF9" s="217"/>
      <c r="DXG9" s="217"/>
      <c r="DXH9" s="217"/>
      <c r="DXI9" s="217"/>
      <c r="DXJ9" s="217"/>
      <c r="DXK9" s="217"/>
      <c r="DXL9" s="217"/>
      <c r="DXM9" s="217"/>
      <c r="DXN9" s="217"/>
      <c r="DXO9" s="217"/>
      <c r="DXP9" s="217"/>
      <c r="DXQ9" s="217"/>
      <c r="DXR9" s="217"/>
      <c r="DXS9" s="217"/>
      <c r="DXT9" s="217"/>
      <c r="DXU9" s="217"/>
      <c r="DXV9" s="217"/>
      <c r="DXW9" s="217"/>
      <c r="DXX9" s="217"/>
      <c r="DXY9" s="217"/>
      <c r="DXZ9" s="217"/>
      <c r="DYA9" s="217"/>
      <c r="DYB9" s="217"/>
      <c r="DYC9" s="217"/>
      <c r="DYD9" s="217"/>
      <c r="DYE9" s="217"/>
      <c r="DYF9" s="217"/>
      <c r="DYG9" s="217"/>
      <c r="DYH9" s="217"/>
      <c r="DYI9" s="217"/>
      <c r="DYJ9" s="217"/>
      <c r="DYK9" s="217"/>
      <c r="DYL9" s="217"/>
      <c r="DYM9" s="217"/>
      <c r="DYN9" s="217"/>
      <c r="DYO9" s="217"/>
      <c r="DYP9" s="217"/>
      <c r="DYQ9" s="217"/>
      <c r="DYR9" s="217"/>
      <c r="DYS9" s="217"/>
      <c r="DYT9" s="217"/>
      <c r="DYU9" s="217"/>
      <c r="DYV9" s="217"/>
      <c r="DYW9" s="217"/>
      <c r="DYX9" s="217"/>
      <c r="DYY9" s="217"/>
      <c r="DYZ9" s="217"/>
      <c r="DZA9" s="217"/>
      <c r="DZB9" s="217"/>
      <c r="DZC9" s="217"/>
      <c r="DZD9" s="217"/>
      <c r="DZE9" s="217"/>
      <c r="DZF9" s="217"/>
      <c r="DZG9" s="217"/>
      <c r="DZH9" s="217"/>
      <c r="DZI9" s="217"/>
      <c r="DZJ9" s="217"/>
      <c r="DZK9" s="217"/>
      <c r="DZL9" s="217"/>
      <c r="DZM9" s="217"/>
      <c r="DZN9" s="217"/>
      <c r="DZO9" s="217"/>
      <c r="DZP9" s="217"/>
      <c r="DZQ9" s="217"/>
      <c r="DZR9" s="217"/>
      <c r="DZS9" s="217"/>
      <c r="DZT9" s="217"/>
      <c r="DZU9" s="217"/>
      <c r="DZV9" s="217"/>
      <c r="DZW9" s="217"/>
      <c r="DZX9" s="217"/>
      <c r="DZY9" s="217"/>
      <c r="DZZ9" s="217"/>
      <c r="EAA9" s="217"/>
      <c r="EAB9" s="217"/>
      <c r="EAC9" s="217"/>
      <c r="EAD9" s="217"/>
      <c r="EAE9" s="217"/>
      <c r="EAF9" s="217"/>
      <c r="EAG9" s="217"/>
      <c r="EAH9" s="217"/>
      <c r="EAI9" s="217"/>
      <c r="EAJ9" s="217"/>
      <c r="EAK9" s="217"/>
      <c r="EAL9" s="217"/>
      <c r="EAM9" s="217"/>
      <c r="EAN9" s="217"/>
      <c r="EAO9" s="217"/>
      <c r="EAP9" s="217"/>
      <c r="EAQ9" s="217"/>
      <c r="EAR9" s="217"/>
      <c r="EAS9" s="217"/>
      <c r="EAT9" s="217"/>
      <c r="EAU9" s="217"/>
      <c r="EAV9" s="217"/>
      <c r="EAW9" s="217"/>
      <c r="EAX9" s="217"/>
      <c r="EAY9" s="217"/>
      <c r="EAZ9" s="217"/>
      <c r="EBA9" s="217"/>
      <c r="EBB9" s="217"/>
      <c r="EBC9" s="217"/>
      <c r="EBD9" s="217"/>
      <c r="EBE9" s="217"/>
      <c r="EBF9" s="217"/>
      <c r="EBG9" s="217"/>
      <c r="EBH9" s="217"/>
      <c r="EBI9" s="217"/>
      <c r="EBJ9" s="217"/>
      <c r="EBK9" s="217"/>
      <c r="EBL9" s="217"/>
      <c r="EBM9" s="217"/>
      <c r="EBN9" s="217"/>
      <c r="EBO9" s="217"/>
      <c r="EBP9" s="217"/>
      <c r="EBQ9" s="217"/>
      <c r="EBR9" s="217"/>
      <c r="EBS9" s="217"/>
      <c r="EBT9" s="217"/>
      <c r="EBU9" s="217"/>
      <c r="EBV9" s="217"/>
      <c r="EBW9" s="217"/>
      <c r="EBX9" s="217"/>
      <c r="EBY9" s="217"/>
      <c r="EBZ9" s="217"/>
      <c r="ECA9" s="217"/>
      <c r="ECB9" s="217"/>
      <c r="ECC9" s="217"/>
      <c r="ECD9" s="217"/>
      <c r="ECE9" s="217"/>
      <c r="ECF9" s="217"/>
      <c r="ECG9" s="217"/>
      <c r="ECH9" s="217"/>
      <c r="ECI9" s="217"/>
      <c r="ECJ9" s="217"/>
      <c r="ECK9" s="217"/>
      <c r="ECL9" s="217"/>
      <c r="ECM9" s="217"/>
      <c r="ECN9" s="217"/>
      <c r="ECO9" s="217"/>
      <c r="ECP9" s="217"/>
      <c r="ECQ9" s="217"/>
      <c r="ECR9" s="217"/>
      <c r="ECS9" s="217"/>
      <c r="ECT9" s="217"/>
      <c r="ECU9" s="217"/>
      <c r="ECV9" s="217"/>
      <c r="ECW9" s="217"/>
      <c r="ECX9" s="217"/>
      <c r="ECY9" s="217"/>
      <c r="ECZ9" s="217"/>
      <c r="EDA9" s="217"/>
      <c r="EDB9" s="217"/>
      <c r="EDC9" s="217"/>
      <c r="EDD9" s="217"/>
      <c r="EDE9" s="217"/>
      <c r="EDF9" s="217"/>
      <c r="EDG9" s="217"/>
      <c r="EDH9" s="217"/>
      <c r="EDI9" s="217"/>
      <c r="EDJ9" s="217"/>
      <c r="EDK9" s="217"/>
      <c r="EDL9" s="217"/>
      <c r="EDM9" s="217"/>
      <c r="EDN9" s="217"/>
      <c r="EDO9" s="217"/>
      <c r="EDP9" s="217"/>
      <c r="EDQ9" s="217"/>
      <c r="EDR9" s="217"/>
      <c r="EDS9" s="217"/>
      <c r="EDT9" s="217"/>
      <c r="EDU9" s="217"/>
      <c r="EDV9" s="217"/>
      <c r="EDW9" s="217"/>
      <c r="EDX9" s="217"/>
      <c r="EDY9" s="217"/>
      <c r="EDZ9" s="217"/>
      <c r="EEA9" s="217"/>
      <c r="EEB9" s="217"/>
      <c r="EEC9" s="217"/>
      <c r="EED9" s="217"/>
      <c r="EEE9" s="217"/>
      <c r="EEF9" s="217"/>
      <c r="EEG9" s="217"/>
      <c r="EEH9" s="217"/>
      <c r="EEI9" s="217"/>
      <c r="EEJ9" s="217"/>
      <c r="EEK9" s="217"/>
      <c r="EEL9" s="217"/>
      <c r="EEM9" s="217"/>
      <c r="EEN9" s="217"/>
      <c r="EEO9" s="217"/>
      <c r="EEP9" s="217"/>
      <c r="EEQ9" s="217"/>
      <c r="EER9" s="217"/>
      <c r="EES9" s="217"/>
      <c r="EET9" s="217"/>
      <c r="EEU9" s="217"/>
      <c r="EEV9" s="217"/>
      <c r="EEW9" s="217"/>
      <c r="EEX9" s="217"/>
      <c r="EEY9" s="217"/>
      <c r="EEZ9" s="217"/>
      <c r="EFA9" s="217"/>
      <c r="EFB9" s="217"/>
      <c r="EFC9" s="217"/>
      <c r="EFD9" s="217"/>
      <c r="EFE9" s="217"/>
      <c r="EFF9" s="217"/>
      <c r="EFG9" s="217"/>
      <c r="EFH9" s="217"/>
      <c r="EFI9" s="217"/>
      <c r="EFJ9" s="217"/>
      <c r="EFK9" s="217"/>
      <c r="EFL9" s="217"/>
      <c r="EFM9" s="217"/>
      <c r="EFN9" s="217"/>
      <c r="EFO9" s="217"/>
      <c r="EFP9" s="217"/>
      <c r="EFQ9" s="217"/>
      <c r="EFR9" s="217"/>
      <c r="EFS9" s="217"/>
      <c r="EFT9" s="217"/>
      <c r="EFU9" s="217"/>
      <c r="EFV9" s="217"/>
      <c r="EFW9" s="217"/>
      <c r="EFX9" s="217"/>
      <c r="EFY9" s="217"/>
      <c r="EFZ9" s="217"/>
      <c r="EGA9" s="217"/>
      <c r="EGB9" s="217"/>
      <c r="EGC9" s="217"/>
      <c r="EGD9" s="217"/>
      <c r="EGE9" s="217"/>
      <c r="EGF9" s="217"/>
      <c r="EGG9" s="217"/>
      <c r="EGH9" s="217"/>
      <c r="EGI9" s="217"/>
      <c r="EGJ9" s="217"/>
      <c r="EGK9" s="217"/>
      <c r="EGL9" s="217"/>
      <c r="EGM9" s="217"/>
      <c r="EGN9" s="217"/>
      <c r="EGO9" s="217"/>
      <c r="EGP9" s="217"/>
      <c r="EGQ9" s="217"/>
      <c r="EGR9" s="217"/>
      <c r="EGS9" s="217"/>
      <c r="EGT9" s="217"/>
      <c r="EGU9" s="217"/>
      <c r="EGV9" s="217"/>
      <c r="EGW9" s="217"/>
      <c r="EGX9" s="217"/>
      <c r="EGY9" s="217"/>
      <c r="EGZ9" s="217"/>
      <c r="EHA9" s="217"/>
      <c r="EHB9" s="217"/>
      <c r="EHC9" s="217"/>
      <c r="EHD9" s="217"/>
      <c r="EHE9" s="217"/>
      <c r="EHF9" s="217"/>
      <c r="EHG9" s="217"/>
      <c r="EHH9" s="217"/>
      <c r="EHI9" s="217"/>
      <c r="EHJ9" s="217"/>
      <c r="EHK9" s="217"/>
      <c r="EHL9" s="217"/>
      <c r="EHM9" s="217"/>
      <c r="EHN9" s="217"/>
      <c r="EHO9" s="217"/>
      <c r="EHP9" s="217"/>
      <c r="EHQ9" s="217"/>
      <c r="EHR9" s="217"/>
      <c r="EHS9" s="217"/>
      <c r="EHT9" s="217"/>
      <c r="EHU9" s="217"/>
      <c r="EHV9" s="217"/>
      <c r="EHW9" s="217"/>
      <c r="EHX9" s="217"/>
      <c r="EHY9" s="217"/>
      <c r="EHZ9" s="217"/>
      <c r="EIA9" s="217"/>
      <c r="EIB9" s="217"/>
      <c r="EIC9" s="217"/>
      <c r="EID9" s="217"/>
      <c r="EIE9" s="217"/>
      <c r="EIF9" s="217"/>
      <c r="EIG9" s="217"/>
      <c r="EIH9" s="217"/>
      <c r="EII9" s="217"/>
      <c r="EIJ9" s="217"/>
      <c r="EIK9" s="217"/>
      <c r="EIL9" s="217"/>
      <c r="EIM9" s="217"/>
      <c r="EIN9" s="217"/>
      <c r="EIO9" s="217"/>
      <c r="EIP9" s="217"/>
      <c r="EIQ9" s="217"/>
      <c r="EIR9" s="217"/>
      <c r="EIS9" s="217"/>
      <c r="EIT9" s="217"/>
      <c r="EIU9" s="217"/>
      <c r="EIV9" s="217"/>
      <c r="EIW9" s="217"/>
      <c r="EIX9" s="217"/>
      <c r="EIY9" s="217"/>
      <c r="EIZ9" s="217"/>
      <c r="EJA9" s="217"/>
      <c r="EJB9" s="217"/>
      <c r="EJC9" s="217"/>
      <c r="EJD9" s="217"/>
      <c r="EJE9" s="217"/>
      <c r="EJF9" s="217"/>
      <c r="EJG9" s="217"/>
      <c r="EJH9" s="217"/>
      <c r="EJI9" s="217"/>
      <c r="EJJ9" s="217"/>
      <c r="EJK9" s="217"/>
      <c r="EJL9" s="217"/>
      <c r="EJM9" s="217"/>
      <c r="EJN9" s="217"/>
      <c r="EJO9" s="217"/>
      <c r="EJP9" s="217"/>
      <c r="EJQ9" s="217"/>
      <c r="EJR9" s="217"/>
      <c r="EJS9" s="217"/>
      <c r="EJT9" s="217"/>
      <c r="EJU9" s="217"/>
      <c r="EJV9" s="217"/>
      <c r="EJW9" s="217"/>
      <c r="EJX9" s="217"/>
      <c r="EJY9" s="217"/>
      <c r="EJZ9" s="217"/>
      <c r="EKA9" s="217"/>
      <c r="EKB9" s="217"/>
      <c r="EKC9" s="217"/>
      <c r="EKD9" s="217"/>
      <c r="EKE9" s="217"/>
      <c r="EKF9" s="217"/>
      <c r="EKG9" s="217"/>
      <c r="EKH9" s="217"/>
      <c r="EKI9" s="217"/>
      <c r="EKJ9" s="217"/>
      <c r="EKK9" s="217"/>
      <c r="EKL9" s="217"/>
      <c r="EKM9" s="217"/>
      <c r="EKN9" s="217"/>
      <c r="EKO9" s="217"/>
      <c r="EKP9" s="217"/>
      <c r="EKQ9" s="217"/>
      <c r="EKR9" s="217"/>
      <c r="EKS9" s="217"/>
      <c r="EKT9" s="217"/>
      <c r="EKU9" s="217"/>
      <c r="EKV9" s="217"/>
      <c r="EKW9" s="217"/>
      <c r="EKX9" s="217"/>
      <c r="EKY9" s="217"/>
      <c r="EKZ9" s="217"/>
      <c r="ELA9" s="217"/>
      <c r="ELB9" s="217"/>
      <c r="ELC9" s="217"/>
      <c r="ELD9" s="217"/>
      <c r="ELE9" s="217"/>
      <c r="ELF9" s="217"/>
      <c r="ELG9" s="217"/>
      <c r="ELH9" s="217"/>
      <c r="ELI9" s="217"/>
      <c r="ELJ9" s="217"/>
      <c r="ELK9" s="217"/>
      <c r="ELL9" s="217"/>
      <c r="ELM9" s="217"/>
      <c r="ELN9" s="217"/>
      <c r="ELO9" s="217"/>
      <c r="ELP9" s="217"/>
      <c r="ELQ9" s="217"/>
      <c r="ELR9" s="217"/>
      <c r="ELS9" s="217"/>
      <c r="ELT9" s="217"/>
      <c r="ELU9" s="217"/>
      <c r="ELV9" s="217"/>
      <c r="ELW9" s="217"/>
      <c r="ELX9" s="217"/>
      <c r="ELY9" s="217"/>
      <c r="ELZ9" s="217"/>
      <c r="EMA9" s="217"/>
      <c r="EMB9" s="217"/>
      <c r="EMC9" s="217"/>
      <c r="EMD9" s="217"/>
      <c r="EME9" s="217"/>
      <c r="EMF9" s="217"/>
      <c r="EMG9" s="217"/>
      <c r="EMH9" s="217"/>
      <c r="EMI9" s="217"/>
      <c r="EMJ9" s="217"/>
      <c r="EMK9" s="217"/>
      <c r="EML9" s="217"/>
      <c r="EMM9" s="217"/>
      <c r="EMN9" s="217"/>
      <c r="EMO9" s="217"/>
      <c r="EMP9" s="217"/>
      <c r="EMQ9" s="217"/>
      <c r="EMR9" s="217"/>
      <c r="EMS9" s="217"/>
      <c r="EMT9" s="217"/>
      <c r="EMU9" s="217"/>
      <c r="EMV9" s="217"/>
      <c r="EMW9" s="217"/>
      <c r="EMX9" s="217"/>
      <c r="EMY9" s="217"/>
      <c r="EMZ9" s="217"/>
      <c r="ENA9" s="217"/>
      <c r="ENB9" s="217"/>
      <c r="ENC9" s="217"/>
      <c r="END9" s="217"/>
      <c r="ENE9" s="217"/>
      <c r="ENF9" s="217"/>
      <c r="ENG9" s="217"/>
      <c r="ENH9" s="217"/>
      <c r="ENI9" s="217"/>
      <c r="ENJ9" s="217"/>
      <c r="ENK9" s="217"/>
      <c r="ENL9" s="217"/>
      <c r="ENM9" s="217"/>
      <c r="ENN9" s="217"/>
      <c r="ENO9" s="217"/>
      <c r="ENP9" s="217"/>
      <c r="ENQ9" s="217"/>
      <c r="ENR9" s="217"/>
      <c r="ENS9" s="217"/>
      <c r="ENT9" s="217"/>
      <c r="ENU9" s="217"/>
      <c r="ENV9" s="217"/>
      <c r="ENW9" s="217"/>
      <c r="ENX9" s="217"/>
      <c r="ENY9" s="217"/>
      <c r="ENZ9" s="217"/>
      <c r="EOA9" s="217"/>
      <c r="EOB9" s="217"/>
      <c r="EOC9" s="217"/>
      <c r="EOD9" s="217"/>
      <c r="EOE9" s="217"/>
      <c r="EOF9" s="217"/>
      <c r="EOG9" s="217"/>
      <c r="EOH9" s="217"/>
      <c r="EOI9" s="217"/>
      <c r="EOJ9" s="217"/>
      <c r="EOK9" s="217"/>
      <c r="EOL9" s="217"/>
      <c r="EOM9" s="217"/>
      <c r="EON9" s="217"/>
      <c r="EOO9" s="217"/>
      <c r="EOP9" s="217"/>
      <c r="EOQ9" s="217"/>
      <c r="EOR9" s="217"/>
      <c r="EOS9" s="217"/>
      <c r="EOT9" s="217"/>
      <c r="EOU9" s="217"/>
      <c r="EOV9" s="217"/>
      <c r="EOW9" s="217"/>
      <c r="EOX9" s="217"/>
      <c r="EOY9" s="217"/>
      <c r="EOZ9" s="217"/>
      <c r="EPA9" s="217"/>
      <c r="EPB9" s="217"/>
      <c r="EPC9" s="217"/>
      <c r="EPD9" s="217"/>
      <c r="EPE9" s="217"/>
      <c r="EPF9" s="217"/>
      <c r="EPG9" s="217"/>
      <c r="EPH9" s="217"/>
      <c r="EPI9" s="217"/>
      <c r="EPJ9" s="217"/>
      <c r="EPK9" s="217"/>
      <c r="EPL9" s="217"/>
      <c r="EPM9" s="217"/>
      <c r="EPN9" s="217"/>
      <c r="EPO9" s="217"/>
      <c r="EPP9" s="217"/>
      <c r="EPQ9" s="217"/>
      <c r="EPR9" s="217"/>
      <c r="EPS9" s="217"/>
      <c r="EPT9" s="217"/>
      <c r="EPU9" s="217"/>
      <c r="EPV9" s="217"/>
      <c r="EPW9" s="217"/>
      <c r="EPX9" s="217"/>
      <c r="EPY9" s="217"/>
      <c r="EPZ9" s="217"/>
      <c r="EQA9" s="217"/>
      <c r="EQB9" s="217"/>
      <c r="EQC9" s="217"/>
      <c r="EQD9" s="217"/>
      <c r="EQE9" s="217"/>
      <c r="EQF9" s="217"/>
      <c r="EQG9" s="217"/>
      <c r="EQH9" s="217"/>
      <c r="EQI9" s="217"/>
      <c r="EQJ9" s="217"/>
      <c r="EQK9" s="217"/>
      <c r="EQL9" s="217"/>
      <c r="EQM9" s="217"/>
      <c r="EQN9" s="217"/>
      <c r="EQO9" s="217"/>
      <c r="EQP9" s="217"/>
      <c r="EQQ9" s="217"/>
      <c r="EQR9" s="217"/>
      <c r="EQS9" s="217"/>
      <c r="EQT9" s="217"/>
      <c r="EQU9" s="217"/>
      <c r="EQV9" s="217"/>
      <c r="EQW9" s="217"/>
      <c r="EQX9" s="217"/>
      <c r="EQY9" s="217"/>
      <c r="EQZ9" s="217"/>
      <c r="ERA9" s="217"/>
      <c r="ERB9" s="217"/>
      <c r="ERC9" s="217"/>
      <c r="ERD9" s="217"/>
      <c r="ERE9" s="217"/>
      <c r="ERF9" s="217"/>
      <c r="ERG9" s="217"/>
      <c r="ERH9" s="217"/>
      <c r="ERI9" s="217"/>
      <c r="ERJ9" s="217"/>
      <c r="ERK9" s="217"/>
      <c r="ERL9" s="217"/>
      <c r="ERM9" s="217"/>
      <c r="ERN9" s="217"/>
      <c r="ERO9" s="217"/>
      <c r="ERP9" s="217"/>
      <c r="ERQ9" s="217"/>
      <c r="ERR9" s="217"/>
      <c r="ERS9" s="217"/>
      <c r="ERT9" s="217"/>
      <c r="ERU9" s="217"/>
      <c r="ERV9" s="217"/>
      <c r="ERW9" s="217"/>
      <c r="ERX9" s="217"/>
      <c r="ERY9" s="217"/>
      <c r="ERZ9" s="217"/>
      <c r="ESA9" s="217"/>
      <c r="ESB9" s="217"/>
      <c r="ESC9" s="217"/>
      <c r="ESD9" s="217"/>
      <c r="ESE9" s="217"/>
      <c r="ESF9" s="217"/>
      <c r="ESG9" s="217"/>
      <c r="ESH9" s="217"/>
      <c r="ESI9" s="217"/>
      <c r="ESJ9" s="217"/>
      <c r="ESK9" s="217"/>
      <c r="ESL9" s="217"/>
      <c r="ESM9" s="217"/>
      <c r="ESN9" s="217"/>
      <c r="ESO9" s="217"/>
      <c r="ESP9" s="217"/>
      <c r="ESQ9" s="217"/>
      <c r="ESR9" s="217"/>
      <c r="ESS9" s="217"/>
      <c r="EST9" s="217"/>
      <c r="ESU9" s="217"/>
      <c r="ESV9" s="217"/>
      <c r="ESW9" s="217"/>
      <c r="ESX9" s="217"/>
      <c r="ESY9" s="217"/>
      <c r="ESZ9" s="217"/>
      <c r="ETA9" s="217"/>
      <c r="ETB9" s="217"/>
      <c r="ETC9" s="217"/>
      <c r="ETD9" s="217"/>
      <c r="ETE9" s="217"/>
      <c r="ETF9" s="217"/>
      <c r="ETG9" s="217"/>
      <c r="ETH9" s="217"/>
      <c r="ETI9" s="217"/>
      <c r="ETJ9" s="217"/>
      <c r="ETK9" s="217"/>
      <c r="ETL9" s="217"/>
      <c r="ETM9" s="217"/>
      <c r="ETN9" s="217"/>
      <c r="ETO9" s="217"/>
      <c r="ETP9" s="217"/>
      <c r="ETQ9" s="217"/>
      <c r="ETR9" s="217"/>
      <c r="ETS9" s="217"/>
      <c r="ETT9" s="217"/>
      <c r="ETU9" s="217"/>
      <c r="ETV9" s="217"/>
      <c r="ETW9" s="217"/>
      <c r="ETX9" s="217"/>
      <c r="ETY9" s="217"/>
      <c r="ETZ9" s="217"/>
      <c r="EUA9" s="217"/>
      <c r="EUB9" s="217"/>
      <c r="EUC9" s="217"/>
      <c r="EUD9" s="217"/>
      <c r="EUE9" s="217"/>
      <c r="EUF9" s="217"/>
      <c r="EUG9" s="217"/>
      <c r="EUH9" s="217"/>
      <c r="EUI9" s="217"/>
      <c r="EUJ9" s="217"/>
      <c r="EUK9" s="217"/>
      <c r="EUL9" s="217"/>
      <c r="EUM9" s="217"/>
      <c r="EUN9" s="217"/>
      <c r="EUO9" s="217"/>
      <c r="EUP9" s="217"/>
      <c r="EUQ9" s="217"/>
      <c r="EUR9" s="217"/>
      <c r="EUS9" s="217"/>
      <c r="EUT9" s="217"/>
      <c r="EUU9" s="217"/>
      <c r="EUV9" s="217"/>
      <c r="EUW9" s="217"/>
      <c r="EUX9" s="217"/>
      <c r="EUY9" s="217"/>
      <c r="EUZ9" s="217"/>
      <c r="EVA9" s="217"/>
      <c r="EVB9" s="217"/>
      <c r="EVC9" s="217"/>
      <c r="EVD9" s="217"/>
      <c r="EVE9" s="217"/>
      <c r="EVF9" s="217"/>
      <c r="EVG9" s="217"/>
      <c r="EVH9" s="217"/>
      <c r="EVI9" s="217"/>
      <c r="EVJ9" s="217"/>
      <c r="EVK9" s="217"/>
      <c r="EVL9" s="217"/>
      <c r="EVM9" s="217"/>
      <c r="EVN9" s="217"/>
      <c r="EVO9" s="217"/>
      <c r="EVP9" s="217"/>
      <c r="EVQ9" s="217"/>
      <c r="EVR9" s="217"/>
      <c r="EVS9" s="217"/>
      <c r="EVT9" s="217"/>
      <c r="EVU9" s="217"/>
      <c r="EVV9" s="217"/>
      <c r="EVW9" s="217"/>
      <c r="EVX9" s="217"/>
      <c r="EVY9" s="217"/>
      <c r="EVZ9" s="217"/>
      <c r="EWA9" s="217"/>
      <c r="EWB9" s="217"/>
      <c r="EWC9" s="217"/>
      <c r="EWD9" s="217"/>
      <c r="EWE9" s="217"/>
      <c r="EWF9" s="217"/>
      <c r="EWG9" s="217"/>
      <c r="EWH9" s="217"/>
      <c r="EWI9" s="217"/>
      <c r="EWJ9" s="217"/>
      <c r="EWK9" s="217"/>
      <c r="EWL9" s="217"/>
      <c r="EWM9" s="217"/>
      <c r="EWN9" s="217"/>
      <c r="EWO9" s="217"/>
      <c r="EWP9" s="217"/>
      <c r="EWQ9" s="217"/>
      <c r="EWR9" s="217"/>
      <c r="EWS9" s="217"/>
      <c r="EWT9" s="217"/>
      <c r="EWU9" s="217"/>
      <c r="EWV9" s="217"/>
      <c r="EWW9" s="217"/>
      <c r="EWX9" s="217"/>
      <c r="EWY9" s="217"/>
      <c r="EWZ9" s="217"/>
      <c r="EXA9" s="217"/>
      <c r="EXB9" s="217"/>
      <c r="EXC9" s="217"/>
      <c r="EXD9" s="217"/>
      <c r="EXE9" s="217"/>
      <c r="EXF9" s="217"/>
      <c r="EXG9" s="217"/>
      <c r="EXH9" s="217"/>
      <c r="EXI9" s="217"/>
      <c r="EXJ9" s="217"/>
      <c r="EXK9" s="217"/>
      <c r="EXL9" s="217"/>
      <c r="EXM9" s="217"/>
      <c r="EXN9" s="217"/>
      <c r="EXO9" s="217"/>
      <c r="EXP9" s="217"/>
      <c r="EXQ9" s="217"/>
      <c r="EXR9" s="217"/>
      <c r="EXS9" s="217"/>
      <c r="EXT9" s="217"/>
      <c r="EXU9" s="217"/>
      <c r="EXV9" s="217"/>
      <c r="EXW9" s="217"/>
      <c r="EXX9" s="217"/>
      <c r="EXY9" s="217"/>
      <c r="EXZ9" s="217"/>
      <c r="EYA9" s="217"/>
      <c r="EYB9" s="217"/>
      <c r="EYC9" s="217"/>
      <c r="EYD9" s="217"/>
      <c r="EYE9" s="217"/>
      <c r="EYF9" s="217"/>
      <c r="EYG9" s="217"/>
      <c r="EYH9" s="217"/>
      <c r="EYI9" s="217"/>
      <c r="EYJ9" s="217"/>
      <c r="EYK9" s="217"/>
      <c r="EYL9" s="217"/>
      <c r="EYM9" s="217"/>
      <c r="EYN9" s="217"/>
      <c r="EYO9" s="217"/>
      <c r="EYP9" s="217"/>
      <c r="EYQ9" s="217"/>
      <c r="EYR9" s="217"/>
      <c r="EYS9" s="217"/>
      <c r="EYT9" s="217"/>
      <c r="EYU9" s="217"/>
      <c r="EYV9" s="217"/>
      <c r="EYW9" s="217"/>
      <c r="EYX9" s="217"/>
      <c r="EYY9" s="217"/>
      <c r="EYZ9" s="217"/>
      <c r="EZA9" s="217"/>
      <c r="EZB9" s="217"/>
      <c r="EZC9" s="217"/>
      <c r="EZD9" s="217"/>
      <c r="EZE9" s="217"/>
      <c r="EZF9" s="217"/>
      <c r="EZG9" s="217"/>
      <c r="EZH9" s="217"/>
      <c r="EZI9" s="217"/>
      <c r="EZJ9" s="217"/>
      <c r="EZK9" s="217"/>
      <c r="EZL9" s="217"/>
      <c r="EZM9" s="217"/>
      <c r="EZN9" s="217"/>
      <c r="EZO9" s="217"/>
      <c r="EZP9" s="217"/>
      <c r="EZQ9" s="217"/>
      <c r="EZR9" s="217"/>
      <c r="EZS9" s="217"/>
      <c r="EZT9" s="217"/>
      <c r="EZU9" s="217"/>
      <c r="EZV9" s="217"/>
      <c r="EZW9" s="217"/>
      <c r="EZX9" s="217"/>
      <c r="EZY9" s="217"/>
      <c r="EZZ9" s="217"/>
      <c r="FAA9" s="217"/>
      <c r="FAB9" s="217"/>
      <c r="FAC9" s="217"/>
      <c r="FAD9" s="217"/>
      <c r="FAE9" s="217"/>
      <c r="FAF9" s="217"/>
      <c r="FAG9" s="217"/>
      <c r="FAH9" s="217"/>
      <c r="FAI9" s="217"/>
      <c r="FAJ9" s="217"/>
      <c r="FAK9" s="217"/>
      <c r="FAL9" s="217"/>
      <c r="FAM9" s="217"/>
      <c r="FAN9" s="217"/>
      <c r="FAO9" s="217"/>
      <c r="FAP9" s="217"/>
      <c r="FAQ9" s="217"/>
      <c r="FAR9" s="217"/>
      <c r="FAS9" s="217"/>
      <c r="FAT9" s="217"/>
      <c r="FAU9" s="217"/>
      <c r="FAV9" s="217"/>
      <c r="FAW9" s="217"/>
      <c r="FAX9" s="217"/>
      <c r="FAY9" s="217"/>
      <c r="FAZ9" s="217"/>
      <c r="FBA9" s="217"/>
      <c r="FBB9" s="217"/>
      <c r="FBC9" s="217"/>
      <c r="FBD9" s="217"/>
      <c r="FBE9" s="217"/>
      <c r="FBF9" s="217"/>
      <c r="FBG9" s="217"/>
      <c r="FBH9" s="217"/>
      <c r="FBI9" s="217"/>
      <c r="FBJ9" s="217"/>
      <c r="FBK9" s="217"/>
      <c r="FBL9" s="217"/>
      <c r="FBM9" s="217"/>
      <c r="FBN9" s="217"/>
      <c r="FBO9" s="217"/>
      <c r="FBP9" s="217"/>
      <c r="FBQ9" s="217"/>
      <c r="FBR9" s="217"/>
      <c r="FBS9" s="217"/>
      <c r="FBT9" s="217"/>
      <c r="FBU9" s="217"/>
      <c r="FBV9" s="217"/>
      <c r="FBW9" s="217"/>
      <c r="FBX9" s="217"/>
      <c r="FBY9" s="217"/>
      <c r="FBZ9" s="217"/>
      <c r="FCA9" s="217"/>
      <c r="FCB9" s="217"/>
      <c r="FCC9" s="217"/>
      <c r="FCD9" s="217"/>
      <c r="FCE9" s="217"/>
      <c r="FCF9" s="217"/>
      <c r="FCG9" s="217"/>
      <c r="FCH9" s="217"/>
      <c r="FCI9" s="217"/>
      <c r="FCJ9" s="217"/>
      <c r="FCK9" s="217"/>
      <c r="FCL9" s="217"/>
      <c r="FCM9" s="217"/>
      <c r="FCN9" s="217"/>
      <c r="FCO9" s="217"/>
      <c r="FCP9" s="217"/>
      <c r="FCQ9" s="217"/>
      <c r="FCR9" s="217"/>
      <c r="FCS9" s="217"/>
      <c r="FCT9" s="217"/>
      <c r="FCU9" s="217"/>
      <c r="FCV9" s="217"/>
      <c r="FCW9" s="217"/>
      <c r="FCX9" s="217"/>
      <c r="FCY9" s="217"/>
      <c r="FCZ9" s="217"/>
      <c r="FDA9" s="217"/>
      <c r="FDB9" s="217"/>
      <c r="FDC9" s="217"/>
      <c r="FDD9" s="217"/>
      <c r="FDE9" s="217"/>
      <c r="FDF9" s="217"/>
      <c r="FDG9" s="217"/>
      <c r="FDH9" s="217"/>
      <c r="FDI9" s="217"/>
      <c r="FDJ9" s="217"/>
      <c r="FDK9" s="217"/>
      <c r="FDL9" s="217"/>
      <c r="FDM9" s="217"/>
      <c r="FDN9" s="217"/>
      <c r="FDO9" s="217"/>
      <c r="FDP9" s="217"/>
      <c r="FDQ9" s="217"/>
      <c r="FDR9" s="217"/>
      <c r="FDS9" s="217"/>
      <c r="FDT9" s="217"/>
      <c r="FDU9" s="217"/>
      <c r="FDV9" s="217"/>
      <c r="FDW9" s="217"/>
      <c r="FDX9" s="217"/>
      <c r="FDY9" s="217"/>
      <c r="FDZ9" s="217"/>
      <c r="FEA9" s="217"/>
      <c r="FEB9" s="217"/>
      <c r="FEC9" s="217"/>
      <c r="FED9" s="217"/>
      <c r="FEE9" s="217"/>
      <c r="FEF9" s="217"/>
      <c r="FEG9" s="217"/>
      <c r="FEH9" s="217"/>
      <c r="FEI9" s="217"/>
      <c r="FEJ9" s="217"/>
      <c r="FEK9" s="217"/>
      <c r="FEL9" s="217"/>
      <c r="FEM9" s="217"/>
      <c r="FEN9" s="217"/>
      <c r="FEO9" s="217"/>
      <c r="FEP9" s="217"/>
      <c r="FEQ9" s="217"/>
      <c r="FER9" s="217"/>
      <c r="FES9" s="217"/>
      <c r="FET9" s="217"/>
      <c r="FEU9" s="217"/>
      <c r="FEV9" s="217"/>
      <c r="FEW9" s="217"/>
      <c r="FEX9" s="217"/>
      <c r="FEY9" s="217"/>
      <c r="FEZ9" s="217"/>
      <c r="FFA9" s="217"/>
      <c r="FFB9" s="217"/>
      <c r="FFC9" s="217"/>
      <c r="FFD9" s="217"/>
      <c r="FFE9" s="217"/>
      <c r="FFF9" s="217"/>
      <c r="FFG9" s="217"/>
      <c r="FFH9" s="217"/>
      <c r="FFI9" s="217"/>
      <c r="FFJ9" s="217"/>
      <c r="FFK9" s="217"/>
      <c r="FFL9" s="217"/>
      <c r="FFM9" s="217"/>
      <c r="FFN9" s="217"/>
      <c r="FFO9" s="217"/>
      <c r="FFP9" s="217"/>
      <c r="FFQ9" s="217"/>
      <c r="FFR9" s="217"/>
      <c r="FFS9" s="217"/>
      <c r="FFT9" s="217"/>
      <c r="FFU9" s="217"/>
      <c r="FFV9" s="217"/>
      <c r="FFW9" s="217"/>
      <c r="FFX9" s="217"/>
      <c r="FFY9" s="217"/>
      <c r="FFZ9" s="217"/>
      <c r="FGA9" s="217"/>
      <c r="FGB9" s="217"/>
      <c r="FGC9" s="217"/>
      <c r="FGD9" s="217"/>
      <c r="FGE9" s="217"/>
      <c r="FGF9" s="217"/>
      <c r="FGG9" s="217"/>
      <c r="FGH9" s="217"/>
      <c r="FGI9" s="217"/>
      <c r="FGJ9" s="217"/>
      <c r="FGK9" s="217"/>
      <c r="FGL9" s="217"/>
      <c r="FGM9" s="217"/>
      <c r="FGN9" s="217"/>
      <c r="FGO9" s="217"/>
      <c r="FGP9" s="217"/>
      <c r="FGQ9" s="217"/>
      <c r="FGR9" s="217"/>
      <c r="FGS9" s="217"/>
      <c r="FGT9" s="217"/>
      <c r="FGU9" s="217"/>
      <c r="FGV9" s="217"/>
      <c r="FGW9" s="217"/>
      <c r="FGX9" s="217"/>
      <c r="FGY9" s="217"/>
      <c r="FGZ9" s="217"/>
      <c r="FHA9" s="217"/>
      <c r="FHB9" s="217"/>
      <c r="FHC9" s="217"/>
      <c r="FHD9" s="217"/>
      <c r="FHE9" s="217"/>
      <c r="FHF9" s="217"/>
      <c r="FHG9" s="217"/>
      <c r="FHH9" s="217"/>
      <c r="FHI9" s="217"/>
      <c r="FHJ9" s="217"/>
      <c r="FHK9" s="217"/>
      <c r="FHL9" s="217"/>
      <c r="FHM9" s="217"/>
      <c r="FHN9" s="217"/>
      <c r="FHO9" s="217"/>
      <c r="FHP9" s="217"/>
      <c r="FHQ9" s="217"/>
      <c r="FHR9" s="217"/>
      <c r="FHS9" s="217"/>
      <c r="FHT9" s="217"/>
      <c r="FHU9" s="217"/>
      <c r="FHV9" s="217"/>
      <c r="FHW9" s="217"/>
      <c r="FHX9" s="217"/>
      <c r="FHY9" s="217"/>
      <c r="FHZ9" s="217"/>
      <c r="FIA9" s="217"/>
      <c r="FIB9" s="217"/>
      <c r="FIC9" s="217"/>
      <c r="FID9" s="217"/>
      <c r="FIE9" s="217"/>
      <c r="FIF9" s="217"/>
      <c r="FIG9" s="217"/>
      <c r="FIH9" s="217"/>
      <c r="FII9" s="217"/>
      <c r="FIJ9" s="217"/>
      <c r="FIK9" s="217"/>
      <c r="FIL9" s="217"/>
      <c r="FIM9" s="217"/>
      <c r="FIN9" s="217"/>
      <c r="FIO9" s="217"/>
      <c r="FIP9" s="217"/>
      <c r="FIQ9" s="217"/>
      <c r="FIR9" s="217"/>
      <c r="FIS9" s="217"/>
      <c r="FIT9" s="217"/>
      <c r="FIU9" s="217"/>
      <c r="FIV9" s="217"/>
      <c r="FIW9" s="217"/>
      <c r="FIX9" s="217"/>
      <c r="FIY9" s="217"/>
      <c r="FIZ9" s="217"/>
      <c r="FJA9" s="217"/>
      <c r="FJB9" s="217"/>
      <c r="FJC9" s="217"/>
      <c r="FJD9" s="217"/>
      <c r="FJE9" s="217"/>
      <c r="FJF9" s="217"/>
      <c r="FJG9" s="217"/>
      <c r="FJH9" s="217"/>
      <c r="FJI9" s="217"/>
      <c r="FJJ9" s="217"/>
      <c r="FJK9" s="217"/>
      <c r="FJL9" s="217"/>
      <c r="FJM9" s="217"/>
      <c r="FJN9" s="217"/>
      <c r="FJO9" s="217"/>
      <c r="FJP9" s="217"/>
      <c r="FJQ9" s="217"/>
      <c r="FJR9" s="217"/>
      <c r="FJS9" s="217"/>
      <c r="FJT9" s="217"/>
      <c r="FJU9" s="217"/>
      <c r="FJV9" s="217"/>
      <c r="FJW9" s="217"/>
      <c r="FJX9" s="217"/>
      <c r="FJY9" s="217"/>
      <c r="FJZ9" s="217"/>
      <c r="FKA9" s="217"/>
      <c r="FKB9" s="217"/>
      <c r="FKC9" s="217"/>
      <c r="FKD9" s="217"/>
      <c r="FKE9" s="217"/>
      <c r="FKF9" s="217"/>
      <c r="FKG9" s="217"/>
      <c r="FKH9" s="217"/>
      <c r="FKI9" s="217"/>
      <c r="FKJ9" s="217"/>
      <c r="FKK9" s="217"/>
      <c r="FKL9" s="217"/>
      <c r="FKM9" s="217"/>
      <c r="FKN9" s="217"/>
      <c r="FKO9" s="217"/>
      <c r="FKP9" s="217"/>
      <c r="FKQ9" s="217"/>
      <c r="FKR9" s="217"/>
      <c r="FKS9" s="217"/>
      <c r="FKT9" s="217"/>
      <c r="FKU9" s="217"/>
      <c r="FKV9" s="217"/>
      <c r="FKW9" s="217"/>
      <c r="FKX9" s="217"/>
      <c r="FKY9" s="217"/>
      <c r="FKZ9" s="217"/>
      <c r="FLA9" s="217"/>
      <c r="FLB9" s="217"/>
      <c r="FLC9" s="217"/>
      <c r="FLD9" s="217"/>
      <c r="FLE9" s="217"/>
      <c r="FLF9" s="217"/>
      <c r="FLG9" s="217"/>
      <c r="FLH9" s="217"/>
      <c r="FLI9" s="217"/>
      <c r="FLJ9" s="217"/>
      <c r="FLK9" s="217"/>
      <c r="FLL9" s="217"/>
      <c r="FLM9" s="217"/>
      <c r="FLN9" s="217"/>
      <c r="FLO9" s="217"/>
      <c r="FLP9" s="217"/>
      <c r="FLQ9" s="217"/>
      <c r="FLR9" s="217"/>
      <c r="FLS9" s="217"/>
      <c r="FLT9" s="217"/>
      <c r="FLU9" s="217"/>
      <c r="FLV9" s="217"/>
      <c r="FLW9" s="217"/>
      <c r="FLX9" s="217"/>
      <c r="FLY9" s="217"/>
      <c r="FLZ9" s="217"/>
      <c r="FMA9" s="217"/>
      <c r="FMB9" s="217"/>
      <c r="FMC9" s="217"/>
      <c r="FMD9" s="217"/>
      <c r="FME9" s="217"/>
      <c r="FMF9" s="217"/>
      <c r="FMG9" s="217"/>
      <c r="FMH9" s="217"/>
      <c r="FMI9" s="217"/>
      <c r="FMJ9" s="217"/>
      <c r="FMK9" s="217"/>
      <c r="FML9" s="217"/>
      <c r="FMM9" s="217"/>
      <c r="FMN9" s="217"/>
      <c r="FMO9" s="217"/>
      <c r="FMP9" s="217"/>
      <c r="FMQ9" s="217"/>
      <c r="FMR9" s="217"/>
      <c r="FMS9" s="217"/>
      <c r="FMT9" s="217"/>
      <c r="FMU9" s="217"/>
      <c r="FMV9" s="217"/>
      <c r="FMW9" s="217"/>
      <c r="FMX9" s="217"/>
      <c r="FMY9" s="217"/>
      <c r="FMZ9" s="217"/>
      <c r="FNA9" s="217"/>
      <c r="FNB9" s="217"/>
      <c r="FNC9" s="217"/>
      <c r="FND9" s="217"/>
      <c r="FNE9" s="217"/>
      <c r="FNF9" s="217"/>
      <c r="FNG9" s="217"/>
      <c r="FNH9" s="217"/>
      <c r="FNI9" s="217"/>
      <c r="FNJ9" s="217"/>
      <c r="FNK9" s="217"/>
      <c r="FNL9" s="217"/>
      <c r="FNM9" s="217"/>
      <c r="FNN9" s="217"/>
      <c r="FNO9" s="217"/>
      <c r="FNP9" s="217"/>
      <c r="FNQ9" s="217"/>
      <c r="FNR9" s="217"/>
      <c r="FNS9" s="217"/>
      <c r="FNT9" s="217"/>
      <c r="FNU9" s="217"/>
      <c r="FNV9" s="217"/>
      <c r="FNW9" s="217"/>
      <c r="FNX9" s="217"/>
      <c r="FNY9" s="217"/>
      <c r="FNZ9" s="217"/>
      <c r="FOA9" s="217"/>
      <c r="FOB9" s="217"/>
      <c r="FOC9" s="217"/>
      <c r="FOD9" s="217"/>
      <c r="FOE9" s="217"/>
      <c r="FOF9" s="217"/>
      <c r="FOG9" s="217"/>
      <c r="FOH9" s="217"/>
      <c r="FOI9" s="217"/>
      <c r="FOJ9" s="217"/>
      <c r="FOK9" s="217"/>
      <c r="FOL9" s="217"/>
      <c r="FOM9" s="217"/>
      <c r="FON9" s="217"/>
      <c r="FOO9" s="217"/>
      <c r="FOP9" s="217"/>
      <c r="FOQ9" s="217"/>
      <c r="FOR9" s="217"/>
      <c r="FOS9" s="217"/>
      <c r="FOT9" s="217"/>
      <c r="FOU9" s="217"/>
      <c r="FOV9" s="217"/>
      <c r="FOW9" s="217"/>
      <c r="FOX9" s="217"/>
      <c r="FOY9" s="217"/>
      <c r="FOZ9" s="217"/>
      <c r="FPA9" s="217"/>
      <c r="FPB9" s="217"/>
      <c r="FPC9" s="217"/>
      <c r="FPD9" s="217"/>
      <c r="FPE9" s="217"/>
      <c r="FPF9" s="217"/>
      <c r="FPG9" s="217"/>
      <c r="FPH9" s="217"/>
      <c r="FPI9" s="217"/>
      <c r="FPJ9" s="217"/>
      <c r="FPK9" s="217"/>
      <c r="FPL9" s="217"/>
      <c r="FPM9" s="217"/>
      <c r="FPN9" s="217"/>
      <c r="FPO9" s="217"/>
      <c r="FPP9" s="217"/>
      <c r="FPQ9" s="217"/>
      <c r="FPR9" s="217"/>
      <c r="FPS9" s="217"/>
      <c r="FPT9" s="217"/>
      <c r="FPU9" s="217"/>
      <c r="FPV9" s="217"/>
      <c r="FPW9" s="217"/>
      <c r="FPX9" s="217"/>
      <c r="FPY9" s="217"/>
      <c r="FPZ9" s="217"/>
      <c r="FQA9" s="217"/>
      <c r="FQB9" s="217"/>
      <c r="FQC9" s="217"/>
      <c r="FQD9" s="217"/>
      <c r="FQE9" s="217"/>
      <c r="FQF9" s="217"/>
      <c r="FQG9" s="217"/>
      <c r="FQH9" s="217"/>
      <c r="FQI9" s="217"/>
      <c r="FQJ9" s="217"/>
      <c r="FQK9" s="217"/>
      <c r="FQL9" s="217"/>
      <c r="FQM9" s="217"/>
      <c r="FQN9" s="217"/>
      <c r="FQO9" s="217"/>
      <c r="FQP9" s="217"/>
      <c r="FQQ9" s="217"/>
      <c r="FQR9" s="217"/>
      <c r="FQS9" s="217"/>
      <c r="FQT9" s="217"/>
      <c r="FQU9" s="217"/>
      <c r="FQV9" s="217"/>
      <c r="FQW9" s="217"/>
      <c r="FQX9" s="217"/>
      <c r="FQY9" s="217"/>
      <c r="FQZ9" s="217"/>
      <c r="FRA9" s="217"/>
      <c r="FRB9" s="217"/>
      <c r="FRC9" s="217"/>
      <c r="FRD9" s="217"/>
      <c r="FRE9" s="217"/>
      <c r="FRF9" s="217"/>
      <c r="FRG9" s="217"/>
      <c r="FRH9" s="217"/>
      <c r="FRI9" s="217"/>
      <c r="FRJ9" s="217"/>
      <c r="FRK9" s="217"/>
      <c r="FRL9" s="217"/>
      <c r="FRM9" s="217"/>
      <c r="FRN9" s="217"/>
      <c r="FRO9" s="217"/>
      <c r="FRP9" s="217"/>
      <c r="FRQ9" s="217"/>
      <c r="FRR9" s="217"/>
      <c r="FRS9" s="217"/>
      <c r="FRT9" s="217"/>
      <c r="FRU9" s="217"/>
      <c r="FRV9" s="217"/>
      <c r="FRW9" s="217"/>
      <c r="FRX9" s="217"/>
      <c r="FRY9" s="217"/>
      <c r="FRZ9" s="217"/>
      <c r="FSA9" s="217"/>
      <c r="FSB9" s="217"/>
      <c r="FSC9" s="217"/>
      <c r="FSD9" s="217"/>
      <c r="FSE9" s="217"/>
      <c r="FSF9" s="217"/>
      <c r="FSG9" s="217"/>
      <c r="FSH9" s="217"/>
      <c r="FSI9" s="217"/>
      <c r="FSJ9" s="217"/>
      <c r="FSK9" s="217"/>
      <c r="FSL9" s="217"/>
      <c r="FSM9" s="217"/>
      <c r="FSN9" s="217"/>
      <c r="FSO9" s="217"/>
      <c r="FSP9" s="217"/>
      <c r="FSQ9" s="217"/>
      <c r="FSR9" s="217"/>
      <c r="FSS9" s="217"/>
      <c r="FST9" s="217"/>
      <c r="FSU9" s="217"/>
      <c r="FSV9" s="217"/>
      <c r="FSW9" s="217"/>
      <c r="FSX9" s="217"/>
      <c r="FSY9" s="217"/>
      <c r="FSZ9" s="217"/>
      <c r="FTA9" s="217"/>
      <c r="FTB9" s="217"/>
      <c r="FTC9" s="217"/>
      <c r="FTD9" s="217"/>
      <c r="FTE9" s="217"/>
      <c r="FTF9" s="217"/>
      <c r="FTG9" s="217"/>
      <c r="FTH9" s="217"/>
      <c r="FTI9" s="217"/>
      <c r="FTJ9" s="217"/>
      <c r="FTK9" s="217"/>
      <c r="FTL9" s="217"/>
      <c r="FTM9" s="217"/>
      <c r="FTN9" s="217"/>
      <c r="FTO9" s="217"/>
      <c r="FTP9" s="217"/>
      <c r="FTQ9" s="217"/>
      <c r="FTR9" s="217"/>
      <c r="FTS9" s="217"/>
      <c r="FTT9" s="217"/>
      <c r="FTU9" s="217"/>
      <c r="FTV9" s="217"/>
      <c r="FTW9" s="217"/>
      <c r="FTX9" s="217"/>
      <c r="FTY9" s="217"/>
      <c r="FTZ9" s="217"/>
      <c r="FUA9" s="217"/>
      <c r="FUB9" s="217"/>
      <c r="FUC9" s="217"/>
      <c r="FUD9" s="217"/>
      <c r="FUE9" s="217"/>
      <c r="FUF9" s="217"/>
      <c r="FUG9" s="217"/>
      <c r="FUH9" s="217"/>
      <c r="FUI9" s="217"/>
      <c r="FUJ9" s="217"/>
      <c r="FUK9" s="217"/>
      <c r="FUL9" s="217"/>
      <c r="FUM9" s="217"/>
      <c r="FUN9" s="217"/>
      <c r="FUO9" s="217"/>
      <c r="FUP9" s="217"/>
      <c r="FUQ9" s="217"/>
      <c r="FUR9" s="217"/>
      <c r="FUS9" s="217"/>
      <c r="FUT9" s="217"/>
      <c r="FUU9" s="217"/>
      <c r="FUV9" s="217"/>
      <c r="FUW9" s="217"/>
      <c r="FUX9" s="217"/>
      <c r="FUY9" s="217"/>
      <c r="FUZ9" s="217"/>
      <c r="FVA9" s="217"/>
      <c r="FVB9" s="217"/>
      <c r="FVC9" s="217"/>
      <c r="FVD9" s="217"/>
      <c r="FVE9" s="217"/>
      <c r="FVF9" s="217"/>
      <c r="FVG9" s="217"/>
      <c r="FVH9" s="217"/>
      <c r="FVI9" s="217"/>
      <c r="FVJ9" s="217"/>
      <c r="FVK9" s="217"/>
      <c r="FVL9" s="217"/>
      <c r="FVM9" s="217"/>
      <c r="FVN9" s="217"/>
      <c r="FVO9" s="217"/>
      <c r="FVP9" s="217"/>
      <c r="FVQ9" s="217"/>
      <c r="FVR9" s="217"/>
      <c r="FVS9" s="217"/>
      <c r="FVT9" s="217"/>
      <c r="FVU9" s="217"/>
      <c r="FVV9" s="217"/>
      <c r="FVW9" s="217"/>
      <c r="FVX9" s="217"/>
      <c r="FVY9" s="217"/>
      <c r="FVZ9" s="217"/>
      <c r="FWA9" s="217"/>
      <c r="FWB9" s="217"/>
      <c r="FWC9" s="217"/>
      <c r="FWD9" s="217"/>
      <c r="FWE9" s="217"/>
      <c r="FWF9" s="217"/>
      <c r="FWG9" s="217"/>
      <c r="FWH9" s="217"/>
      <c r="FWI9" s="217"/>
      <c r="FWJ9" s="217"/>
      <c r="FWK9" s="217"/>
      <c r="FWL9" s="217"/>
      <c r="FWM9" s="217"/>
      <c r="FWN9" s="217"/>
      <c r="FWO9" s="217"/>
      <c r="FWP9" s="217"/>
      <c r="FWQ9" s="217"/>
      <c r="FWR9" s="217"/>
      <c r="FWS9" s="217"/>
      <c r="FWT9" s="217"/>
      <c r="FWU9" s="217"/>
      <c r="FWV9" s="217"/>
      <c r="FWW9" s="217"/>
      <c r="FWX9" s="217"/>
      <c r="FWY9" s="217"/>
      <c r="FWZ9" s="217"/>
      <c r="FXA9" s="217"/>
      <c r="FXB9" s="217"/>
      <c r="FXC9" s="217"/>
      <c r="FXD9" s="217"/>
      <c r="FXE9" s="217"/>
      <c r="FXF9" s="217"/>
      <c r="FXG9" s="217"/>
      <c r="FXH9" s="217"/>
      <c r="FXI9" s="217"/>
      <c r="FXJ9" s="217"/>
      <c r="FXK9" s="217"/>
      <c r="FXL9" s="217"/>
      <c r="FXM9" s="217"/>
      <c r="FXN9" s="217"/>
      <c r="FXO9" s="217"/>
      <c r="FXP9" s="217"/>
      <c r="FXQ9" s="217"/>
      <c r="FXR9" s="217"/>
      <c r="FXS9" s="217"/>
      <c r="FXT9" s="217"/>
      <c r="FXU9" s="217"/>
      <c r="FXV9" s="217"/>
      <c r="FXW9" s="217"/>
      <c r="FXX9" s="217"/>
      <c r="FXY9" s="217"/>
      <c r="FXZ9" s="217"/>
      <c r="FYA9" s="217"/>
      <c r="FYB9" s="217"/>
      <c r="FYC9" s="217"/>
      <c r="FYD9" s="217"/>
      <c r="FYE9" s="217"/>
      <c r="FYF9" s="217"/>
      <c r="FYG9" s="217"/>
      <c r="FYH9" s="217"/>
      <c r="FYI9" s="217"/>
      <c r="FYJ9" s="217"/>
      <c r="FYK9" s="217"/>
      <c r="FYL9" s="217"/>
      <c r="FYM9" s="217"/>
      <c r="FYN9" s="217"/>
      <c r="FYO9" s="217"/>
      <c r="FYP9" s="217"/>
      <c r="FYQ9" s="217"/>
      <c r="FYR9" s="217"/>
      <c r="FYS9" s="217"/>
      <c r="FYT9" s="217"/>
      <c r="FYU9" s="217"/>
      <c r="FYV9" s="217"/>
      <c r="FYW9" s="217"/>
      <c r="FYX9" s="217"/>
      <c r="FYY9" s="217"/>
      <c r="FYZ9" s="217"/>
      <c r="FZA9" s="217"/>
      <c r="FZB9" s="217"/>
      <c r="FZC9" s="217"/>
      <c r="FZD9" s="217"/>
      <c r="FZE9" s="217"/>
      <c r="FZF9" s="217"/>
      <c r="FZG9" s="217"/>
      <c r="FZH9" s="217"/>
      <c r="FZI9" s="217"/>
      <c r="FZJ9" s="217"/>
      <c r="FZK9" s="217"/>
      <c r="FZL9" s="217"/>
      <c r="FZM9" s="217"/>
      <c r="FZN9" s="217"/>
      <c r="FZO9" s="217"/>
      <c r="FZP9" s="217"/>
      <c r="FZQ9" s="217"/>
      <c r="FZR9" s="217"/>
      <c r="FZS9" s="217"/>
      <c r="FZT9" s="217"/>
      <c r="FZU9" s="217"/>
      <c r="FZV9" s="217"/>
      <c r="FZW9" s="217"/>
      <c r="FZX9" s="217"/>
      <c r="FZY9" s="217"/>
      <c r="FZZ9" s="217"/>
      <c r="GAA9" s="217"/>
      <c r="GAB9" s="217"/>
      <c r="GAC9" s="217"/>
      <c r="GAD9" s="217"/>
      <c r="GAE9" s="217"/>
      <c r="GAF9" s="217"/>
      <c r="GAG9" s="217"/>
      <c r="GAH9" s="217"/>
      <c r="GAI9" s="217"/>
      <c r="GAJ9" s="217"/>
      <c r="GAK9" s="217"/>
      <c r="GAL9" s="217"/>
      <c r="GAM9" s="217"/>
      <c r="GAN9" s="217"/>
      <c r="GAO9" s="217"/>
      <c r="GAP9" s="217"/>
      <c r="GAQ9" s="217"/>
      <c r="GAR9" s="217"/>
      <c r="GAS9" s="217"/>
      <c r="GAT9" s="217"/>
      <c r="GAU9" s="217"/>
      <c r="GAV9" s="217"/>
      <c r="GAW9" s="217"/>
      <c r="GAX9" s="217"/>
      <c r="GAY9" s="217"/>
      <c r="GAZ9" s="217"/>
      <c r="GBA9" s="217"/>
      <c r="GBB9" s="217"/>
      <c r="GBC9" s="217"/>
      <c r="GBD9" s="217"/>
      <c r="GBE9" s="217"/>
      <c r="GBF9" s="217"/>
      <c r="GBG9" s="217"/>
      <c r="GBH9" s="217"/>
      <c r="GBI9" s="217"/>
      <c r="GBJ9" s="217"/>
      <c r="GBK9" s="217"/>
      <c r="GBL9" s="217"/>
      <c r="GBM9" s="217"/>
      <c r="GBN9" s="217"/>
      <c r="GBO9" s="217"/>
      <c r="GBP9" s="217"/>
      <c r="GBQ9" s="217"/>
      <c r="GBR9" s="217"/>
      <c r="GBS9" s="217"/>
      <c r="GBT9" s="217"/>
      <c r="GBU9" s="217"/>
      <c r="GBV9" s="217"/>
      <c r="GBW9" s="217"/>
      <c r="GBX9" s="217"/>
      <c r="GBY9" s="217"/>
      <c r="GBZ9" s="217"/>
      <c r="GCA9" s="217"/>
      <c r="GCB9" s="217"/>
      <c r="GCC9" s="217"/>
      <c r="GCD9" s="217"/>
      <c r="GCE9" s="217"/>
      <c r="GCF9" s="217"/>
      <c r="GCG9" s="217"/>
      <c r="GCH9" s="217"/>
      <c r="GCI9" s="217"/>
      <c r="GCJ9" s="217"/>
      <c r="GCK9" s="217"/>
      <c r="GCL9" s="217"/>
      <c r="GCM9" s="217"/>
      <c r="GCN9" s="217"/>
      <c r="GCO9" s="217"/>
      <c r="GCP9" s="217"/>
      <c r="GCQ9" s="217"/>
      <c r="GCR9" s="217"/>
      <c r="GCS9" s="217"/>
      <c r="GCT9" s="217"/>
      <c r="GCU9" s="217"/>
      <c r="GCV9" s="217"/>
      <c r="GCW9" s="217"/>
      <c r="GCX9" s="217"/>
      <c r="GCY9" s="217"/>
      <c r="GCZ9" s="217"/>
      <c r="GDA9" s="217"/>
      <c r="GDB9" s="217"/>
      <c r="GDC9" s="217"/>
      <c r="GDD9" s="217"/>
      <c r="GDE9" s="217"/>
      <c r="GDF9" s="217"/>
      <c r="GDG9" s="217"/>
      <c r="GDH9" s="217"/>
      <c r="GDI9" s="217"/>
      <c r="GDJ9" s="217"/>
      <c r="GDK9" s="217"/>
      <c r="GDL9" s="217"/>
      <c r="GDM9" s="217"/>
      <c r="GDN9" s="217"/>
      <c r="GDO9" s="217"/>
      <c r="GDP9" s="217"/>
      <c r="GDQ9" s="217"/>
      <c r="GDR9" s="217"/>
      <c r="GDS9" s="217"/>
      <c r="GDT9" s="217"/>
      <c r="GDU9" s="217"/>
      <c r="GDV9" s="217"/>
      <c r="GDW9" s="217"/>
      <c r="GDX9" s="217"/>
      <c r="GDY9" s="217"/>
      <c r="GDZ9" s="217"/>
      <c r="GEA9" s="217"/>
      <c r="GEB9" s="217"/>
      <c r="GEC9" s="217"/>
      <c r="GED9" s="217"/>
      <c r="GEE9" s="217"/>
      <c r="GEF9" s="217"/>
      <c r="GEG9" s="217"/>
      <c r="GEH9" s="217"/>
      <c r="GEI9" s="217"/>
      <c r="GEJ9" s="217"/>
      <c r="GEK9" s="217"/>
      <c r="GEL9" s="217"/>
      <c r="GEM9" s="217"/>
      <c r="GEN9" s="217"/>
      <c r="GEO9" s="217"/>
      <c r="GEP9" s="217"/>
      <c r="GEQ9" s="217"/>
      <c r="GER9" s="217"/>
      <c r="GES9" s="217"/>
      <c r="GET9" s="217"/>
      <c r="GEU9" s="217"/>
      <c r="GEV9" s="217"/>
      <c r="GEW9" s="217"/>
      <c r="GEX9" s="217"/>
      <c r="GEY9" s="217"/>
      <c r="GEZ9" s="217"/>
      <c r="GFA9" s="217"/>
      <c r="GFB9" s="217"/>
      <c r="GFC9" s="217"/>
      <c r="GFD9" s="217"/>
      <c r="GFE9" s="217"/>
      <c r="GFF9" s="217"/>
      <c r="GFG9" s="217"/>
      <c r="GFH9" s="217"/>
      <c r="GFI9" s="217"/>
      <c r="GFJ9" s="217"/>
      <c r="GFK9" s="217"/>
      <c r="GFL9" s="217"/>
      <c r="GFM9" s="217"/>
      <c r="GFN9" s="217"/>
      <c r="GFO9" s="217"/>
      <c r="GFP9" s="217"/>
      <c r="GFQ9" s="217"/>
      <c r="GFR9" s="217"/>
      <c r="GFS9" s="217"/>
      <c r="GFT9" s="217"/>
      <c r="GFU9" s="217"/>
      <c r="GFV9" s="217"/>
      <c r="GFW9" s="217"/>
      <c r="GFX9" s="217"/>
      <c r="GFY9" s="217"/>
      <c r="GFZ9" s="217"/>
      <c r="GGA9" s="217"/>
      <c r="GGB9" s="217"/>
      <c r="GGC9" s="217"/>
      <c r="GGD9" s="217"/>
      <c r="GGE9" s="217"/>
      <c r="GGF9" s="217"/>
      <c r="GGG9" s="217"/>
      <c r="GGH9" s="217"/>
      <c r="GGI9" s="217"/>
      <c r="GGJ9" s="217"/>
      <c r="GGK9" s="217"/>
      <c r="GGL9" s="217"/>
      <c r="GGM9" s="217"/>
      <c r="GGN9" s="217"/>
      <c r="GGO9" s="217"/>
      <c r="GGP9" s="217"/>
      <c r="GGQ9" s="217"/>
      <c r="GGR9" s="217"/>
      <c r="GGS9" s="217"/>
      <c r="GGT9" s="217"/>
      <c r="GGU9" s="217"/>
      <c r="GGV9" s="217"/>
      <c r="GGW9" s="217"/>
      <c r="GGX9" s="217"/>
      <c r="GGY9" s="217"/>
      <c r="GGZ9" s="217"/>
      <c r="GHA9" s="217"/>
      <c r="GHB9" s="217"/>
      <c r="GHC9" s="217"/>
      <c r="GHD9" s="217"/>
      <c r="GHE9" s="217"/>
      <c r="GHF9" s="217"/>
      <c r="GHG9" s="217"/>
      <c r="GHH9" s="217"/>
      <c r="GHI9" s="217"/>
      <c r="GHJ9" s="217"/>
      <c r="GHK9" s="217"/>
      <c r="GHL9" s="217"/>
      <c r="GHM9" s="217"/>
      <c r="GHN9" s="217"/>
      <c r="GHO9" s="217"/>
      <c r="GHP9" s="217"/>
      <c r="GHQ9" s="217"/>
      <c r="GHR9" s="217"/>
      <c r="GHS9" s="217"/>
      <c r="GHT9" s="217"/>
      <c r="GHU9" s="217"/>
      <c r="GHV9" s="217"/>
      <c r="GHW9" s="217"/>
      <c r="GHX9" s="217"/>
      <c r="GHY9" s="217"/>
      <c r="GHZ9" s="217"/>
      <c r="GIA9" s="217"/>
      <c r="GIB9" s="217"/>
      <c r="GIC9" s="217"/>
      <c r="GID9" s="217"/>
      <c r="GIE9" s="217"/>
      <c r="GIF9" s="217"/>
      <c r="GIG9" s="217"/>
      <c r="GIH9" s="217"/>
      <c r="GII9" s="217"/>
      <c r="GIJ9" s="217"/>
      <c r="GIK9" s="217"/>
      <c r="GIL9" s="217"/>
      <c r="GIM9" s="217"/>
      <c r="GIN9" s="217"/>
      <c r="GIO9" s="217"/>
      <c r="GIP9" s="217"/>
      <c r="GIQ9" s="217"/>
      <c r="GIR9" s="217"/>
      <c r="GIS9" s="217"/>
      <c r="GIT9" s="217"/>
      <c r="GIU9" s="217"/>
      <c r="GIV9" s="217"/>
      <c r="GIW9" s="217"/>
      <c r="GIX9" s="217"/>
      <c r="GIY9" s="217"/>
      <c r="GIZ9" s="217"/>
      <c r="GJA9" s="217"/>
      <c r="GJB9" s="217"/>
      <c r="GJC9" s="217"/>
      <c r="GJD9" s="217"/>
      <c r="GJE9" s="217"/>
      <c r="GJF9" s="217"/>
      <c r="GJG9" s="217"/>
      <c r="GJH9" s="217"/>
      <c r="GJI9" s="217"/>
      <c r="GJJ9" s="217"/>
      <c r="GJK9" s="217"/>
      <c r="GJL9" s="217"/>
      <c r="GJM9" s="217"/>
      <c r="GJN9" s="217"/>
      <c r="GJO9" s="217"/>
      <c r="GJP9" s="217"/>
      <c r="GJQ9" s="217"/>
      <c r="GJR9" s="217"/>
      <c r="GJS9" s="217"/>
      <c r="GJT9" s="217"/>
      <c r="GJU9" s="217"/>
      <c r="GJV9" s="217"/>
      <c r="GJW9" s="217"/>
      <c r="GJX9" s="217"/>
      <c r="GJY9" s="217"/>
      <c r="GJZ9" s="217"/>
      <c r="GKA9" s="217"/>
      <c r="GKB9" s="217"/>
      <c r="GKC9" s="217"/>
      <c r="GKD9" s="217"/>
      <c r="GKE9" s="217"/>
      <c r="GKF9" s="217"/>
      <c r="GKG9" s="217"/>
      <c r="GKH9" s="217"/>
      <c r="GKI9" s="217"/>
      <c r="GKJ9" s="217"/>
      <c r="GKK9" s="217"/>
      <c r="GKL9" s="217"/>
      <c r="GKM9" s="217"/>
      <c r="GKN9" s="217"/>
      <c r="GKO9" s="217"/>
      <c r="GKP9" s="217"/>
      <c r="GKQ9" s="217"/>
      <c r="GKR9" s="217"/>
      <c r="GKS9" s="217"/>
      <c r="GKT9" s="217"/>
      <c r="GKU9" s="217"/>
      <c r="GKV9" s="217"/>
      <c r="GKW9" s="217"/>
      <c r="GKX9" s="217"/>
      <c r="GKY9" s="217"/>
      <c r="GKZ9" s="217"/>
      <c r="GLA9" s="217"/>
      <c r="GLB9" s="217"/>
      <c r="GLC9" s="217"/>
      <c r="GLD9" s="217"/>
      <c r="GLE9" s="217"/>
      <c r="GLF9" s="217"/>
      <c r="GLG9" s="217"/>
      <c r="GLH9" s="217"/>
      <c r="GLI9" s="217"/>
      <c r="GLJ9" s="217"/>
      <c r="GLK9" s="217"/>
      <c r="GLL9" s="217"/>
      <c r="GLM9" s="217"/>
      <c r="GLN9" s="217"/>
      <c r="GLO9" s="217"/>
      <c r="GLP9" s="217"/>
      <c r="GLQ9" s="217"/>
      <c r="GLR9" s="217"/>
      <c r="GLS9" s="217"/>
      <c r="GLT9" s="217"/>
      <c r="GLU9" s="217"/>
      <c r="GLV9" s="217"/>
      <c r="GLW9" s="217"/>
      <c r="GLX9" s="217"/>
      <c r="GLY9" s="217"/>
      <c r="GLZ9" s="217"/>
      <c r="GMA9" s="217"/>
      <c r="GMB9" s="217"/>
      <c r="GMC9" s="217"/>
      <c r="GMD9" s="217"/>
      <c r="GME9" s="217"/>
      <c r="GMF9" s="217"/>
      <c r="GMG9" s="217"/>
      <c r="GMH9" s="217"/>
      <c r="GMI9" s="217"/>
      <c r="GMJ9" s="217"/>
      <c r="GMK9" s="217"/>
      <c r="GML9" s="217"/>
      <c r="GMM9" s="217"/>
      <c r="GMN9" s="217"/>
      <c r="GMO9" s="217"/>
      <c r="GMP9" s="217"/>
      <c r="GMQ9" s="217"/>
      <c r="GMR9" s="217"/>
      <c r="GMS9" s="217"/>
      <c r="GMT9" s="217"/>
      <c r="GMU9" s="217"/>
      <c r="GMV9" s="217"/>
      <c r="GMW9" s="217"/>
      <c r="GMX9" s="217"/>
      <c r="GMY9" s="217"/>
      <c r="GMZ9" s="217"/>
      <c r="GNA9" s="217"/>
      <c r="GNB9" s="217"/>
      <c r="GNC9" s="217"/>
      <c r="GND9" s="217"/>
      <c r="GNE9" s="217"/>
      <c r="GNF9" s="217"/>
      <c r="GNG9" s="217"/>
      <c r="GNH9" s="217"/>
      <c r="GNI9" s="217"/>
      <c r="GNJ9" s="217"/>
      <c r="GNK9" s="217"/>
      <c r="GNL9" s="217"/>
      <c r="GNM9" s="217"/>
      <c r="GNN9" s="217"/>
      <c r="GNO9" s="217"/>
      <c r="GNP9" s="217"/>
      <c r="GNQ9" s="217"/>
      <c r="GNR9" s="217"/>
      <c r="GNS9" s="217"/>
      <c r="GNT9" s="217"/>
      <c r="GNU9" s="217"/>
      <c r="GNV9" s="217"/>
      <c r="GNW9" s="217"/>
      <c r="GNX9" s="217"/>
      <c r="GNY9" s="217"/>
      <c r="GNZ9" s="217"/>
      <c r="GOA9" s="217"/>
      <c r="GOB9" s="217"/>
      <c r="GOC9" s="217"/>
      <c r="GOD9" s="217"/>
      <c r="GOE9" s="217"/>
      <c r="GOF9" s="217"/>
      <c r="GOG9" s="217"/>
      <c r="GOH9" s="217"/>
      <c r="GOI9" s="217"/>
      <c r="GOJ9" s="217"/>
      <c r="GOK9" s="217"/>
      <c r="GOL9" s="217"/>
      <c r="GOM9" s="217"/>
      <c r="GON9" s="217"/>
      <c r="GOO9" s="217"/>
      <c r="GOP9" s="217"/>
      <c r="GOQ9" s="217"/>
      <c r="GOR9" s="217"/>
      <c r="GOS9" s="217"/>
      <c r="GOT9" s="217"/>
      <c r="GOU9" s="217"/>
      <c r="GOV9" s="217"/>
      <c r="GOW9" s="217"/>
      <c r="GOX9" s="217"/>
      <c r="GOY9" s="217"/>
      <c r="GOZ9" s="217"/>
      <c r="GPA9" s="217"/>
      <c r="GPB9" s="217"/>
      <c r="GPC9" s="217"/>
      <c r="GPD9" s="217"/>
      <c r="GPE9" s="217"/>
      <c r="GPF9" s="217"/>
      <c r="GPG9" s="217"/>
      <c r="GPH9" s="217"/>
      <c r="GPI9" s="217"/>
      <c r="GPJ9" s="217"/>
      <c r="GPK9" s="217"/>
      <c r="GPL9" s="217"/>
      <c r="GPM9" s="217"/>
      <c r="GPN9" s="217"/>
      <c r="GPO9" s="217"/>
      <c r="GPP9" s="217"/>
      <c r="GPQ9" s="217"/>
      <c r="GPR9" s="217"/>
      <c r="GPS9" s="217"/>
      <c r="GPT9" s="217"/>
      <c r="GPU9" s="217"/>
      <c r="GPV9" s="217"/>
      <c r="GPW9" s="217"/>
      <c r="GPX9" s="217"/>
      <c r="GPY9" s="217"/>
      <c r="GPZ9" s="217"/>
      <c r="GQA9" s="217"/>
      <c r="GQB9" s="217"/>
      <c r="GQC9" s="217"/>
      <c r="GQD9" s="217"/>
      <c r="GQE9" s="217"/>
      <c r="GQF9" s="217"/>
      <c r="GQG9" s="217"/>
      <c r="GQH9" s="217"/>
      <c r="GQI9" s="217"/>
      <c r="GQJ9" s="217"/>
      <c r="GQK9" s="217"/>
      <c r="GQL9" s="217"/>
      <c r="GQM9" s="217"/>
      <c r="GQN9" s="217"/>
      <c r="GQO9" s="217"/>
      <c r="GQP9" s="217"/>
      <c r="GQQ9" s="217"/>
      <c r="GQR9" s="217"/>
      <c r="GQS9" s="217"/>
      <c r="GQT9" s="217"/>
      <c r="GQU9" s="217"/>
      <c r="GQV9" s="217"/>
      <c r="GQW9" s="217"/>
      <c r="GQX9" s="217"/>
      <c r="GQY9" s="217"/>
      <c r="GQZ9" s="217"/>
      <c r="GRA9" s="217"/>
      <c r="GRB9" s="217"/>
      <c r="GRC9" s="217"/>
      <c r="GRD9" s="217"/>
      <c r="GRE9" s="217"/>
      <c r="GRF9" s="217"/>
      <c r="GRG9" s="217"/>
      <c r="GRH9" s="217"/>
      <c r="GRI9" s="217"/>
      <c r="GRJ9" s="217"/>
      <c r="GRK9" s="217"/>
      <c r="GRL9" s="217"/>
      <c r="GRM9" s="217"/>
      <c r="GRN9" s="217"/>
      <c r="GRO9" s="217"/>
      <c r="GRP9" s="217"/>
      <c r="GRQ9" s="217"/>
      <c r="GRR9" s="217"/>
      <c r="GRS9" s="217"/>
      <c r="GRT9" s="217"/>
      <c r="GRU9" s="217"/>
      <c r="GRV9" s="217"/>
      <c r="GRW9" s="217"/>
      <c r="GRX9" s="217"/>
      <c r="GRY9" s="217"/>
      <c r="GRZ9" s="217"/>
      <c r="GSA9" s="217"/>
      <c r="GSB9" s="217"/>
      <c r="GSC9" s="217"/>
      <c r="GSD9" s="217"/>
      <c r="GSE9" s="217"/>
      <c r="GSF9" s="217"/>
      <c r="GSG9" s="217"/>
      <c r="GSH9" s="217"/>
      <c r="GSI9" s="217"/>
      <c r="GSJ9" s="217"/>
      <c r="GSK9" s="217"/>
      <c r="GSL9" s="217"/>
      <c r="GSM9" s="217"/>
      <c r="GSN9" s="217"/>
      <c r="GSO9" s="217"/>
      <c r="GSP9" s="217"/>
      <c r="GSQ9" s="217"/>
      <c r="GSR9" s="217"/>
      <c r="GSS9" s="217"/>
      <c r="GST9" s="217"/>
      <c r="GSU9" s="217"/>
      <c r="GSV9" s="217"/>
      <c r="GSW9" s="217"/>
      <c r="GSX9" s="217"/>
      <c r="GSY9" s="217"/>
      <c r="GSZ9" s="217"/>
      <c r="GTA9" s="217"/>
      <c r="GTB9" s="217"/>
      <c r="GTC9" s="217"/>
      <c r="GTD9" s="217"/>
      <c r="GTE9" s="217"/>
      <c r="GTF9" s="217"/>
      <c r="GTG9" s="217"/>
      <c r="GTH9" s="217"/>
      <c r="GTI9" s="217"/>
      <c r="GTJ9" s="217"/>
      <c r="GTK9" s="217"/>
      <c r="GTL9" s="217"/>
      <c r="GTM9" s="217"/>
      <c r="GTN9" s="217"/>
      <c r="GTO9" s="217"/>
      <c r="GTP9" s="217"/>
      <c r="GTQ9" s="217"/>
      <c r="GTR9" s="217"/>
      <c r="GTS9" s="217"/>
      <c r="GTT9" s="217"/>
      <c r="GTU9" s="217"/>
      <c r="GTV9" s="217"/>
      <c r="GTW9" s="217"/>
      <c r="GTX9" s="217"/>
      <c r="GTY9" s="217"/>
      <c r="GTZ9" s="217"/>
      <c r="GUA9" s="217"/>
      <c r="GUB9" s="217"/>
      <c r="GUC9" s="217"/>
      <c r="GUD9" s="217"/>
      <c r="GUE9" s="217"/>
      <c r="GUF9" s="217"/>
      <c r="GUG9" s="217"/>
      <c r="GUH9" s="217"/>
      <c r="GUI9" s="217"/>
      <c r="GUJ9" s="217"/>
      <c r="GUK9" s="217"/>
      <c r="GUL9" s="217"/>
      <c r="GUM9" s="217"/>
      <c r="GUN9" s="217"/>
      <c r="GUO9" s="217"/>
      <c r="GUP9" s="217"/>
      <c r="GUQ9" s="217"/>
      <c r="GUR9" s="217"/>
      <c r="GUS9" s="217"/>
      <c r="GUT9" s="217"/>
      <c r="GUU9" s="217"/>
      <c r="GUV9" s="217"/>
      <c r="GUW9" s="217"/>
      <c r="GUX9" s="217"/>
      <c r="GUY9" s="217"/>
      <c r="GUZ9" s="217"/>
      <c r="GVA9" s="217"/>
      <c r="GVB9" s="217"/>
      <c r="GVC9" s="217"/>
      <c r="GVD9" s="217"/>
      <c r="GVE9" s="217"/>
      <c r="GVF9" s="217"/>
      <c r="GVG9" s="217"/>
      <c r="GVH9" s="217"/>
      <c r="GVI9" s="217"/>
      <c r="GVJ9" s="217"/>
      <c r="GVK9" s="217"/>
      <c r="GVL9" s="217"/>
      <c r="GVM9" s="217"/>
      <c r="GVN9" s="217"/>
      <c r="GVO9" s="217"/>
      <c r="GVP9" s="217"/>
      <c r="GVQ9" s="217"/>
      <c r="GVR9" s="217"/>
      <c r="GVS9" s="217"/>
      <c r="GVT9" s="217"/>
      <c r="GVU9" s="217"/>
      <c r="GVV9" s="217"/>
      <c r="GVW9" s="217"/>
      <c r="GVX9" s="217"/>
      <c r="GVY9" s="217"/>
      <c r="GVZ9" s="217"/>
      <c r="GWA9" s="217"/>
      <c r="GWB9" s="217"/>
      <c r="GWC9" s="217"/>
      <c r="GWD9" s="217"/>
      <c r="GWE9" s="217"/>
      <c r="GWF9" s="217"/>
      <c r="GWG9" s="217"/>
      <c r="GWH9" s="217"/>
      <c r="GWI9" s="217"/>
      <c r="GWJ9" s="217"/>
      <c r="GWK9" s="217"/>
      <c r="GWL9" s="217"/>
      <c r="GWM9" s="217"/>
      <c r="GWN9" s="217"/>
      <c r="GWO9" s="217"/>
      <c r="GWP9" s="217"/>
      <c r="GWQ9" s="217"/>
      <c r="GWR9" s="217"/>
      <c r="GWS9" s="217"/>
      <c r="GWT9" s="217"/>
      <c r="GWU9" s="217"/>
      <c r="GWV9" s="217"/>
      <c r="GWW9" s="217"/>
      <c r="GWX9" s="217"/>
      <c r="GWY9" s="217"/>
      <c r="GWZ9" s="217"/>
      <c r="GXA9" s="217"/>
      <c r="GXB9" s="217"/>
      <c r="GXC9" s="217"/>
      <c r="GXD9" s="217"/>
      <c r="GXE9" s="217"/>
      <c r="GXF9" s="217"/>
      <c r="GXG9" s="217"/>
      <c r="GXH9" s="217"/>
      <c r="GXI9" s="217"/>
      <c r="GXJ9" s="217"/>
      <c r="GXK9" s="217"/>
      <c r="GXL9" s="217"/>
      <c r="GXM9" s="217"/>
      <c r="GXN9" s="217"/>
      <c r="GXO9" s="217"/>
      <c r="GXP9" s="217"/>
      <c r="GXQ9" s="217"/>
      <c r="GXR9" s="217"/>
      <c r="GXS9" s="217"/>
      <c r="GXT9" s="217"/>
      <c r="GXU9" s="217"/>
      <c r="GXV9" s="217"/>
      <c r="GXW9" s="217"/>
      <c r="GXX9" s="217"/>
      <c r="GXY9" s="217"/>
      <c r="GXZ9" s="217"/>
      <c r="GYA9" s="217"/>
      <c r="GYB9" s="217"/>
      <c r="GYC9" s="217"/>
      <c r="GYD9" s="217"/>
      <c r="GYE9" s="217"/>
      <c r="GYF9" s="217"/>
      <c r="GYG9" s="217"/>
      <c r="GYH9" s="217"/>
      <c r="GYI9" s="217"/>
      <c r="GYJ9" s="217"/>
      <c r="GYK9" s="217"/>
      <c r="GYL9" s="217"/>
      <c r="GYM9" s="217"/>
      <c r="GYN9" s="217"/>
      <c r="GYO9" s="217"/>
      <c r="GYP9" s="217"/>
      <c r="GYQ9" s="217"/>
      <c r="GYR9" s="217"/>
      <c r="GYS9" s="217"/>
      <c r="GYT9" s="217"/>
      <c r="GYU9" s="217"/>
      <c r="GYV9" s="217"/>
      <c r="GYW9" s="217"/>
      <c r="GYX9" s="217"/>
      <c r="GYY9" s="217"/>
      <c r="GYZ9" s="217"/>
      <c r="GZA9" s="217"/>
      <c r="GZB9" s="217"/>
      <c r="GZC9" s="217"/>
      <c r="GZD9" s="217"/>
      <c r="GZE9" s="217"/>
      <c r="GZF9" s="217"/>
      <c r="GZG9" s="217"/>
      <c r="GZH9" s="217"/>
      <c r="GZI9" s="217"/>
      <c r="GZJ9" s="217"/>
      <c r="GZK9" s="217"/>
      <c r="GZL9" s="217"/>
      <c r="GZM9" s="217"/>
      <c r="GZN9" s="217"/>
      <c r="GZO9" s="217"/>
      <c r="GZP9" s="217"/>
      <c r="GZQ9" s="217"/>
      <c r="GZR9" s="217"/>
      <c r="GZS9" s="217"/>
      <c r="GZT9" s="217"/>
      <c r="GZU9" s="217"/>
      <c r="GZV9" s="217"/>
      <c r="GZW9" s="217"/>
      <c r="GZX9" s="217"/>
      <c r="GZY9" s="217"/>
      <c r="GZZ9" s="217"/>
      <c r="HAA9" s="217"/>
      <c r="HAB9" s="217"/>
      <c r="HAC9" s="217"/>
      <c r="HAD9" s="217"/>
      <c r="HAE9" s="217"/>
      <c r="HAF9" s="217"/>
      <c r="HAG9" s="217"/>
      <c r="HAH9" s="217"/>
      <c r="HAI9" s="217"/>
      <c r="HAJ9" s="217"/>
      <c r="HAK9" s="217"/>
      <c r="HAL9" s="217"/>
      <c r="HAM9" s="217"/>
      <c r="HAN9" s="217"/>
      <c r="HAO9" s="217"/>
      <c r="HAP9" s="217"/>
      <c r="HAQ9" s="217"/>
      <c r="HAR9" s="217"/>
      <c r="HAS9" s="217"/>
      <c r="HAT9" s="217"/>
      <c r="HAU9" s="217"/>
      <c r="HAV9" s="217"/>
      <c r="HAW9" s="217"/>
      <c r="HAX9" s="217"/>
      <c r="HAY9" s="217"/>
      <c r="HAZ9" s="217"/>
      <c r="HBA9" s="217"/>
      <c r="HBB9" s="217"/>
      <c r="HBC9" s="217"/>
      <c r="HBD9" s="217"/>
      <c r="HBE9" s="217"/>
      <c r="HBF9" s="217"/>
      <c r="HBG9" s="217"/>
      <c r="HBH9" s="217"/>
      <c r="HBI9" s="217"/>
      <c r="HBJ9" s="217"/>
      <c r="HBK9" s="217"/>
      <c r="HBL9" s="217"/>
      <c r="HBM9" s="217"/>
      <c r="HBN9" s="217"/>
      <c r="HBO9" s="217"/>
      <c r="HBP9" s="217"/>
      <c r="HBQ9" s="217"/>
      <c r="HBR9" s="217"/>
      <c r="HBS9" s="217"/>
      <c r="HBT9" s="217"/>
      <c r="HBU9" s="217"/>
      <c r="HBV9" s="217"/>
      <c r="HBW9" s="217"/>
      <c r="HBX9" s="217"/>
      <c r="HBY9" s="217"/>
      <c r="HBZ9" s="217"/>
      <c r="HCA9" s="217"/>
      <c r="HCB9" s="217"/>
      <c r="HCC9" s="217"/>
      <c r="HCD9" s="217"/>
      <c r="HCE9" s="217"/>
      <c r="HCF9" s="217"/>
      <c r="HCG9" s="217"/>
      <c r="HCH9" s="217"/>
      <c r="HCI9" s="217"/>
      <c r="HCJ9" s="217"/>
      <c r="HCK9" s="217"/>
      <c r="HCL9" s="217"/>
      <c r="HCM9" s="217"/>
      <c r="HCN9" s="217"/>
      <c r="HCO9" s="217"/>
      <c r="HCP9" s="217"/>
      <c r="HCQ9" s="217"/>
      <c r="HCR9" s="217"/>
      <c r="HCS9" s="217"/>
      <c r="HCT9" s="217"/>
      <c r="HCU9" s="217"/>
      <c r="HCV9" s="217"/>
      <c r="HCW9" s="217"/>
      <c r="HCX9" s="217"/>
      <c r="HCY9" s="217"/>
      <c r="HCZ9" s="217"/>
      <c r="HDA9" s="217"/>
      <c r="HDB9" s="217"/>
      <c r="HDC9" s="217"/>
      <c r="HDD9" s="217"/>
      <c r="HDE9" s="217"/>
      <c r="HDF9" s="217"/>
      <c r="HDG9" s="217"/>
      <c r="HDH9" s="217"/>
      <c r="HDI9" s="217"/>
      <c r="HDJ9" s="217"/>
      <c r="HDK9" s="217"/>
      <c r="HDL9" s="217"/>
      <c r="HDM9" s="217"/>
      <c r="HDN9" s="217"/>
      <c r="HDO9" s="217"/>
      <c r="HDP9" s="217"/>
      <c r="HDQ9" s="217"/>
      <c r="HDR9" s="217"/>
      <c r="HDS9" s="217"/>
      <c r="HDT9" s="217"/>
      <c r="HDU9" s="217"/>
      <c r="HDV9" s="217"/>
      <c r="HDW9" s="217"/>
      <c r="HDX9" s="217"/>
      <c r="HDY9" s="217"/>
      <c r="HDZ9" s="217"/>
      <c r="HEA9" s="217"/>
      <c r="HEB9" s="217"/>
      <c r="HEC9" s="217"/>
      <c r="HED9" s="217"/>
      <c r="HEE9" s="217"/>
      <c r="HEF9" s="217"/>
      <c r="HEG9" s="217"/>
      <c r="HEH9" s="217"/>
      <c r="HEI9" s="217"/>
      <c r="HEJ9" s="217"/>
      <c r="HEK9" s="217"/>
      <c r="HEL9" s="217"/>
      <c r="HEM9" s="217"/>
      <c r="HEN9" s="217"/>
      <c r="HEO9" s="217"/>
      <c r="HEP9" s="217"/>
      <c r="HEQ9" s="217"/>
      <c r="HER9" s="217"/>
      <c r="HES9" s="217"/>
      <c r="HET9" s="217"/>
      <c r="HEU9" s="217"/>
      <c r="HEV9" s="217"/>
      <c r="HEW9" s="217"/>
      <c r="HEX9" s="217"/>
      <c r="HEY9" s="217"/>
      <c r="HEZ9" s="217"/>
      <c r="HFA9" s="217"/>
      <c r="HFB9" s="217"/>
      <c r="HFC9" s="217"/>
      <c r="HFD9" s="217"/>
      <c r="HFE9" s="217"/>
      <c r="HFF9" s="217"/>
      <c r="HFG9" s="217"/>
      <c r="HFH9" s="217"/>
      <c r="HFI9" s="217"/>
      <c r="HFJ9" s="217"/>
      <c r="HFK9" s="217"/>
      <c r="HFL9" s="217"/>
      <c r="HFM9" s="217"/>
      <c r="HFN9" s="217"/>
      <c r="HFO9" s="217"/>
      <c r="HFP9" s="217"/>
      <c r="HFQ9" s="217"/>
      <c r="HFR9" s="217"/>
      <c r="HFS9" s="217"/>
      <c r="HFT9" s="217"/>
      <c r="HFU9" s="217"/>
      <c r="HFV9" s="217"/>
      <c r="HFW9" s="217"/>
      <c r="HFX9" s="217"/>
      <c r="HFY9" s="217"/>
      <c r="HFZ9" s="217"/>
      <c r="HGA9" s="217"/>
      <c r="HGB9" s="217"/>
      <c r="HGC9" s="217"/>
      <c r="HGD9" s="217"/>
      <c r="HGE9" s="217"/>
      <c r="HGF9" s="217"/>
      <c r="HGG9" s="217"/>
      <c r="HGH9" s="217"/>
      <c r="HGI9" s="217"/>
      <c r="HGJ9" s="217"/>
      <c r="HGK9" s="217"/>
      <c r="HGL9" s="217"/>
      <c r="HGM9" s="217"/>
      <c r="HGN9" s="217"/>
      <c r="HGO9" s="217"/>
      <c r="HGP9" s="217"/>
      <c r="HGQ9" s="217"/>
      <c r="HGR9" s="217"/>
      <c r="HGS9" s="217"/>
      <c r="HGT9" s="217"/>
      <c r="HGU9" s="217"/>
      <c r="HGV9" s="217"/>
      <c r="HGW9" s="217"/>
      <c r="HGX9" s="217"/>
      <c r="HGY9" s="217"/>
      <c r="HGZ9" s="217"/>
      <c r="HHA9" s="217"/>
      <c r="HHB9" s="217"/>
      <c r="HHC9" s="217"/>
      <c r="HHD9" s="217"/>
      <c r="HHE9" s="217"/>
      <c r="HHF9" s="217"/>
      <c r="HHG9" s="217"/>
      <c r="HHH9" s="217"/>
      <c r="HHI9" s="217"/>
      <c r="HHJ9" s="217"/>
      <c r="HHK9" s="217"/>
      <c r="HHL9" s="217"/>
      <c r="HHM9" s="217"/>
      <c r="HHN9" s="217"/>
      <c r="HHO9" s="217"/>
      <c r="HHP9" s="217"/>
      <c r="HHQ9" s="217"/>
      <c r="HHR9" s="217"/>
      <c r="HHS9" s="217"/>
      <c r="HHT9" s="217"/>
      <c r="HHU9" s="217"/>
      <c r="HHV9" s="217"/>
      <c r="HHW9" s="217"/>
      <c r="HHX9" s="217"/>
      <c r="HHY9" s="217"/>
      <c r="HHZ9" s="217"/>
      <c r="HIA9" s="217"/>
      <c r="HIB9" s="217"/>
      <c r="HIC9" s="217"/>
      <c r="HID9" s="217"/>
      <c r="HIE9" s="217"/>
      <c r="HIF9" s="217"/>
      <c r="HIG9" s="217"/>
      <c r="HIH9" s="217"/>
      <c r="HII9" s="217"/>
      <c r="HIJ9" s="217"/>
      <c r="HIK9" s="217"/>
      <c r="HIL9" s="217"/>
      <c r="HIM9" s="217"/>
      <c r="HIN9" s="217"/>
      <c r="HIO9" s="217"/>
      <c r="HIP9" s="217"/>
      <c r="HIQ9" s="217"/>
      <c r="HIR9" s="217"/>
      <c r="HIS9" s="217"/>
      <c r="HIT9" s="217"/>
      <c r="HIU9" s="217"/>
      <c r="HIV9" s="217"/>
      <c r="HIW9" s="217"/>
      <c r="HIX9" s="217"/>
      <c r="HIY9" s="217"/>
      <c r="HIZ9" s="217"/>
      <c r="HJA9" s="217"/>
      <c r="HJB9" s="217"/>
      <c r="HJC9" s="217"/>
      <c r="HJD9" s="217"/>
      <c r="HJE9" s="217"/>
      <c r="HJF9" s="217"/>
      <c r="HJG9" s="217"/>
      <c r="HJH9" s="217"/>
      <c r="HJI9" s="217"/>
      <c r="HJJ9" s="217"/>
      <c r="HJK9" s="217"/>
      <c r="HJL9" s="217"/>
      <c r="HJM9" s="217"/>
      <c r="HJN9" s="217"/>
      <c r="HJO9" s="217"/>
      <c r="HJP9" s="217"/>
      <c r="HJQ9" s="217"/>
      <c r="HJR9" s="217"/>
      <c r="HJS9" s="217"/>
      <c r="HJT9" s="217"/>
      <c r="HJU9" s="217"/>
      <c r="HJV9" s="217"/>
      <c r="HJW9" s="217"/>
      <c r="HJX9" s="217"/>
      <c r="HJY9" s="217"/>
      <c r="HJZ9" s="217"/>
      <c r="HKA9" s="217"/>
      <c r="HKB9" s="217"/>
      <c r="HKC9" s="217"/>
      <c r="HKD9" s="217"/>
      <c r="HKE9" s="217"/>
      <c r="HKF9" s="217"/>
      <c r="HKG9" s="217"/>
      <c r="HKH9" s="217"/>
      <c r="HKI9" s="217"/>
      <c r="HKJ9" s="217"/>
      <c r="HKK9" s="217"/>
      <c r="HKL9" s="217"/>
      <c r="HKM9" s="217"/>
      <c r="HKN9" s="217"/>
      <c r="HKO9" s="217"/>
      <c r="HKP9" s="217"/>
      <c r="HKQ9" s="217"/>
      <c r="HKR9" s="217"/>
      <c r="HKS9" s="217"/>
      <c r="HKT9" s="217"/>
      <c r="HKU9" s="217"/>
      <c r="HKV9" s="217"/>
      <c r="HKW9" s="217"/>
      <c r="HKX9" s="217"/>
      <c r="HKY9" s="217"/>
      <c r="HKZ9" s="217"/>
      <c r="HLA9" s="217"/>
      <c r="HLB9" s="217"/>
      <c r="HLC9" s="217"/>
      <c r="HLD9" s="217"/>
      <c r="HLE9" s="217"/>
      <c r="HLF9" s="217"/>
      <c r="HLG9" s="217"/>
      <c r="HLH9" s="217"/>
      <c r="HLI9" s="217"/>
      <c r="HLJ9" s="217"/>
      <c r="HLK9" s="217"/>
      <c r="HLL9" s="217"/>
      <c r="HLM9" s="217"/>
      <c r="HLN9" s="217"/>
      <c r="HLO9" s="217"/>
      <c r="HLP9" s="217"/>
      <c r="HLQ9" s="217"/>
      <c r="HLR9" s="217"/>
      <c r="HLS9" s="217"/>
      <c r="HLT9" s="217"/>
      <c r="HLU9" s="217"/>
      <c r="HLV9" s="217"/>
      <c r="HLW9" s="217"/>
      <c r="HLX9" s="217"/>
      <c r="HLY9" s="217"/>
      <c r="HLZ9" s="217"/>
      <c r="HMA9" s="217"/>
      <c r="HMB9" s="217"/>
      <c r="HMC9" s="217"/>
      <c r="HMD9" s="217"/>
      <c r="HME9" s="217"/>
      <c r="HMF9" s="217"/>
      <c r="HMG9" s="217"/>
      <c r="HMH9" s="217"/>
      <c r="HMI9" s="217"/>
      <c r="HMJ9" s="217"/>
      <c r="HMK9" s="217"/>
      <c r="HML9" s="217"/>
      <c r="HMM9" s="217"/>
      <c r="HMN9" s="217"/>
      <c r="HMO9" s="217"/>
      <c r="HMP9" s="217"/>
      <c r="HMQ9" s="217"/>
      <c r="HMR9" s="217"/>
      <c r="HMS9" s="217"/>
      <c r="HMT9" s="217"/>
      <c r="HMU9" s="217"/>
      <c r="HMV9" s="217"/>
      <c r="HMW9" s="217"/>
      <c r="HMX9" s="217"/>
      <c r="HMY9" s="217"/>
      <c r="HMZ9" s="217"/>
      <c r="HNA9" s="217"/>
      <c r="HNB9" s="217"/>
      <c r="HNC9" s="217"/>
      <c r="HND9" s="217"/>
      <c r="HNE9" s="217"/>
      <c r="HNF9" s="217"/>
      <c r="HNG9" s="217"/>
      <c r="HNH9" s="217"/>
      <c r="HNI9" s="217"/>
      <c r="HNJ9" s="217"/>
      <c r="HNK9" s="217"/>
      <c r="HNL9" s="217"/>
      <c r="HNM9" s="217"/>
      <c r="HNN9" s="217"/>
      <c r="HNO9" s="217"/>
      <c r="HNP9" s="217"/>
      <c r="HNQ9" s="217"/>
      <c r="HNR9" s="217"/>
      <c r="HNS9" s="217"/>
      <c r="HNT9" s="217"/>
      <c r="HNU9" s="217"/>
      <c r="HNV9" s="217"/>
      <c r="HNW9" s="217"/>
      <c r="HNX9" s="217"/>
      <c r="HNY9" s="217"/>
      <c r="HNZ9" s="217"/>
      <c r="HOA9" s="217"/>
      <c r="HOB9" s="217"/>
      <c r="HOC9" s="217"/>
      <c r="HOD9" s="217"/>
      <c r="HOE9" s="217"/>
      <c r="HOF9" s="217"/>
      <c r="HOG9" s="217"/>
      <c r="HOH9" s="217"/>
      <c r="HOI9" s="217"/>
      <c r="HOJ9" s="217"/>
      <c r="HOK9" s="217"/>
      <c r="HOL9" s="217"/>
      <c r="HOM9" s="217"/>
      <c r="HON9" s="217"/>
      <c r="HOO9" s="217"/>
      <c r="HOP9" s="217"/>
      <c r="HOQ9" s="217"/>
      <c r="HOR9" s="217"/>
      <c r="HOS9" s="217"/>
      <c r="HOT9" s="217"/>
      <c r="HOU9" s="217"/>
      <c r="HOV9" s="217"/>
      <c r="HOW9" s="217"/>
      <c r="HOX9" s="217"/>
      <c r="HOY9" s="217"/>
      <c r="HOZ9" s="217"/>
      <c r="HPA9" s="217"/>
      <c r="HPB9" s="217"/>
      <c r="HPC9" s="217"/>
      <c r="HPD9" s="217"/>
      <c r="HPE9" s="217"/>
      <c r="HPF9" s="217"/>
      <c r="HPG9" s="217"/>
      <c r="HPH9" s="217"/>
      <c r="HPI9" s="217"/>
      <c r="HPJ9" s="217"/>
      <c r="HPK9" s="217"/>
      <c r="HPL9" s="217"/>
      <c r="HPM9" s="217"/>
      <c r="HPN9" s="217"/>
      <c r="HPO9" s="217"/>
      <c r="HPP9" s="217"/>
      <c r="HPQ9" s="217"/>
      <c r="HPR9" s="217"/>
      <c r="HPS9" s="217"/>
      <c r="HPT9" s="217"/>
      <c r="HPU9" s="217"/>
      <c r="HPV9" s="217"/>
      <c r="HPW9" s="217"/>
      <c r="HPX9" s="217"/>
      <c r="HPY9" s="217"/>
      <c r="HPZ9" s="217"/>
      <c r="HQA9" s="217"/>
      <c r="HQB9" s="217"/>
      <c r="HQC9" s="217"/>
      <c r="HQD9" s="217"/>
      <c r="HQE9" s="217"/>
      <c r="HQF9" s="217"/>
      <c r="HQG9" s="217"/>
      <c r="HQH9" s="217"/>
      <c r="HQI9" s="217"/>
      <c r="HQJ9" s="217"/>
      <c r="HQK9" s="217"/>
      <c r="HQL9" s="217"/>
      <c r="HQM9" s="217"/>
      <c r="HQN9" s="217"/>
      <c r="HQO9" s="217"/>
      <c r="HQP9" s="217"/>
      <c r="HQQ9" s="217"/>
      <c r="HQR9" s="217"/>
      <c r="HQS9" s="217"/>
      <c r="HQT9" s="217"/>
      <c r="HQU9" s="217"/>
      <c r="HQV9" s="217"/>
      <c r="HQW9" s="217"/>
      <c r="HQX9" s="217"/>
      <c r="HQY9" s="217"/>
      <c r="HQZ9" s="217"/>
      <c r="HRA9" s="217"/>
      <c r="HRB9" s="217"/>
      <c r="HRC9" s="217"/>
      <c r="HRD9" s="217"/>
      <c r="HRE9" s="217"/>
      <c r="HRF9" s="217"/>
      <c r="HRG9" s="217"/>
      <c r="HRH9" s="217"/>
      <c r="HRI9" s="217"/>
      <c r="HRJ9" s="217"/>
      <c r="HRK9" s="217"/>
      <c r="HRL9" s="217"/>
      <c r="HRM9" s="217"/>
      <c r="HRN9" s="217"/>
      <c r="HRO9" s="217"/>
      <c r="HRP9" s="217"/>
      <c r="HRQ9" s="217"/>
      <c r="HRR9" s="217"/>
      <c r="HRS9" s="217"/>
      <c r="HRT9" s="217"/>
      <c r="HRU9" s="217"/>
      <c r="HRV9" s="217"/>
      <c r="HRW9" s="217"/>
      <c r="HRX9" s="217"/>
      <c r="HRY9" s="217"/>
      <c r="HRZ9" s="217"/>
      <c r="HSA9" s="217"/>
      <c r="HSB9" s="217"/>
      <c r="HSC9" s="217"/>
      <c r="HSD9" s="217"/>
      <c r="HSE9" s="217"/>
      <c r="HSF9" s="217"/>
      <c r="HSG9" s="217"/>
      <c r="HSH9" s="217"/>
      <c r="HSI9" s="217"/>
      <c r="HSJ9" s="217"/>
      <c r="HSK9" s="217"/>
      <c r="HSL9" s="217"/>
      <c r="HSM9" s="217"/>
      <c r="HSN9" s="217"/>
      <c r="HSO9" s="217"/>
      <c r="HSP9" s="217"/>
      <c r="HSQ9" s="217"/>
      <c r="HSR9" s="217"/>
      <c r="HSS9" s="217"/>
      <c r="HST9" s="217"/>
      <c r="HSU9" s="217"/>
      <c r="HSV9" s="217"/>
      <c r="HSW9" s="217"/>
      <c r="HSX9" s="217"/>
      <c r="HSY9" s="217"/>
      <c r="HSZ9" s="217"/>
      <c r="HTA9" s="217"/>
      <c r="HTB9" s="217"/>
      <c r="HTC9" s="217"/>
      <c r="HTD9" s="217"/>
      <c r="HTE9" s="217"/>
      <c r="HTF9" s="217"/>
      <c r="HTG9" s="217"/>
      <c r="HTH9" s="217"/>
      <c r="HTI9" s="217"/>
      <c r="HTJ9" s="217"/>
      <c r="HTK9" s="217"/>
      <c r="HTL9" s="217"/>
      <c r="HTM9" s="217"/>
      <c r="HTN9" s="217"/>
      <c r="HTO9" s="217"/>
      <c r="HTP9" s="217"/>
      <c r="HTQ9" s="217"/>
      <c r="HTR9" s="217"/>
      <c r="HTS9" s="217"/>
      <c r="HTT9" s="217"/>
      <c r="HTU9" s="217"/>
      <c r="HTV9" s="217"/>
      <c r="HTW9" s="217"/>
      <c r="HTX9" s="217"/>
      <c r="HTY9" s="217"/>
      <c r="HTZ9" s="217"/>
      <c r="HUA9" s="217"/>
      <c r="HUB9" s="217"/>
      <c r="HUC9" s="217"/>
      <c r="HUD9" s="217"/>
      <c r="HUE9" s="217"/>
      <c r="HUF9" s="217"/>
      <c r="HUG9" s="217"/>
      <c r="HUH9" s="217"/>
      <c r="HUI9" s="217"/>
      <c r="HUJ9" s="217"/>
      <c r="HUK9" s="217"/>
      <c r="HUL9" s="217"/>
      <c r="HUM9" s="217"/>
      <c r="HUN9" s="217"/>
      <c r="HUO9" s="217"/>
      <c r="HUP9" s="217"/>
      <c r="HUQ9" s="217"/>
      <c r="HUR9" s="217"/>
      <c r="HUS9" s="217"/>
      <c r="HUT9" s="217"/>
      <c r="HUU9" s="217"/>
      <c r="HUV9" s="217"/>
      <c r="HUW9" s="217"/>
      <c r="HUX9" s="217"/>
      <c r="HUY9" s="217"/>
      <c r="HUZ9" s="217"/>
      <c r="HVA9" s="217"/>
      <c r="HVB9" s="217"/>
      <c r="HVC9" s="217"/>
      <c r="HVD9" s="217"/>
      <c r="HVE9" s="217"/>
      <c r="HVF9" s="217"/>
      <c r="HVG9" s="217"/>
      <c r="HVH9" s="217"/>
      <c r="HVI9" s="217"/>
      <c r="HVJ9" s="217"/>
      <c r="HVK9" s="217"/>
      <c r="HVL9" s="217"/>
      <c r="HVM9" s="217"/>
      <c r="HVN9" s="217"/>
      <c r="HVO9" s="217"/>
      <c r="HVP9" s="217"/>
      <c r="HVQ9" s="217"/>
      <c r="HVR9" s="217"/>
      <c r="HVS9" s="217"/>
      <c r="HVT9" s="217"/>
      <c r="HVU9" s="217"/>
      <c r="HVV9" s="217"/>
      <c r="HVW9" s="217"/>
      <c r="HVX9" s="217"/>
      <c r="HVY9" s="217"/>
      <c r="HVZ9" s="217"/>
      <c r="HWA9" s="217"/>
      <c r="HWB9" s="217"/>
      <c r="HWC9" s="217"/>
      <c r="HWD9" s="217"/>
      <c r="HWE9" s="217"/>
      <c r="HWF9" s="217"/>
      <c r="HWG9" s="217"/>
      <c r="HWH9" s="217"/>
      <c r="HWI9" s="217"/>
      <c r="HWJ9" s="217"/>
      <c r="HWK9" s="217"/>
      <c r="HWL9" s="217"/>
      <c r="HWM9" s="217"/>
      <c r="HWN9" s="217"/>
      <c r="HWO9" s="217"/>
      <c r="HWP9" s="217"/>
      <c r="HWQ9" s="217"/>
      <c r="HWR9" s="217"/>
      <c r="HWS9" s="217"/>
      <c r="HWT9" s="217"/>
      <c r="HWU9" s="217"/>
      <c r="HWV9" s="217"/>
      <c r="HWW9" s="217"/>
      <c r="HWX9" s="217"/>
      <c r="HWY9" s="217"/>
      <c r="HWZ9" s="217"/>
      <c r="HXA9" s="217"/>
      <c r="HXB9" s="217"/>
      <c r="HXC9" s="217"/>
      <c r="HXD9" s="217"/>
      <c r="HXE9" s="217"/>
      <c r="HXF9" s="217"/>
      <c r="HXG9" s="217"/>
      <c r="HXH9" s="217"/>
      <c r="HXI9" s="217"/>
      <c r="HXJ9" s="217"/>
      <c r="HXK9" s="217"/>
      <c r="HXL9" s="217"/>
      <c r="HXM9" s="217"/>
      <c r="HXN9" s="217"/>
      <c r="HXO9" s="217"/>
      <c r="HXP9" s="217"/>
      <c r="HXQ9" s="217"/>
      <c r="HXR9" s="217"/>
      <c r="HXS9" s="217"/>
      <c r="HXT9" s="217"/>
      <c r="HXU9" s="217"/>
      <c r="HXV9" s="217"/>
      <c r="HXW9" s="217"/>
      <c r="HXX9" s="217"/>
      <c r="HXY9" s="217"/>
      <c r="HXZ9" s="217"/>
      <c r="HYA9" s="217"/>
      <c r="HYB9" s="217"/>
      <c r="HYC9" s="217"/>
      <c r="HYD9" s="217"/>
      <c r="HYE9" s="217"/>
      <c r="HYF9" s="217"/>
      <c r="HYG9" s="217"/>
      <c r="HYH9" s="217"/>
      <c r="HYI9" s="217"/>
      <c r="HYJ9" s="217"/>
      <c r="HYK9" s="217"/>
      <c r="HYL9" s="217"/>
      <c r="HYM9" s="217"/>
      <c r="HYN9" s="217"/>
      <c r="HYO9" s="217"/>
      <c r="HYP9" s="217"/>
      <c r="HYQ9" s="217"/>
      <c r="HYR9" s="217"/>
      <c r="HYS9" s="217"/>
      <c r="HYT9" s="217"/>
      <c r="HYU9" s="217"/>
      <c r="HYV9" s="217"/>
      <c r="HYW9" s="217"/>
      <c r="HYX9" s="217"/>
      <c r="HYY9" s="217"/>
      <c r="HYZ9" s="217"/>
      <c r="HZA9" s="217"/>
      <c r="HZB9" s="217"/>
      <c r="HZC9" s="217"/>
      <c r="HZD9" s="217"/>
      <c r="HZE9" s="217"/>
      <c r="HZF9" s="217"/>
      <c r="HZG9" s="217"/>
      <c r="HZH9" s="217"/>
      <c r="HZI9" s="217"/>
      <c r="HZJ9" s="217"/>
      <c r="HZK9" s="217"/>
      <c r="HZL9" s="217"/>
      <c r="HZM9" s="217"/>
      <c r="HZN9" s="217"/>
      <c r="HZO9" s="217"/>
      <c r="HZP9" s="217"/>
      <c r="HZQ9" s="217"/>
      <c r="HZR9" s="217"/>
      <c r="HZS9" s="217"/>
      <c r="HZT9" s="217"/>
      <c r="HZU9" s="217"/>
      <c r="HZV9" s="217"/>
      <c r="HZW9" s="217"/>
      <c r="HZX9" s="217"/>
      <c r="HZY9" s="217"/>
      <c r="HZZ9" s="217"/>
      <c r="IAA9" s="217"/>
      <c r="IAB9" s="217"/>
      <c r="IAC9" s="217"/>
      <c r="IAD9" s="217"/>
      <c r="IAE9" s="217"/>
      <c r="IAF9" s="217"/>
      <c r="IAG9" s="217"/>
      <c r="IAH9" s="217"/>
      <c r="IAI9" s="217"/>
      <c r="IAJ9" s="217"/>
      <c r="IAK9" s="217"/>
      <c r="IAL9" s="217"/>
      <c r="IAM9" s="217"/>
      <c r="IAN9" s="217"/>
      <c r="IAO9" s="217"/>
      <c r="IAP9" s="217"/>
      <c r="IAQ9" s="217"/>
      <c r="IAR9" s="217"/>
      <c r="IAS9" s="217"/>
      <c r="IAT9" s="217"/>
      <c r="IAU9" s="217"/>
      <c r="IAV9" s="217"/>
      <c r="IAW9" s="217"/>
      <c r="IAX9" s="217"/>
      <c r="IAY9" s="217"/>
      <c r="IAZ9" s="217"/>
      <c r="IBA9" s="217"/>
      <c r="IBB9" s="217"/>
      <c r="IBC9" s="217"/>
      <c r="IBD9" s="217"/>
      <c r="IBE9" s="217"/>
      <c r="IBF9" s="217"/>
      <c r="IBG9" s="217"/>
      <c r="IBH9" s="217"/>
      <c r="IBI9" s="217"/>
      <c r="IBJ9" s="217"/>
      <c r="IBK9" s="217"/>
      <c r="IBL9" s="217"/>
      <c r="IBM9" s="217"/>
      <c r="IBN9" s="217"/>
      <c r="IBO9" s="217"/>
      <c r="IBP9" s="217"/>
      <c r="IBQ9" s="217"/>
      <c r="IBR9" s="217"/>
      <c r="IBS9" s="217"/>
      <c r="IBT9" s="217"/>
      <c r="IBU9" s="217"/>
      <c r="IBV9" s="217"/>
      <c r="IBW9" s="217"/>
      <c r="IBX9" s="217"/>
      <c r="IBY9" s="217"/>
      <c r="IBZ9" s="217"/>
      <c r="ICA9" s="217"/>
      <c r="ICB9" s="217"/>
      <c r="ICC9" s="217"/>
      <c r="ICD9" s="217"/>
      <c r="ICE9" s="217"/>
      <c r="ICF9" s="217"/>
      <c r="ICG9" s="217"/>
      <c r="ICH9" s="217"/>
      <c r="ICI9" s="217"/>
      <c r="ICJ9" s="217"/>
      <c r="ICK9" s="217"/>
      <c r="ICL9" s="217"/>
      <c r="ICM9" s="217"/>
      <c r="ICN9" s="217"/>
      <c r="ICO9" s="217"/>
      <c r="ICP9" s="217"/>
      <c r="ICQ9" s="217"/>
      <c r="ICR9" s="217"/>
      <c r="ICS9" s="217"/>
      <c r="ICT9" s="217"/>
      <c r="ICU9" s="217"/>
      <c r="ICV9" s="217"/>
      <c r="ICW9" s="217"/>
      <c r="ICX9" s="217"/>
      <c r="ICY9" s="217"/>
      <c r="ICZ9" s="217"/>
      <c r="IDA9" s="217"/>
      <c r="IDB9" s="217"/>
      <c r="IDC9" s="217"/>
      <c r="IDD9" s="217"/>
      <c r="IDE9" s="217"/>
      <c r="IDF9" s="217"/>
      <c r="IDG9" s="217"/>
      <c r="IDH9" s="217"/>
      <c r="IDI9" s="217"/>
      <c r="IDJ9" s="217"/>
      <c r="IDK9" s="217"/>
      <c r="IDL9" s="217"/>
      <c r="IDM9" s="217"/>
      <c r="IDN9" s="217"/>
      <c r="IDO9" s="217"/>
      <c r="IDP9" s="217"/>
      <c r="IDQ9" s="217"/>
      <c r="IDR9" s="217"/>
      <c r="IDS9" s="217"/>
      <c r="IDT9" s="217"/>
      <c r="IDU9" s="217"/>
      <c r="IDV9" s="217"/>
      <c r="IDW9" s="217"/>
      <c r="IDX9" s="217"/>
      <c r="IDY9" s="217"/>
      <c r="IDZ9" s="217"/>
      <c r="IEA9" s="217"/>
      <c r="IEB9" s="217"/>
      <c r="IEC9" s="217"/>
      <c r="IED9" s="217"/>
      <c r="IEE9" s="217"/>
      <c r="IEF9" s="217"/>
      <c r="IEG9" s="217"/>
      <c r="IEH9" s="217"/>
      <c r="IEI9" s="217"/>
      <c r="IEJ9" s="217"/>
      <c r="IEK9" s="217"/>
      <c r="IEL9" s="217"/>
      <c r="IEM9" s="217"/>
      <c r="IEN9" s="217"/>
      <c r="IEO9" s="217"/>
      <c r="IEP9" s="217"/>
      <c r="IEQ9" s="217"/>
      <c r="IER9" s="217"/>
      <c r="IES9" s="217"/>
      <c r="IET9" s="217"/>
      <c r="IEU9" s="217"/>
      <c r="IEV9" s="217"/>
      <c r="IEW9" s="217"/>
      <c r="IEX9" s="217"/>
      <c r="IEY9" s="217"/>
      <c r="IEZ9" s="217"/>
      <c r="IFA9" s="217"/>
      <c r="IFB9" s="217"/>
      <c r="IFC9" s="217"/>
      <c r="IFD9" s="217"/>
      <c r="IFE9" s="217"/>
      <c r="IFF9" s="217"/>
      <c r="IFG9" s="217"/>
      <c r="IFH9" s="217"/>
      <c r="IFI9" s="217"/>
      <c r="IFJ9" s="217"/>
      <c r="IFK9" s="217"/>
      <c r="IFL9" s="217"/>
      <c r="IFM9" s="217"/>
      <c r="IFN9" s="217"/>
      <c r="IFO9" s="217"/>
      <c r="IFP9" s="217"/>
      <c r="IFQ9" s="217"/>
      <c r="IFR9" s="217"/>
      <c r="IFS9" s="217"/>
      <c r="IFT9" s="217"/>
      <c r="IFU9" s="217"/>
      <c r="IFV9" s="217"/>
      <c r="IFW9" s="217"/>
      <c r="IFX9" s="217"/>
      <c r="IFY9" s="217"/>
      <c r="IFZ9" s="217"/>
      <c r="IGA9" s="217"/>
      <c r="IGB9" s="217"/>
      <c r="IGC9" s="217"/>
      <c r="IGD9" s="217"/>
      <c r="IGE9" s="217"/>
      <c r="IGF9" s="217"/>
      <c r="IGG9" s="217"/>
      <c r="IGH9" s="217"/>
      <c r="IGI9" s="217"/>
      <c r="IGJ9" s="217"/>
      <c r="IGK9" s="217"/>
      <c r="IGL9" s="217"/>
      <c r="IGM9" s="217"/>
      <c r="IGN9" s="217"/>
      <c r="IGO9" s="217"/>
      <c r="IGP9" s="217"/>
      <c r="IGQ9" s="217"/>
      <c r="IGR9" s="217"/>
      <c r="IGS9" s="217"/>
      <c r="IGT9" s="217"/>
      <c r="IGU9" s="217"/>
      <c r="IGV9" s="217"/>
      <c r="IGW9" s="217"/>
      <c r="IGX9" s="217"/>
      <c r="IGY9" s="217"/>
      <c r="IGZ9" s="217"/>
      <c r="IHA9" s="217"/>
      <c r="IHB9" s="217"/>
      <c r="IHC9" s="217"/>
      <c r="IHD9" s="217"/>
      <c r="IHE9" s="217"/>
      <c r="IHF9" s="217"/>
      <c r="IHG9" s="217"/>
      <c r="IHH9" s="217"/>
      <c r="IHI9" s="217"/>
      <c r="IHJ9" s="217"/>
      <c r="IHK9" s="217"/>
      <c r="IHL9" s="217"/>
      <c r="IHM9" s="217"/>
      <c r="IHN9" s="217"/>
      <c r="IHO9" s="217"/>
      <c r="IHP9" s="217"/>
      <c r="IHQ9" s="217"/>
      <c r="IHR9" s="217"/>
      <c r="IHS9" s="217"/>
      <c r="IHT9" s="217"/>
      <c r="IHU9" s="217"/>
      <c r="IHV9" s="217"/>
      <c r="IHW9" s="217"/>
      <c r="IHX9" s="217"/>
      <c r="IHY9" s="217"/>
      <c r="IHZ9" s="217"/>
      <c r="IIA9" s="217"/>
      <c r="IIB9" s="217"/>
      <c r="IIC9" s="217"/>
      <c r="IID9" s="217"/>
      <c r="IIE9" s="217"/>
      <c r="IIF9" s="217"/>
      <c r="IIG9" s="217"/>
      <c r="IIH9" s="217"/>
      <c r="III9" s="217"/>
      <c r="IIJ9" s="217"/>
      <c r="IIK9" s="217"/>
      <c r="IIL9" s="217"/>
      <c r="IIM9" s="217"/>
      <c r="IIN9" s="217"/>
      <c r="IIO9" s="217"/>
      <c r="IIP9" s="217"/>
      <c r="IIQ9" s="217"/>
      <c r="IIR9" s="217"/>
      <c r="IIS9" s="217"/>
      <c r="IIT9" s="217"/>
      <c r="IIU9" s="217"/>
      <c r="IIV9" s="217"/>
      <c r="IIW9" s="217"/>
      <c r="IIX9" s="217"/>
      <c r="IIY9" s="217"/>
      <c r="IIZ9" s="217"/>
      <c r="IJA9" s="217"/>
      <c r="IJB9" s="217"/>
      <c r="IJC9" s="217"/>
      <c r="IJD9" s="217"/>
      <c r="IJE9" s="217"/>
      <c r="IJF9" s="217"/>
      <c r="IJG9" s="217"/>
      <c r="IJH9" s="217"/>
      <c r="IJI9" s="217"/>
      <c r="IJJ9" s="217"/>
      <c r="IJK9" s="217"/>
      <c r="IJL9" s="217"/>
      <c r="IJM9" s="217"/>
      <c r="IJN9" s="217"/>
      <c r="IJO9" s="217"/>
      <c r="IJP9" s="217"/>
      <c r="IJQ9" s="217"/>
      <c r="IJR9" s="217"/>
      <c r="IJS9" s="217"/>
      <c r="IJT9" s="217"/>
      <c r="IJU9" s="217"/>
      <c r="IJV9" s="217"/>
      <c r="IJW9" s="217"/>
      <c r="IJX9" s="217"/>
      <c r="IJY9" s="217"/>
      <c r="IJZ9" s="217"/>
      <c r="IKA9" s="217"/>
      <c r="IKB9" s="217"/>
      <c r="IKC9" s="217"/>
      <c r="IKD9" s="217"/>
      <c r="IKE9" s="217"/>
      <c r="IKF9" s="217"/>
      <c r="IKG9" s="217"/>
      <c r="IKH9" s="217"/>
      <c r="IKI9" s="217"/>
      <c r="IKJ9" s="217"/>
      <c r="IKK9" s="217"/>
      <c r="IKL9" s="217"/>
      <c r="IKM9" s="217"/>
      <c r="IKN9" s="217"/>
      <c r="IKO9" s="217"/>
      <c r="IKP9" s="217"/>
      <c r="IKQ9" s="217"/>
      <c r="IKR9" s="217"/>
      <c r="IKS9" s="217"/>
      <c r="IKT9" s="217"/>
      <c r="IKU9" s="217"/>
      <c r="IKV9" s="217"/>
      <c r="IKW9" s="217"/>
      <c r="IKX9" s="217"/>
      <c r="IKY9" s="217"/>
      <c r="IKZ9" s="217"/>
      <c r="ILA9" s="217"/>
      <c r="ILB9" s="217"/>
      <c r="ILC9" s="217"/>
      <c r="ILD9" s="217"/>
      <c r="ILE9" s="217"/>
      <c r="ILF9" s="217"/>
      <c r="ILG9" s="217"/>
      <c r="ILH9" s="217"/>
      <c r="ILI9" s="217"/>
      <c r="ILJ9" s="217"/>
      <c r="ILK9" s="217"/>
      <c r="ILL9" s="217"/>
      <c r="ILM9" s="217"/>
      <c r="ILN9" s="217"/>
      <c r="ILO9" s="217"/>
      <c r="ILP9" s="217"/>
      <c r="ILQ9" s="217"/>
      <c r="ILR9" s="217"/>
      <c r="ILS9" s="217"/>
      <c r="ILT9" s="217"/>
      <c r="ILU9" s="217"/>
      <c r="ILV9" s="217"/>
      <c r="ILW9" s="217"/>
      <c r="ILX9" s="217"/>
      <c r="ILY9" s="217"/>
      <c r="ILZ9" s="217"/>
      <c r="IMA9" s="217"/>
      <c r="IMB9" s="217"/>
      <c r="IMC9" s="217"/>
      <c r="IMD9" s="217"/>
      <c r="IME9" s="217"/>
      <c r="IMF9" s="217"/>
      <c r="IMG9" s="217"/>
      <c r="IMH9" s="217"/>
      <c r="IMI9" s="217"/>
      <c r="IMJ9" s="217"/>
      <c r="IMK9" s="217"/>
      <c r="IML9" s="217"/>
      <c r="IMM9" s="217"/>
      <c r="IMN9" s="217"/>
      <c r="IMO9" s="217"/>
      <c r="IMP9" s="217"/>
      <c r="IMQ9" s="217"/>
      <c r="IMR9" s="217"/>
      <c r="IMS9" s="217"/>
      <c r="IMT9" s="217"/>
      <c r="IMU9" s="217"/>
      <c r="IMV9" s="217"/>
      <c r="IMW9" s="217"/>
      <c r="IMX9" s="217"/>
      <c r="IMY9" s="217"/>
      <c r="IMZ9" s="217"/>
      <c r="INA9" s="217"/>
      <c r="INB9" s="217"/>
      <c r="INC9" s="217"/>
      <c r="IND9" s="217"/>
      <c r="INE9" s="217"/>
      <c r="INF9" s="217"/>
      <c r="ING9" s="217"/>
      <c r="INH9" s="217"/>
      <c r="INI9" s="217"/>
      <c r="INJ9" s="217"/>
      <c r="INK9" s="217"/>
      <c r="INL9" s="217"/>
      <c r="INM9" s="217"/>
      <c r="INN9" s="217"/>
      <c r="INO9" s="217"/>
      <c r="INP9" s="217"/>
      <c r="INQ9" s="217"/>
      <c r="INR9" s="217"/>
      <c r="INS9" s="217"/>
      <c r="INT9" s="217"/>
      <c r="INU9" s="217"/>
      <c r="INV9" s="217"/>
      <c r="INW9" s="217"/>
      <c r="INX9" s="217"/>
      <c r="INY9" s="217"/>
      <c r="INZ9" s="217"/>
      <c r="IOA9" s="217"/>
      <c r="IOB9" s="217"/>
      <c r="IOC9" s="217"/>
      <c r="IOD9" s="217"/>
      <c r="IOE9" s="217"/>
      <c r="IOF9" s="217"/>
      <c r="IOG9" s="217"/>
      <c r="IOH9" s="217"/>
      <c r="IOI9" s="217"/>
      <c r="IOJ9" s="217"/>
      <c r="IOK9" s="217"/>
      <c r="IOL9" s="217"/>
      <c r="IOM9" s="217"/>
      <c r="ION9" s="217"/>
      <c r="IOO9" s="217"/>
      <c r="IOP9" s="217"/>
      <c r="IOQ9" s="217"/>
      <c r="IOR9" s="217"/>
      <c r="IOS9" s="217"/>
      <c r="IOT9" s="217"/>
      <c r="IOU9" s="217"/>
      <c r="IOV9" s="217"/>
      <c r="IOW9" s="217"/>
      <c r="IOX9" s="217"/>
      <c r="IOY9" s="217"/>
      <c r="IOZ9" s="217"/>
      <c r="IPA9" s="217"/>
      <c r="IPB9" s="217"/>
      <c r="IPC9" s="217"/>
      <c r="IPD9" s="217"/>
      <c r="IPE9" s="217"/>
      <c r="IPF9" s="217"/>
      <c r="IPG9" s="217"/>
      <c r="IPH9" s="217"/>
      <c r="IPI9" s="217"/>
      <c r="IPJ9" s="217"/>
      <c r="IPK9" s="217"/>
      <c r="IPL9" s="217"/>
      <c r="IPM9" s="217"/>
      <c r="IPN9" s="217"/>
      <c r="IPO9" s="217"/>
      <c r="IPP9" s="217"/>
      <c r="IPQ9" s="217"/>
      <c r="IPR9" s="217"/>
      <c r="IPS9" s="217"/>
      <c r="IPT9" s="217"/>
      <c r="IPU9" s="217"/>
      <c r="IPV9" s="217"/>
      <c r="IPW9" s="217"/>
      <c r="IPX9" s="217"/>
      <c r="IPY9" s="217"/>
      <c r="IPZ9" s="217"/>
      <c r="IQA9" s="217"/>
      <c r="IQB9" s="217"/>
      <c r="IQC9" s="217"/>
      <c r="IQD9" s="217"/>
      <c r="IQE9" s="217"/>
      <c r="IQF9" s="217"/>
      <c r="IQG9" s="217"/>
      <c r="IQH9" s="217"/>
      <c r="IQI9" s="217"/>
      <c r="IQJ9" s="217"/>
      <c r="IQK9" s="217"/>
      <c r="IQL9" s="217"/>
      <c r="IQM9" s="217"/>
      <c r="IQN9" s="217"/>
      <c r="IQO9" s="217"/>
      <c r="IQP9" s="217"/>
      <c r="IQQ9" s="217"/>
      <c r="IQR9" s="217"/>
      <c r="IQS9" s="217"/>
      <c r="IQT9" s="217"/>
      <c r="IQU9" s="217"/>
      <c r="IQV9" s="217"/>
      <c r="IQW9" s="217"/>
      <c r="IQX9" s="217"/>
      <c r="IQY9" s="217"/>
      <c r="IQZ9" s="217"/>
      <c r="IRA9" s="217"/>
      <c r="IRB9" s="217"/>
      <c r="IRC9" s="217"/>
      <c r="IRD9" s="217"/>
      <c r="IRE9" s="217"/>
      <c r="IRF9" s="217"/>
      <c r="IRG9" s="217"/>
      <c r="IRH9" s="217"/>
      <c r="IRI9" s="217"/>
      <c r="IRJ9" s="217"/>
      <c r="IRK9" s="217"/>
      <c r="IRL9" s="217"/>
      <c r="IRM9" s="217"/>
      <c r="IRN9" s="217"/>
      <c r="IRO9" s="217"/>
      <c r="IRP9" s="217"/>
      <c r="IRQ9" s="217"/>
      <c r="IRR9" s="217"/>
      <c r="IRS9" s="217"/>
      <c r="IRT9" s="217"/>
      <c r="IRU9" s="217"/>
      <c r="IRV9" s="217"/>
      <c r="IRW9" s="217"/>
      <c r="IRX9" s="217"/>
      <c r="IRY9" s="217"/>
      <c r="IRZ9" s="217"/>
      <c r="ISA9" s="217"/>
      <c r="ISB9" s="217"/>
      <c r="ISC9" s="217"/>
      <c r="ISD9" s="217"/>
      <c r="ISE9" s="217"/>
      <c r="ISF9" s="217"/>
      <c r="ISG9" s="217"/>
      <c r="ISH9" s="217"/>
      <c r="ISI9" s="217"/>
      <c r="ISJ9" s="217"/>
      <c r="ISK9" s="217"/>
      <c r="ISL9" s="217"/>
      <c r="ISM9" s="217"/>
      <c r="ISN9" s="217"/>
      <c r="ISO9" s="217"/>
      <c r="ISP9" s="217"/>
      <c r="ISQ9" s="217"/>
      <c r="ISR9" s="217"/>
      <c r="ISS9" s="217"/>
      <c r="IST9" s="217"/>
      <c r="ISU9" s="217"/>
      <c r="ISV9" s="217"/>
      <c r="ISW9" s="217"/>
      <c r="ISX9" s="217"/>
      <c r="ISY9" s="217"/>
      <c r="ISZ9" s="217"/>
      <c r="ITA9" s="217"/>
      <c r="ITB9" s="217"/>
      <c r="ITC9" s="217"/>
      <c r="ITD9" s="217"/>
      <c r="ITE9" s="217"/>
      <c r="ITF9" s="217"/>
      <c r="ITG9" s="217"/>
      <c r="ITH9" s="217"/>
      <c r="ITI9" s="217"/>
      <c r="ITJ9" s="217"/>
      <c r="ITK9" s="217"/>
      <c r="ITL9" s="217"/>
      <c r="ITM9" s="217"/>
      <c r="ITN9" s="217"/>
      <c r="ITO9" s="217"/>
      <c r="ITP9" s="217"/>
      <c r="ITQ9" s="217"/>
      <c r="ITR9" s="217"/>
      <c r="ITS9" s="217"/>
      <c r="ITT9" s="217"/>
      <c r="ITU9" s="217"/>
      <c r="ITV9" s="217"/>
      <c r="ITW9" s="217"/>
      <c r="ITX9" s="217"/>
      <c r="ITY9" s="217"/>
      <c r="ITZ9" s="217"/>
      <c r="IUA9" s="217"/>
      <c r="IUB9" s="217"/>
      <c r="IUC9" s="217"/>
      <c r="IUD9" s="217"/>
      <c r="IUE9" s="217"/>
      <c r="IUF9" s="217"/>
      <c r="IUG9" s="217"/>
      <c r="IUH9" s="217"/>
      <c r="IUI9" s="217"/>
      <c r="IUJ9" s="217"/>
      <c r="IUK9" s="217"/>
      <c r="IUL9" s="217"/>
      <c r="IUM9" s="217"/>
      <c r="IUN9" s="217"/>
      <c r="IUO9" s="217"/>
      <c r="IUP9" s="217"/>
      <c r="IUQ9" s="217"/>
      <c r="IUR9" s="217"/>
      <c r="IUS9" s="217"/>
      <c r="IUT9" s="217"/>
      <c r="IUU9" s="217"/>
      <c r="IUV9" s="217"/>
      <c r="IUW9" s="217"/>
      <c r="IUX9" s="217"/>
      <c r="IUY9" s="217"/>
      <c r="IUZ9" s="217"/>
      <c r="IVA9" s="217"/>
      <c r="IVB9" s="217"/>
      <c r="IVC9" s="217"/>
      <c r="IVD9" s="217"/>
      <c r="IVE9" s="217"/>
      <c r="IVF9" s="217"/>
      <c r="IVG9" s="217"/>
      <c r="IVH9" s="217"/>
      <c r="IVI9" s="217"/>
      <c r="IVJ9" s="217"/>
      <c r="IVK9" s="217"/>
      <c r="IVL9" s="217"/>
      <c r="IVM9" s="217"/>
      <c r="IVN9" s="217"/>
      <c r="IVO9" s="217"/>
      <c r="IVP9" s="217"/>
      <c r="IVQ9" s="217"/>
      <c r="IVR9" s="217"/>
      <c r="IVS9" s="217"/>
      <c r="IVT9" s="217"/>
      <c r="IVU9" s="217"/>
      <c r="IVV9" s="217"/>
      <c r="IVW9" s="217"/>
      <c r="IVX9" s="217"/>
      <c r="IVY9" s="217"/>
      <c r="IVZ9" s="217"/>
      <c r="IWA9" s="217"/>
      <c r="IWB9" s="217"/>
      <c r="IWC9" s="217"/>
      <c r="IWD9" s="217"/>
      <c r="IWE9" s="217"/>
      <c r="IWF9" s="217"/>
      <c r="IWG9" s="217"/>
      <c r="IWH9" s="217"/>
      <c r="IWI9" s="217"/>
      <c r="IWJ9" s="217"/>
      <c r="IWK9" s="217"/>
      <c r="IWL9" s="217"/>
      <c r="IWM9" s="217"/>
      <c r="IWN9" s="217"/>
      <c r="IWO9" s="217"/>
      <c r="IWP9" s="217"/>
      <c r="IWQ9" s="217"/>
      <c r="IWR9" s="217"/>
      <c r="IWS9" s="217"/>
      <c r="IWT9" s="217"/>
      <c r="IWU9" s="217"/>
      <c r="IWV9" s="217"/>
      <c r="IWW9" s="217"/>
      <c r="IWX9" s="217"/>
      <c r="IWY9" s="217"/>
      <c r="IWZ9" s="217"/>
      <c r="IXA9" s="217"/>
      <c r="IXB9" s="217"/>
      <c r="IXC9" s="217"/>
      <c r="IXD9" s="217"/>
      <c r="IXE9" s="217"/>
      <c r="IXF9" s="217"/>
      <c r="IXG9" s="217"/>
      <c r="IXH9" s="217"/>
      <c r="IXI9" s="217"/>
      <c r="IXJ9" s="217"/>
      <c r="IXK9" s="217"/>
      <c r="IXL9" s="217"/>
      <c r="IXM9" s="217"/>
      <c r="IXN9" s="217"/>
      <c r="IXO9" s="217"/>
      <c r="IXP9" s="217"/>
      <c r="IXQ9" s="217"/>
      <c r="IXR9" s="217"/>
      <c r="IXS9" s="217"/>
      <c r="IXT9" s="217"/>
      <c r="IXU9" s="217"/>
      <c r="IXV9" s="217"/>
      <c r="IXW9" s="217"/>
      <c r="IXX9" s="217"/>
      <c r="IXY9" s="217"/>
      <c r="IXZ9" s="217"/>
      <c r="IYA9" s="217"/>
      <c r="IYB9" s="217"/>
      <c r="IYC9" s="217"/>
      <c r="IYD9" s="217"/>
      <c r="IYE9" s="217"/>
      <c r="IYF9" s="217"/>
      <c r="IYG9" s="217"/>
      <c r="IYH9" s="217"/>
      <c r="IYI9" s="217"/>
      <c r="IYJ9" s="217"/>
      <c r="IYK9" s="217"/>
      <c r="IYL9" s="217"/>
      <c r="IYM9" s="217"/>
      <c r="IYN9" s="217"/>
      <c r="IYO9" s="217"/>
      <c r="IYP9" s="217"/>
      <c r="IYQ9" s="217"/>
      <c r="IYR9" s="217"/>
      <c r="IYS9" s="217"/>
      <c r="IYT9" s="217"/>
      <c r="IYU9" s="217"/>
      <c r="IYV9" s="217"/>
      <c r="IYW9" s="217"/>
      <c r="IYX9" s="217"/>
      <c r="IYY9" s="217"/>
      <c r="IYZ9" s="217"/>
      <c r="IZA9" s="217"/>
      <c r="IZB9" s="217"/>
      <c r="IZC9" s="217"/>
      <c r="IZD9" s="217"/>
      <c r="IZE9" s="217"/>
      <c r="IZF9" s="217"/>
      <c r="IZG9" s="217"/>
      <c r="IZH9" s="217"/>
      <c r="IZI9" s="217"/>
      <c r="IZJ9" s="217"/>
      <c r="IZK9" s="217"/>
      <c r="IZL9" s="217"/>
      <c r="IZM9" s="217"/>
      <c r="IZN9" s="217"/>
      <c r="IZO9" s="217"/>
      <c r="IZP9" s="217"/>
      <c r="IZQ9" s="217"/>
      <c r="IZR9" s="217"/>
      <c r="IZS9" s="217"/>
      <c r="IZT9" s="217"/>
      <c r="IZU9" s="217"/>
      <c r="IZV9" s="217"/>
      <c r="IZW9" s="217"/>
      <c r="IZX9" s="217"/>
      <c r="IZY9" s="217"/>
      <c r="IZZ9" s="217"/>
      <c r="JAA9" s="217"/>
      <c r="JAB9" s="217"/>
      <c r="JAC9" s="217"/>
      <c r="JAD9" s="217"/>
      <c r="JAE9" s="217"/>
      <c r="JAF9" s="217"/>
      <c r="JAG9" s="217"/>
      <c r="JAH9" s="217"/>
      <c r="JAI9" s="217"/>
      <c r="JAJ9" s="217"/>
      <c r="JAK9" s="217"/>
      <c r="JAL9" s="217"/>
      <c r="JAM9" s="217"/>
      <c r="JAN9" s="217"/>
      <c r="JAO9" s="217"/>
      <c r="JAP9" s="217"/>
      <c r="JAQ9" s="217"/>
      <c r="JAR9" s="217"/>
      <c r="JAS9" s="217"/>
      <c r="JAT9" s="217"/>
      <c r="JAU9" s="217"/>
      <c r="JAV9" s="217"/>
      <c r="JAW9" s="217"/>
      <c r="JAX9" s="217"/>
      <c r="JAY9" s="217"/>
      <c r="JAZ9" s="217"/>
      <c r="JBA9" s="217"/>
      <c r="JBB9" s="217"/>
      <c r="JBC9" s="217"/>
      <c r="JBD9" s="217"/>
      <c r="JBE9" s="217"/>
      <c r="JBF9" s="217"/>
      <c r="JBG9" s="217"/>
      <c r="JBH9" s="217"/>
      <c r="JBI9" s="217"/>
      <c r="JBJ9" s="217"/>
      <c r="JBK9" s="217"/>
      <c r="JBL9" s="217"/>
      <c r="JBM9" s="217"/>
      <c r="JBN9" s="217"/>
      <c r="JBO9" s="217"/>
      <c r="JBP9" s="217"/>
      <c r="JBQ9" s="217"/>
      <c r="JBR9" s="217"/>
      <c r="JBS9" s="217"/>
      <c r="JBT9" s="217"/>
      <c r="JBU9" s="217"/>
      <c r="JBV9" s="217"/>
      <c r="JBW9" s="217"/>
      <c r="JBX9" s="217"/>
      <c r="JBY9" s="217"/>
      <c r="JBZ9" s="217"/>
      <c r="JCA9" s="217"/>
      <c r="JCB9" s="217"/>
      <c r="JCC9" s="217"/>
      <c r="JCD9" s="217"/>
      <c r="JCE9" s="217"/>
      <c r="JCF9" s="217"/>
      <c r="JCG9" s="217"/>
      <c r="JCH9" s="217"/>
      <c r="JCI9" s="217"/>
      <c r="JCJ9" s="217"/>
      <c r="JCK9" s="217"/>
      <c r="JCL9" s="217"/>
      <c r="JCM9" s="217"/>
      <c r="JCN9" s="217"/>
      <c r="JCO9" s="217"/>
      <c r="JCP9" s="217"/>
      <c r="JCQ9" s="217"/>
      <c r="JCR9" s="217"/>
      <c r="JCS9" s="217"/>
      <c r="JCT9" s="217"/>
      <c r="JCU9" s="217"/>
      <c r="JCV9" s="217"/>
      <c r="JCW9" s="217"/>
      <c r="JCX9" s="217"/>
      <c r="JCY9" s="217"/>
      <c r="JCZ9" s="217"/>
      <c r="JDA9" s="217"/>
      <c r="JDB9" s="217"/>
      <c r="JDC9" s="217"/>
      <c r="JDD9" s="217"/>
      <c r="JDE9" s="217"/>
      <c r="JDF9" s="217"/>
      <c r="JDG9" s="217"/>
      <c r="JDH9" s="217"/>
      <c r="JDI9" s="217"/>
      <c r="JDJ9" s="217"/>
      <c r="JDK9" s="217"/>
      <c r="JDL9" s="217"/>
      <c r="JDM9" s="217"/>
      <c r="JDN9" s="217"/>
      <c r="JDO9" s="217"/>
      <c r="JDP9" s="217"/>
      <c r="JDQ9" s="217"/>
      <c r="JDR9" s="217"/>
      <c r="JDS9" s="217"/>
      <c r="JDT9" s="217"/>
      <c r="JDU9" s="217"/>
      <c r="JDV9" s="217"/>
      <c r="JDW9" s="217"/>
      <c r="JDX9" s="217"/>
      <c r="JDY9" s="217"/>
      <c r="JDZ9" s="217"/>
      <c r="JEA9" s="217"/>
      <c r="JEB9" s="217"/>
      <c r="JEC9" s="217"/>
      <c r="JED9" s="217"/>
      <c r="JEE9" s="217"/>
      <c r="JEF9" s="217"/>
      <c r="JEG9" s="217"/>
      <c r="JEH9" s="217"/>
      <c r="JEI9" s="217"/>
      <c r="JEJ9" s="217"/>
      <c r="JEK9" s="217"/>
      <c r="JEL9" s="217"/>
      <c r="JEM9" s="217"/>
      <c r="JEN9" s="217"/>
      <c r="JEO9" s="217"/>
      <c r="JEP9" s="217"/>
      <c r="JEQ9" s="217"/>
      <c r="JER9" s="217"/>
      <c r="JES9" s="217"/>
      <c r="JET9" s="217"/>
      <c r="JEU9" s="217"/>
      <c r="JEV9" s="217"/>
      <c r="JEW9" s="217"/>
      <c r="JEX9" s="217"/>
      <c r="JEY9" s="217"/>
      <c r="JEZ9" s="217"/>
      <c r="JFA9" s="217"/>
      <c r="JFB9" s="217"/>
      <c r="JFC9" s="217"/>
      <c r="JFD9" s="217"/>
      <c r="JFE9" s="217"/>
      <c r="JFF9" s="217"/>
      <c r="JFG9" s="217"/>
      <c r="JFH9" s="217"/>
      <c r="JFI9" s="217"/>
      <c r="JFJ9" s="217"/>
      <c r="JFK9" s="217"/>
      <c r="JFL9" s="217"/>
      <c r="JFM9" s="217"/>
      <c r="JFN9" s="217"/>
      <c r="JFO9" s="217"/>
      <c r="JFP9" s="217"/>
      <c r="JFQ9" s="217"/>
      <c r="JFR9" s="217"/>
      <c r="JFS9" s="217"/>
      <c r="JFT9" s="217"/>
      <c r="JFU9" s="217"/>
      <c r="JFV9" s="217"/>
      <c r="JFW9" s="217"/>
      <c r="JFX9" s="217"/>
      <c r="JFY9" s="217"/>
      <c r="JFZ9" s="217"/>
      <c r="JGA9" s="217"/>
      <c r="JGB9" s="217"/>
      <c r="JGC9" s="217"/>
      <c r="JGD9" s="217"/>
      <c r="JGE9" s="217"/>
      <c r="JGF9" s="217"/>
      <c r="JGG9" s="217"/>
      <c r="JGH9" s="217"/>
      <c r="JGI9" s="217"/>
      <c r="JGJ9" s="217"/>
      <c r="JGK9" s="217"/>
      <c r="JGL9" s="217"/>
      <c r="JGM9" s="217"/>
      <c r="JGN9" s="217"/>
      <c r="JGO9" s="217"/>
      <c r="JGP9" s="217"/>
      <c r="JGQ9" s="217"/>
      <c r="JGR9" s="217"/>
      <c r="JGS9" s="217"/>
      <c r="JGT9" s="217"/>
      <c r="JGU9" s="217"/>
      <c r="JGV9" s="217"/>
      <c r="JGW9" s="217"/>
      <c r="JGX9" s="217"/>
      <c r="JGY9" s="217"/>
      <c r="JGZ9" s="217"/>
      <c r="JHA9" s="217"/>
      <c r="JHB9" s="217"/>
      <c r="JHC9" s="217"/>
      <c r="JHD9" s="217"/>
      <c r="JHE9" s="217"/>
      <c r="JHF9" s="217"/>
      <c r="JHG9" s="217"/>
      <c r="JHH9" s="217"/>
      <c r="JHI9" s="217"/>
      <c r="JHJ9" s="217"/>
      <c r="JHK9" s="217"/>
      <c r="JHL9" s="217"/>
      <c r="JHM9" s="217"/>
      <c r="JHN9" s="217"/>
      <c r="JHO9" s="217"/>
      <c r="JHP9" s="217"/>
      <c r="JHQ9" s="217"/>
      <c r="JHR9" s="217"/>
      <c r="JHS9" s="217"/>
      <c r="JHT9" s="217"/>
      <c r="JHU9" s="217"/>
      <c r="JHV9" s="217"/>
      <c r="JHW9" s="217"/>
      <c r="JHX9" s="217"/>
      <c r="JHY9" s="217"/>
      <c r="JHZ9" s="217"/>
      <c r="JIA9" s="217"/>
      <c r="JIB9" s="217"/>
      <c r="JIC9" s="217"/>
      <c r="JID9" s="217"/>
      <c r="JIE9" s="217"/>
      <c r="JIF9" s="217"/>
      <c r="JIG9" s="217"/>
      <c r="JIH9" s="217"/>
      <c r="JII9" s="217"/>
      <c r="JIJ9" s="217"/>
      <c r="JIK9" s="217"/>
      <c r="JIL9" s="217"/>
      <c r="JIM9" s="217"/>
      <c r="JIN9" s="217"/>
      <c r="JIO9" s="217"/>
      <c r="JIP9" s="217"/>
      <c r="JIQ9" s="217"/>
      <c r="JIR9" s="217"/>
      <c r="JIS9" s="217"/>
      <c r="JIT9" s="217"/>
      <c r="JIU9" s="217"/>
      <c r="JIV9" s="217"/>
      <c r="JIW9" s="217"/>
      <c r="JIX9" s="217"/>
      <c r="JIY9" s="217"/>
      <c r="JIZ9" s="217"/>
      <c r="JJA9" s="217"/>
      <c r="JJB9" s="217"/>
      <c r="JJC9" s="217"/>
      <c r="JJD9" s="217"/>
      <c r="JJE9" s="217"/>
      <c r="JJF9" s="217"/>
      <c r="JJG9" s="217"/>
      <c r="JJH9" s="217"/>
      <c r="JJI9" s="217"/>
      <c r="JJJ9" s="217"/>
      <c r="JJK9" s="217"/>
      <c r="JJL9" s="217"/>
      <c r="JJM9" s="217"/>
      <c r="JJN9" s="217"/>
      <c r="JJO9" s="217"/>
      <c r="JJP9" s="217"/>
      <c r="JJQ9" s="217"/>
      <c r="JJR9" s="217"/>
      <c r="JJS9" s="217"/>
      <c r="JJT9" s="217"/>
      <c r="JJU9" s="217"/>
      <c r="JJV9" s="217"/>
      <c r="JJW9" s="217"/>
      <c r="JJX9" s="217"/>
      <c r="JJY9" s="217"/>
      <c r="JJZ9" s="217"/>
      <c r="JKA9" s="217"/>
      <c r="JKB9" s="217"/>
      <c r="JKC9" s="217"/>
      <c r="JKD9" s="217"/>
      <c r="JKE9" s="217"/>
      <c r="JKF9" s="217"/>
      <c r="JKG9" s="217"/>
      <c r="JKH9" s="217"/>
      <c r="JKI9" s="217"/>
      <c r="JKJ9" s="217"/>
      <c r="JKK9" s="217"/>
      <c r="JKL9" s="217"/>
      <c r="JKM9" s="217"/>
      <c r="JKN9" s="217"/>
      <c r="JKO9" s="217"/>
      <c r="JKP9" s="217"/>
      <c r="JKQ9" s="217"/>
      <c r="JKR9" s="217"/>
      <c r="JKS9" s="217"/>
      <c r="JKT9" s="217"/>
      <c r="JKU9" s="217"/>
      <c r="JKV9" s="217"/>
      <c r="JKW9" s="217"/>
      <c r="JKX9" s="217"/>
      <c r="JKY9" s="217"/>
      <c r="JKZ9" s="217"/>
      <c r="JLA9" s="217"/>
      <c r="JLB9" s="217"/>
      <c r="JLC9" s="217"/>
      <c r="JLD9" s="217"/>
      <c r="JLE9" s="217"/>
      <c r="JLF9" s="217"/>
      <c r="JLG9" s="217"/>
      <c r="JLH9" s="217"/>
      <c r="JLI9" s="217"/>
      <c r="JLJ9" s="217"/>
      <c r="JLK9" s="217"/>
      <c r="JLL9" s="217"/>
      <c r="JLM9" s="217"/>
      <c r="JLN9" s="217"/>
      <c r="JLO9" s="217"/>
      <c r="JLP9" s="217"/>
      <c r="JLQ9" s="217"/>
      <c r="JLR9" s="217"/>
      <c r="JLS9" s="217"/>
      <c r="JLT9" s="217"/>
      <c r="JLU9" s="217"/>
      <c r="JLV9" s="217"/>
      <c r="JLW9" s="217"/>
      <c r="JLX9" s="217"/>
      <c r="JLY9" s="217"/>
      <c r="JLZ9" s="217"/>
      <c r="JMA9" s="217"/>
      <c r="JMB9" s="217"/>
      <c r="JMC9" s="217"/>
      <c r="JMD9" s="217"/>
      <c r="JME9" s="217"/>
      <c r="JMF9" s="217"/>
      <c r="JMG9" s="217"/>
      <c r="JMH9" s="217"/>
      <c r="JMI9" s="217"/>
      <c r="JMJ9" s="217"/>
      <c r="JMK9" s="217"/>
      <c r="JML9" s="217"/>
      <c r="JMM9" s="217"/>
      <c r="JMN9" s="217"/>
      <c r="JMO9" s="217"/>
      <c r="JMP9" s="217"/>
      <c r="JMQ9" s="217"/>
      <c r="JMR9" s="217"/>
      <c r="JMS9" s="217"/>
      <c r="JMT9" s="217"/>
      <c r="JMU9" s="217"/>
      <c r="JMV9" s="217"/>
      <c r="JMW9" s="217"/>
      <c r="JMX9" s="217"/>
      <c r="JMY9" s="217"/>
      <c r="JMZ9" s="217"/>
      <c r="JNA9" s="217"/>
      <c r="JNB9" s="217"/>
      <c r="JNC9" s="217"/>
      <c r="JND9" s="217"/>
      <c r="JNE9" s="217"/>
      <c r="JNF9" s="217"/>
      <c r="JNG9" s="217"/>
      <c r="JNH9" s="217"/>
      <c r="JNI9" s="217"/>
      <c r="JNJ9" s="217"/>
      <c r="JNK9" s="217"/>
      <c r="JNL9" s="217"/>
      <c r="JNM9" s="217"/>
      <c r="JNN9" s="217"/>
      <c r="JNO9" s="217"/>
      <c r="JNP9" s="217"/>
      <c r="JNQ9" s="217"/>
      <c r="JNR9" s="217"/>
      <c r="JNS9" s="217"/>
      <c r="JNT9" s="217"/>
      <c r="JNU9" s="217"/>
      <c r="JNV9" s="217"/>
      <c r="JNW9" s="217"/>
      <c r="JNX9" s="217"/>
      <c r="JNY9" s="217"/>
      <c r="JNZ9" s="217"/>
      <c r="JOA9" s="217"/>
      <c r="JOB9" s="217"/>
      <c r="JOC9" s="217"/>
      <c r="JOD9" s="217"/>
      <c r="JOE9" s="217"/>
      <c r="JOF9" s="217"/>
      <c r="JOG9" s="217"/>
      <c r="JOH9" s="217"/>
      <c r="JOI9" s="217"/>
      <c r="JOJ9" s="217"/>
      <c r="JOK9" s="217"/>
      <c r="JOL9" s="217"/>
      <c r="JOM9" s="217"/>
      <c r="JON9" s="217"/>
      <c r="JOO9" s="217"/>
      <c r="JOP9" s="217"/>
      <c r="JOQ9" s="217"/>
      <c r="JOR9" s="217"/>
      <c r="JOS9" s="217"/>
      <c r="JOT9" s="217"/>
      <c r="JOU9" s="217"/>
      <c r="JOV9" s="217"/>
      <c r="JOW9" s="217"/>
      <c r="JOX9" s="217"/>
      <c r="JOY9" s="217"/>
      <c r="JOZ9" s="217"/>
      <c r="JPA9" s="217"/>
      <c r="JPB9" s="217"/>
      <c r="JPC9" s="217"/>
      <c r="JPD9" s="217"/>
      <c r="JPE9" s="217"/>
      <c r="JPF9" s="217"/>
      <c r="JPG9" s="217"/>
      <c r="JPH9" s="217"/>
      <c r="JPI9" s="217"/>
      <c r="JPJ9" s="217"/>
      <c r="JPK9" s="217"/>
      <c r="JPL9" s="217"/>
      <c r="JPM9" s="217"/>
      <c r="JPN9" s="217"/>
      <c r="JPO9" s="217"/>
      <c r="JPP9" s="217"/>
      <c r="JPQ9" s="217"/>
      <c r="JPR9" s="217"/>
      <c r="JPS9" s="217"/>
      <c r="JPT9" s="217"/>
      <c r="JPU9" s="217"/>
      <c r="JPV9" s="217"/>
      <c r="JPW9" s="217"/>
      <c r="JPX9" s="217"/>
      <c r="JPY9" s="217"/>
      <c r="JPZ9" s="217"/>
      <c r="JQA9" s="217"/>
      <c r="JQB9" s="217"/>
      <c r="JQC9" s="217"/>
      <c r="JQD9" s="217"/>
      <c r="JQE9" s="217"/>
      <c r="JQF9" s="217"/>
      <c r="JQG9" s="217"/>
      <c r="JQH9" s="217"/>
      <c r="JQI9" s="217"/>
      <c r="JQJ9" s="217"/>
      <c r="JQK9" s="217"/>
      <c r="JQL9" s="217"/>
      <c r="JQM9" s="217"/>
      <c r="JQN9" s="217"/>
      <c r="JQO9" s="217"/>
      <c r="JQP9" s="217"/>
      <c r="JQQ9" s="217"/>
      <c r="JQR9" s="217"/>
      <c r="JQS9" s="217"/>
      <c r="JQT9" s="217"/>
      <c r="JQU9" s="217"/>
      <c r="JQV9" s="217"/>
      <c r="JQW9" s="217"/>
      <c r="JQX9" s="217"/>
      <c r="JQY9" s="217"/>
      <c r="JQZ9" s="217"/>
      <c r="JRA9" s="217"/>
      <c r="JRB9" s="217"/>
      <c r="JRC9" s="217"/>
      <c r="JRD9" s="217"/>
      <c r="JRE9" s="217"/>
      <c r="JRF9" s="217"/>
      <c r="JRG9" s="217"/>
      <c r="JRH9" s="217"/>
      <c r="JRI9" s="217"/>
      <c r="JRJ9" s="217"/>
      <c r="JRK9" s="217"/>
      <c r="JRL9" s="217"/>
      <c r="JRM9" s="217"/>
      <c r="JRN9" s="217"/>
      <c r="JRO9" s="217"/>
      <c r="JRP9" s="217"/>
      <c r="JRQ9" s="217"/>
      <c r="JRR9" s="217"/>
      <c r="JRS9" s="217"/>
      <c r="JRT9" s="217"/>
      <c r="JRU9" s="217"/>
      <c r="JRV9" s="217"/>
      <c r="JRW9" s="217"/>
      <c r="JRX9" s="217"/>
      <c r="JRY9" s="217"/>
      <c r="JRZ9" s="217"/>
      <c r="JSA9" s="217"/>
      <c r="JSB9" s="217"/>
      <c r="JSC9" s="217"/>
      <c r="JSD9" s="217"/>
      <c r="JSE9" s="217"/>
      <c r="JSF9" s="217"/>
      <c r="JSG9" s="217"/>
      <c r="JSH9" s="217"/>
      <c r="JSI9" s="217"/>
      <c r="JSJ9" s="217"/>
      <c r="JSK9" s="217"/>
      <c r="JSL9" s="217"/>
      <c r="JSM9" s="217"/>
      <c r="JSN9" s="217"/>
      <c r="JSO9" s="217"/>
      <c r="JSP9" s="217"/>
      <c r="JSQ9" s="217"/>
      <c r="JSR9" s="217"/>
      <c r="JSS9" s="217"/>
      <c r="JST9" s="217"/>
      <c r="JSU9" s="217"/>
      <c r="JSV9" s="217"/>
      <c r="JSW9" s="217"/>
      <c r="JSX9" s="217"/>
      <c r="JSY9" s="217"/>
      <c r="JSZ9" s="217"/>
      <c r="JTA9" s="217"/>
      <c r="JTB9" s="217"/>
      <c r="JTC9" s="217"/>
      <c r="JTD9" s="217"/>
      <c r="JTE9" s="217"/>
      <c r="JTF9" s="217"/>
      <c r="JTG9" s="217"/>
      <c r="JTH9" s="217"/>
      <c r="JTI9" s="217"/>
      <c r="JTJ9" s="217"/>
      <c r="JTK9" s="217"/>
      <c r="JTL9" s="217"/>
      <c r="JTM9" s="217"/>
      <c r="JTN9" s="217"/>
      <c r="JTO9" s="217"/>
      <c r="JTP9" s="217"/>
      <c r="JTQ9" s="217"/>
      <c r="JTR9" s="217"/>
      <c r="JTS9" s="217"/>
      <c r="JTT9" s="217"/>
      <c r="JTU9" s="217"/>
      <c r="JTV9" s="217"/>
      <c r="JTW9" s="217"/>
      <c r="JTX9" s="217"/>
      <c r="JTY9" s="217"/>
      <c r="JTZ9" s="217"/>
      <c r="JUA9" s="217"/>
      <c r="JUB9" s="217"/>
      <c r="JUC9" s="217"/>
      <c r="JUD9" s="217"/>
      <c r="JUE9" s="217"/>
      <c r="JUF9" s="217"/>
      <c r="JUG9" s="217"/>
      <c r="JUH9" s="217"/>
      <c r="JUI9" s="217"/>
      <c r="JUJ9" s="217"/>
      <c r="JUK9" s="217"/>
      <c r="JUL9" s="217"/>
      <c r="JUM9" s="217"/>
      <c r="JUN9" s="217"/>
      <c r="JUO9" s="217"/>
      <c r="JUP9" s="217"/>
      <c r="JUQ9" s="217"/>
      <c r="JUR9" s="217"/>
      <c r="JUS9" s="217"/>
      <c r="JUT9" s="217"/>
      <c r="JUU9" s="217"/>
      <c r="JUV9" s="217"/>
      <c r="JUW9" s="217"/>
      <c r="JUX9" s="217"/>
      <c r="JUY9" s="217"/>
      <c r="JUZ9" s="217"/>
      <c r="JVA9" s="217"/>
      <c r="JVB9" s="217"/>
      <c r="JVC9" s="217"/>
      <c r="JVD9" s="217"/>
      <c r="JVE9" s="217"/>
      <c r="JVF9" s="217"/>
      <c r="JVG9" s="217"/>
      <c r="JVH9" s="217"/>
      <c r="JVI9" s="217"/>
      <c r="JVJ9" s="217"/>
      <c r="JVK9" s="217"/>
      <c r="JVL9" s="217"/>
      <c r="JVM9" s="217"/>
      <c r="JVN9" s="217"/>
      <c r="JVO9" s="217"/>
      <c r="JVP9" s="217"/>
      <c r="JVQ9" s="217"/>
      <c r="JVR9" s="217"/>
      <c r="JVS9" s="217"/>
      <c r="JVT9" s="217"/>
      <c r="JVU9" s="217"/>
      <c r="JVV9" s="217"/>
      <c r="JVW9" s="217"/>
      <c r="JVX9" s="217"/>
      <c r="JVY9" s="217"/>
      <c r="JVZ9" s="217"/>
      <c r="JWA9" s="217"/>
      <c r="JWB9" s="217"/>
      <c r="JWC9" s="217"/>
      <c r="JWD9" s="217"/>
      <c r="JWE9" s="217"/>
      <c r="JWF9" s="217"/>
      <c r="JWG9" s="217"/>
      <c r="JWH9" s="217"/>
      <c r="JWI9" s="217"/>
      <c r="JWJ9" s="217"/>
      <c r="JWK9" s="217"/>
      <c r="JWL9" s="217"/>
      <c r="JWM9" s="217"/>
      <c r="JWN9" s="217"/>
      <c r="JWO9" s="217"/>
      <c r="JWP9" s="217"/>
      <c r="JWQ9" s="217"/>
      <c r="JWR9" s="217"/>
      <c r="JWS9" s="217"/>
      <c r="JWT9" s="217"/>
      <c r="JWU9" s="217"/>
      <c r="JWV9" s="217"/>
      <c r="JWW9" s="217"/>
      <c r="JWX9" s="217"/>
      <c r="JWY9" s="217"/>
      <c r="JWZ9" s="217"/>
      <c r="JXA9" s="217"/>
      <c r="JXB9" s="217"/>
      <c r="JXC9" s="217"/>
      <c r="JXD9" s="217"/>
      <c r="JXE9" s="217"/>
      <c r="JXF9" s="217"/>
      <c r="JXG9" s="217"/>
      <c r="JXH9" s="217"/>
      <c r="JXI9" s="217"/>
      <c r="JXJ9" s="217"/>
      <c r="JXK9" s="217"/>
      <c r="JXL9" s="217"/>
      <c r="JXM9" s="217"/>
      <c r="JXN9" s="217"/>
      <c r="JXO9" s="217"/>
      <c r="JXP9" s="217"/>
      <c r="JXQ9" s="217"/>
      <c r="JXR9" s="217"/>
      <c r="JXS9" s="217"/>
      <c r="JXT9" s="217"/>
      <c r="JXU9" s="217"/>
      <c r="JXV9" s="217"/>
      <c r="JXW9" s="217"/>
      <c r="JXX9" s="217"/>
      <c r="JXY9" s="217"/>
      <c r="JXZ9" s="217"/>
      <c r="JYA9" s="217"/>
      <c r="JYB9" s="217"/>
      <c r="JYC9" s="217"/>
      <c r="JYD9" s="217"/>
      <c r="JYE9" s="217"/>
      <c r="JYF9" s="217"/>
      <c r="JYG9" s="217"/>
      <c r="JYH9" s="217"/>
      <c r="JYI9" s="217"/>
      <c r="JYJ9" s="217"/>
      <c r="JYK9" s="217"/>
      <c r="JYL9" s="217"/>
      <c r="JYM9" s="217"/>
      <c r="JYN9" s="217"/>
      <c r="JYO9" s="217"/>
      <c r="JYP9" s="217"/>
      <c r="JYQ9" s="217"/>
      <c r="JYR9" s="217"/>
      <c r="JYS9" s="217"/>
      <c r="JYT9" s="217"/>
      <c r="JYU9" s="217"/>
      <c r="JYV9" s="217"/>
      <c r="JYW9" s="217"/>
      <c r="JYX9" s="217"/>
      <c r="JYY9" s="217"/>
      <c r="JYZ9" s="217"/>
      <c r="JZA9" s="217"/>
      <c r="JZB9" s="217"/>
      <c r="JZC9" s="217"/>
      <c r="JZD9" s="217"/>
      <c r="JZE9" s="217"/>
      <c r="JZF9" s="217"/>
      <c r="JZG9" s="217"/>
      <c r="JZH9" s="217"/>
      <c r="JZI9" s="217"/>
      <c r="JZJ9" s="217"/>
      <c r="JZK9" s="217"/>
      <c r="JZL9" s="217"/>
      <c r="JZM9" s="217"/>
      <c r="JZN9" s="217"/>
      <c r="JZO9" s="217"/>
      <c r="JZP9" s="217"/>
      <c r="JZQ9" s="217"/>
      <c r="JZR9" s="217"/>
      <c r="JZS9" s="217"/>
      <c r="JZT9" s="217"/>
      <c r="JZU9" s="217"/>
      <c r="JZV9" s="217"/>
      <c r="JZW9" s="217"/>
      <c r="JZX9" s="217"/>
      <c r="JZY9" s="217"/>
      <c r="JZZ9" s="217"/>
      <c r="KAA9" s="217"/>
      <c r="KAB9" s="217"/>
      <c r="KAC9" s="217"/>
      <c r="KAD9" s="217"/>
      <c r="KAE9" s="217"/>
      <c r="KAF9" s="217"/>
      <c r="KAG9" s="217"/>
      <c r="KAH9" s="217"/>
      <c r="KAI9" s="217"/>
      <c r="KAJ9" s="217"/>
      <c r="KAK9" s="217"/>
      <c r="KAL9" s="217"/>
      <c r="KAM9" s="217"/>
      <c r="KAN9" s="217"/>
      <c r="KAO9" s="217"/>
      <c r="KAP9" s="217"/>
      <c r="KAQ9" s="217"/>
      <c r="KAR9" s="217"/>
      <c r="KAS9" s="217"/>
      <c r="KAT9" s="217"/>
      <c r="KAU9" s="217"/>
      <c r="KAV9" s="217"/>
      <c r="KAW9" s="217"/>
      <c r="KAX9" s="217"/>
      <c r="KAY9" s="217"/>
      <c r="KAZ9" s="217"/>
      <c r="KBA9" s="217"/>
      <c r="KBB9" s="217"/>
      <c r="KBC9" s="217"/>
      <c r="KBD9" s="217"/>
      <c r="KBE9" s="217"/>
      <c r="KBF9" s="217"/>
      <c r="KBG9" s="217"/>
      <c r="KBH9" s="217"/>
      <c r="KBI9" s="217"/>
      <c r="KBJ9" s="217"/>
      <c r="KBK9" s="217"/>
      <c r="KBL9" s="217"/>
      <c r="KBM9" s="217"/>
      <c r="KBN9" s="217"/>
      <c r="KBO9" s="217"/>
      <c r="KBP9" s="217"/>
      <c r="KBQ9" s="217"/>
      <c r="KBR9" s="217"/>
      <c r="KBS9" s="217"/>
      <c r="KBT9" s="217"/>
      <c r="KBU9" s="217"/>
      <c r="KBV9" s="217"/>
      <c r="KBW9" s="217"/>
      <c r="KBX9" s="217"/>
      <c r="KBY9" s="217"/>
      <c r="KBZ9" s="217"/>
      <c r="KCA9" s="217"/>
      <c r="KCB9" s="217"/>
      <c r="KCC9" s="217"/>
      <c r="KCD9" s="217"/>
      <c r="KCE9" s="217"/>
      <c r="KCF9" s="217"/>
      <c r="KCG9" s="217"/>
      <c r="KCH9" s="217"/>
      <c r="KCI9" s="217"/>
      <c r="KCJ9" s="217"/>
      <c r="KCK9" s="217"/>
      <c r="KCL9" s="217"/>
      <c r="KCM9" s="217"/>
      <c r="KCN9" s="217"/>
      <c r="KCO9" s="217"/>
      <c r="KCP9" s="217"/>
      <c r="KCQ9" s="217"/>
      <c r="KCR9" s="217"/>
      <c r="KCS9" s="217"/>
      <c r="KCT9" s="217"/>
      <c r="KCU9" s="217"/>
      <c r="KCV9" s="217"/>
      <c r="KCW9" s="217"/>
      <c r="KCX9" s="217"/>
      <c r="KCY9" s="217"/>
      <c r="KCZ9" s="217"/>
      <c r="KDA9" s="217"/>
      <c r="KDB9" s="217"/>
      <c r="KDC9" s="217"/>
      <c r="KDD9" s="217"/>
      <c r="KDE9" s="217"/>
      <c r="KDF9" s="217"/>
      <c r="KDG9" s="217"/>
      <c r="KDH9" s="217"/>
      <c r="KDI9" s="217"/>
      <c r="KDJ9" s="217"/>
      <c r="KDK9" s="217"/>
      <c r="KDL9" s="217"/>
      <c r="KDM9" s="217"/>
      <c r="KDN9" s="217"/>
      <c r="KDO9" s="217"/>
      <c r="KDP9" s="217"/>
      <c r="KDQ9" s="217"/>
      <c r="KDR9" s="217"/>
      <c r="KDS9" s="217"/>
      <c r="KDT9" s="217"/>
      <c r="KDU9" s="217"/>
      <c r="KDV9" s="217"/>
      <c r="KDW9" s="217"/>
      <c r="KDX9" s="217"/>
      <c r="KDY9" s="217"/>
      <c r="KDZ9" s="217"/>
      <c r="KEA9" s="217"/>
      <c r="KEB9" s="217"/>
      <c r="KEC9" s="217"/>
      <c r="KED9" s="217"/>
      <c r="KEE9" s="217"/>
      <c r="KEF9" s="217"/>
      <c r="KEG9" s="217"/>
      <c r="KEH9" s="217"/>
      <c r="KEI9" s="217"/>
      <c r="KEJ9" s="217"/>
      <c r="KEK9" s="217"/>
      <c r="KEL9" s="217"/>
      <c r="KEM9" s="217"/>
      <c r="KEN9" s="217"/>
      <c r="KEO9" s="217"/>
      <c r="KEP9" s="217"/>
      <c r="KEQ9" s="217"/>
      <c r="KER9" s="217"/>
      <c r="KES9" s="217"/>
      <c r="KET9" s="217"/>
      <c r="KEU9" s="217"/>
      <c r="KEV9" s="217"/>
      <c r="KEW9" s="217"/>
      <c r="KEX9" s="217"/>
      <c r="KEY9" s="217"/>
      <c r="KEZ9" s="217"/>
      <c r="KFA9" s="217"/>
      <c r="KFB9" s="217"/>
      <c r="KFC9" s="217"/>
      <c r="KFD9" s="217"/>
      <c r="KFE9" s="217"/>
      <c r="KFF9" s="217"/>
      <c r="KFG9" s="217"/>
      <c r="KFH9" s="217"/>
      <c r="KFI9" s="217"/>
      <c r="KFJ9" s="217"/>
      <c r="KFK9" s="217"/>
      <c r="KFL9" s="217"/>
      <c r="KFM9" s="217"/>
      <c r="KFN9" s="217"/>
      <c r="KFO9" s="217"/>
      <c r="KFP9" s="217"/>
      <c r="KFQ9" s="217"/>
      <c r="KFR9" s="217"/>
      <c r="KFS9" s="217"/>
      <c r="KFT9" s="217"/>
      <c r="KFU9" s="217"/>
      <c r="KFV9" s="217"/>
      <c r="KFW9" s="217"/>
      <c r="KFX9" s="217"/>
      <c r="KFY9" s="217"/>
      <c r="KFZ9" s="217"/>
      <c r="KGA9" s="217"/>
      <c r="KGB9" s="217"/>
      <c r="KGC9" s="217"/>
      <c r="KGD9" s="217"/>
      <c r="KGE9" s="217"/>
      <c r="KGF9" s="217"/>
      <c r="KGG9" s="217"/>
      <c r="KGH9" s="217"/>
      <c r="KGI9" s="217"/>
      <c r="KGJ9" s="217"/>
      <c r="KGK9" s="217"/>
      <c r="KGL9" s="217"/>
      <c r="KGM9" s="217"/>
      <c r="KGN9" s="217"/>
      <c r="KGO9" s="217"/>
      <c r="KGP9" s="217"/>
      <c r="KGQ9" s="217"/>
      <c r="KGR9" s="217"/>
      <c r="KGS9" s="217"/>
      <c r="KGT9" s="217"/>
      <c r="KGU9" s="217"/>
      <c r="KGV9" s="217"/>
      <c r="KGW9" s="217"/>
      <c r="KGX9" s="217"/>
      <c r="KGY9" s="217"/>
      <c r="KGZ9" s="217"/>
      <c r="KHA9" s="217"/>
      <c r="KHB9" s="217"/>
      <c r="KHC9" s="217"/>
      <c r="KHD9" s="217"/>
      <c r="KHE9" s="217"/>
      <c r="KHF9" s="217"/>
      <c r="KHG9" s="217"/>
      <c r="KHH9" s="217"/>
      <c r="KHI9" s="217"/>
      <c r="KHJ9" s="217"/>
      <c r="KHK9" s="217"/>
      <c r="KHL9" s="217"/>
      <c r="KHM9" s="217"/>
      <c r="KHN9" s="217"/>
      <c r="KHO9" s="217"/>
      <c r="KHP9" s="217"/>
      <c r="KHQ9" s="217"/>
      <c r="KHR9" s="217"/>
      <c r="KHS9" s="217"/>
      <c r="KHT9" s="217"/>
      <c r="KHU9" s="217"/>
      <c r="KHV9" s="217"/>
      <c r="KHW9" s="217"/>
      <c r="KHX9" s="217"/>
      <c r="KHY9" s="217"/>
      <c r="KHZ9" s="217"/>
      <c r="KIA9" s="217"/>
      <c r="KIB9" s="217"/>
      <c r="KIC9" s="217"/>
      <c r="KID9" s="217"/>
      <c r="KIE9" s="217"/>
      <c r="KIF9" s="217"/>
      <c r="KIG9" s="217"/>
      <c r="KIH9" s="217"/>
      <c r="KII9" s="217"/>
      <c r="KIJ9" s="217"/>
      <c r="KIK9" s="217"/>
      <c r="KIL9" s="217"/>
      <c r="KIM9" s="217"/>
      <c r="KIN9" s="217"/>
      <c r="KIO9" s="217"/>
      <c r="KIP9" s="217"/>
      <c r="KIQ9" s="217"/>
      <c r="KIR9" s="217"/>
      <c r="KIS9" s="217"/>
      <c r="KIT9" s="217"/>
      <c r="KIU9" s="217"/>
      <c r="KIV9" s="217"/>
      <c r="KIW9" s="217"/>
      <c r="KIX9" s="217"/>
      <c r="KIY9" s="217"/>
      <c r="KIZ9" s="217"/>
      <c r="KJA9" s="217"/>
      <c r="KJB9" s="217"/>
      <c r="KJC9" s="217"/>
      <c r="KJD9" s="217"/>
      <c r="KJE9" s="217"/>
      <c r="KJF9" s="217"/>
      <c r="KJG9" s="217"/>
      <c r="KJH9" s="217"/>
      <c r="KJI9" s="217"/>
      <c r="KJJ9" s="217"/>
      <c r="KJK9" s="217"/>
      <c r="KJL9" s="217"/>
      <c r="KJM9" s="217"/>
      <c r="KJN9" s="217"/>
      <c r="KJO9" s="217"/>
      <c r="KJP9" s="217"/>
      <c r="KJQ9" s="217"/>
      <c r="KJR9" s="217"/>
      <c r="KJS9" s="217"/>
      <c r="KJT9" s="217"/>
      <c r="KJU9" s="217"/>
      <c r="KJV9" s="217"/>
      <c r="KJW9" s="217"/>
      <c r="KJX9" s="217"/>
      <c r="KJY9" s="217"/>
      <c r="KJZ9" s="217"/>
      <c r="KKA9" s="217"/>
      <c r="KKB9" s="217"/>
      <c r="KKC9" s="217"/>
      <c r="KKD9" s="217"/>
      <c r="KKE9" s="217"/>
      <c r="KKF9" s="217"/>
      <c r="KKG9" s="217"/>
      <c r="KKH9" s="217"/>
      <c r="KKI9" s="217"/>
      <c r="KKJ9" s="217"/>
      <c r="KKK9" s="217"/>
      <c r="KKL9" s="217"/>
      <c r="KKM9" s="217"/>
      <c r="KKN9" s="217"/>
      <c r="KKO9" s="217"/>
      <c r="KKP9" s="217"/>
      <c r="KKQ9" s="217"/>
      <c r="KKR9" s="217"/>
      <c r="KKS9" s="217"/>
      <c r="KKT9" s="217"/>
      <c r="KKU9" s="217"/>
      <c r="KKV9" s="217"/>
      <c r="KKW9" s="217"/>
      <c r="KKX9" s="217"/>
      <c r="KKY9" s="217"/>
      <c r="KKZ9" s="217"/>
      <c r="KLA9" s="217"/>
      <c r="KLB9" s="217"/>
      <c r="KLC9" s="217"/>
      <c r="KLD9" s="217"/>
      <c r="KLE9" s="217"/>
      <c r="KLF9" s="217"/>
      <c r="KLG9" s="217"/>
      <c r="KLH9" s="217"/>
      <c r="KLI9" s="217"/>
      <c r="KLJ9" s="217"/>
      <c r="KLK9" s="217"/>
      <c r="KLL9" s="217"/>
      <c r="KLM9" s="217"/>
      <c r="KLN9" s="217"/>
      <c r="KLO9" s="217"/>
      <c r="KLP9" s="217"/>
      <c r="KLQ9" s="217"/>
      <c r="KLR9" s="217"/>
      <c r="KLS9" s="217"/>
      <c r="KLT9" s="217"/>
      <c r="KLU9" s="217"/>
      <c r="KLV9" s="217"/>
      <c r="KLW9" s="217"/>
      <c r="KLX9" s="217"/>
      <c r="KLY9" s="217"/>
      <c r="KLZ9" s="217"/>
      <c r="KMA9" s="217"/>
      <c r="KMB9" s="217"/>
      <c r="KMC9" s="217"/>
      <c r="KMD9" s="217"/>
      <c r="KME9" s="217"/>
      <c r="KMF9" s="217"/>
      <c r="KMG9" s="217"/>
      <c r="KMH9" s="217"/>
      <c r="KMI9" s="217"/>
      <c r="KMJ9" s="217"/>
      <c r="KMK9" s="217"/>
      <c r="KML9" s="217"/>
      <c r="KMM9" s="217"/>
      <c r="KMN9" s="217"/>
      <c r="KMO9" s="217"/>
      <c r="KMP9" s="217"/>
      <c r="KMQ9" s="217"/>
      <c r="KMR9" s="217"/>
      <c r="KMS9" s="217"/>
      <c r="KMT9" s="217"/>
      <c r="KMU9" s="217"/>
      <c r="KMV9" s="217"/>
      <c r="KMW9" s="217"/>
      <c r="KMX9" s="217"/>
      <c r="KMY9" s="217"/>
      <c r="KMZ9" s="217"/>
      <c r="KNA9" s="217"/>
      <c r="KNB9" s="217"/>
      <c r="KNC9" s="217"/>
      <c r="KND9" s="217"/>
      <c r="KNE9" s="217"/>
      <c r="KNF9" s="217"/>
      <c r="KNG9" s="217"/>
      <c r="KNH9" s="217"/>
      <c r="KNI9" s="217"/>
      <c r="KNJ9" s="217"/>
      <c r="KNK9" s="217"/>
      <c r="KNL9" s="217"/>
      <c r="KNM9" s="217"/>
      <c r="KNN9" s="217"/>
      <c r="KNO9" s="217"/>
      <c r="KNP9" s="217"/>
      <c r="KNQ9" s="217"/>
      <c r="KNR9" s="217"/>
      <c r="KNS9" s="217"/>
      <c r="KNT9" s="217"/>
      <c r="KNU9" s="217"/>
      <c r="KNV9" s="217"/>
      <c r="KNW9" s="217"/>
      <c r="KNX9" s="217"/>
      <c r="KNY9" s="217"/>
      <c r="KNZ9" s="217"/>
      <c r="KOA9" s="217"/>
      <c r="KOB9" s="217"/>
      <c r="KOC9" s="217"/>
      <c r="KOD9" s="217"/>
      <c r="KOE9" s="217"/>
      <c r="KOF9" s="217"/>
      <c r="KOG9" s="217"/>
      <c r="KOH9" s="217"/>
      <c r="KOI9" s="217"/>
      <c r="KOJ9" s="217"/>
      <c r="KOK9" s="217"/>
      <c r="KOL9" s="217"/>
      <c r="KOM9" s="217"/>
      <c r="KON9" s="217"/>
      <c r="KOO9" s="217"/>
      <c r="KOP9" s="217"/>
      <c r="KOQ9" s="217"/>
      <c r="KOR9" s="217"/>
      <c r="KOS9" s="217"/>
      <c r="KOT9" s="217"/>
      <c r="KOU9" s="217"/>
      <c r="KOV9" s="217"/>
      <c r="KOW9" s="217"/>
      <c r="KOX9" s="217"/>
      <c r="KOY9" s="217"/>
      <c r="KOZ9" s="217"/>
      <c r="KPA9" s="217"/>
      <c r="KPB9" s="217"/>
      <c r="KPC9" s="217"/>
      <c r="KPD9" s="217"/>
      <c r="KPE9" s="217"/>
      <c r="KPF9" s="217"/>
      <c r="KPG9" s="217"/>
      <c r="KPH9" s="217"/>
      <c r="KPI9" s="217"/>
      <c r="KPJ9" s="217"/>
      <c r="KPK9" s="217"/>
      <c r="KPL9" s="217"/>
      <c r="KPM9" s="217"/>
      <c r="KPN9" s="217"/>
      <c r="KPO9" s="217"/>
      <c r="KPP9" s="217"/>
      <c r="KPQ9" s="217"/>
      <c r="KPR9" s="217"/>
      <c r="KPS9" s="217"/>
      <c r="KPT9" s="217"/>
      <c r="KPU9" s="217"/>
      <c r="KPV9" s="217"/>
      <c r="KPW9" s="217"/>
      <c r="KPX9" s="217"/>
      <c r="KPY9" s="217"/>
      <c r="KPZ9" s="217"/>
      <c r="KQA9" s="217"/>
      <c r="KQB9" s="217"/>
      <c r="KQC9" s="217"/>
      <c r="KQD9" s="217"/>
      <c r="KQE9" s="217"/>
      <c r="KQF9" s="217"/>
      <c r="KQG9" s="217"/>
      <c r="KQH9" s="217"/>
      <c r="KQI9" s="217"/>
      <c r="KQJ9" s="217"/>
      <c r="KQK9" s="217"/>
      <c r="KQL9" s="217"/>
      <c r="KQM9" s="217"/>
      <c r="KQN9" s="217"/>
      <c r="KQO9" s="217"/>
      <c r="KQP9" s="217"/>
      <c r="KQQ9" s="217"/>
      <c r="KQR9" s="217"/>
      <c r="KQS9" s="217"/>
      <c r="KQT9" s="217"/>
      <c r="KQU9" s="217"/>
      <c r="KQV9" s="217"/>
      <c r="KQW9" s="217"/>
      <c r="KQX9" s="217"/>
      <c r="KQY9" s="217"/>
      <c r="KQZ9" s="217"/>
      <c r="KRA9" s="217"/>
      <c r="KRB9" s="217"/>
      <c r="KRC9" s="217"/>
      <c r="KRD9" s="217"/>
      <c r="KRE9" s="217"/>
      <c r="KRF9" s="217"/>
      <c r="KRG9" s="217"/>
      <c r="KRH9" s="217"/>
      <c r="KRI9" s="217"/>
      <c r="KRJ9" s="217"/>
      <c r="KRK9" s="217"/>
      <c r="KRL9" s="217"/>
      <c r="KRM9" s="217"/>
      <c r="KRN9" s="217"/>
      <c r="KRO9" s="217"/>
      <c r="KRP9" s="217"/>
      <c r="KRQ9" s="217"/>
      <c r="KRR9" s="217"/>
      <c r="KRS9" s="217"/>
      <c r="KRT9" s="217"/>
      <c r="KRU9" s="217"/>
      <c r="KRV9" s="217"/>
      <c r="KRW9" s="217"/>
      <c r="KRX9" s="217"/>
      <c r="KRY9" s="217"/>
      <c r="KRZ9" s="217"/>
      <c r="KSA9" s="217"/>
      <c r="KSB9" s="217"/>
      <c r="KSC9" s="217"/>
      <c r="KSD9" s="217"/>
      <c r="KSE9" s="217"/>
      <c r="KSF9" s="217"/>
      <c r="KSG9" s="217"/>
      <c r="KSH9" s="217"/>
      <c r="KSI9" s="217"/>
      <c r="KSJ9" s="217"/>
      <c r="KSK9" s="217"/>
      <c r="KSL9" s="217"/>
      <c r="KSM9" s="217"/>
      <c r="KSN9" s="217"/>
      <c r="KSO9" s="217"/>
      <c r="KSP9" s="217"/>
      <c r="KSQ9" s="217"/>
      <c r="KSR9" s="217"/>
      <c r="KSS9" s="217"/>
      <c r="KST9" s="217"/>
      <c r="KSU9" s="217"/>
      <c r="KSV9" s="217"/>
      <c r="KSW9" s="217"/>
      <c r="KSX9" s="217"/>
      <c r="KSY9" s="217"/>
      <c r="KSZ9" s="217"/>
      <c r="KTA9" s="217"/>
      <c r="KTB9" s="217"/>
      <c r="KTC9" s="217"/>
      <c r="KTD9" s="217"/>
      <c r="KTE9" s="217"/>
      <c r="KTF9" s="217"/>
      <c r="KTG9" s="217"/>
      <c r="KTH9" s="217"/>
      <c r="KTI9" s="217"/>
      <c r="KTJ9" s="217"/>
      <c r="KTK9" s="217"/>
      <c r="KTL9" s="217"/>
      <c r="KTM9" s="217"/>
      <c r="KTN9" s="217"/>
      <c r="KTO9" s="217"/>
      <c r="KTP9" s="217"/>
      <c r="KTQ9" s="217"/>
      <c r="KTR9" s="217"/>
      <c r="KTS9" s="217"/>
      <c r="KTT9" s="217"/>
      <c r="KTU9" s="217"/>
      <c r="KTV9" s="217"/>
      <c r="KTW9" s="217"/>
      <c r="KTX9" s="217"/>
      <c r="KTY9" s="217"/>
      <c r="KTZ9" s="217"/>
      <c r="KUA9" s="217"/>
      <c r="KUB9" s="217"/>
      <c r="KUC9" s="217"/>
      <c r="KUD9" s="217"/>
      <c r="KUE9" s="217"/>
      <c r="KUF9" s="217"/>
      <c r="KUG9" s="217"/>
      <c r="KUH9" s="217"/>
      <c r="KUI9" s="217"/>
      <c r="KUJ9" s="217"/>
      <c r="KUK9" s="217"/>
      <c r="KUL9" s="217"/>
      <c r="KUM9" s="217"/>
      <c r="KUN9" s="217"/>
      <c r="KUO9" s="217"/>
      <c r="KUP9" s="217"/>
      <c r="KUQ9" s="217"/>
      <c r="KUR9" s="217"/>
      <c r="KUS9" s="217"/>
      <c r="KUT9" s="217"/>
      <c r="KUU9" s="217"/>
      <c r="KUV9" s="217"/>
      <c r="KUW9" s="217"/>
      <c r="KUX9" s="217"/>
      <c r="KUY9" s="217"/>
      <c r="KUZ9" s="217"/>
      <c r="KVA9" s="217"/>
      <c r="KVB9" s="217"/>
      <c r="KVC9" s="217"/>
      <c r="KVD9" s="217"/>
      <c r="KVE9" s="217"/>
      <c r="KVF9" s="217"/>
      <c r="KVG9" s="217"/>
      <c r="KVH9" s="217"/>
      <c r="KVI9" s="217"/>
      <c r="KVJ9" s="217"/>
      <c r="KVK9" s="217"/>
      <c r="KVL9" s="217"/>
      <c r="KVM9" s="217"/>
      <c r="KVN9" s="217"/>
      <c r="KVO9" s="217"/>
      <c r="KVP9" s="217"/>
      <c r="KVQ9" s="217"/>
      <c r="KVR9" s="217"/>
      <c r="KVS9" s="217"/>
      <c r="KVT9" s="217"/>
      <c r="KVU9" s="217"/>
      <c r="KVV9" s="217"/>
      <c r="KVW9" s="217"/>
      <c r="KVX9" s="217"/>
      <c r="KVY9" s="217"/>
      <c r="KVZ9" s="217"/>
      <c r="KWA9" s="217"/>
      <c r="KWB9" s="217"/>
      <c r="KWC9" s="217"/>
      <c r="KWD9" s="217"/>
      <c r="KWE9" s="217"/>
      <c r="KWF9" s="217"/>
      <c r="KWG9" s="217"/>
      <c r="KWH9" s="217"/>
      <c r="KWI9" s="217"/>
      <c r="KWJ9" s="217"/>
      <c r="KWK9" s="217"/>
      <c r="KWL9" s="217"/>
      <c r="KWM9" s="217"/>
      <c r="KWN9" s="217"/>
      <c r="KWO9" s="217"/>
      <c r="KWP9" s="217"/>
      <c r="KWQ9" s="217"/>
      <c r="KWR9" s="217"/>
      <c r="KWS9" s="217"/>
      <c r="KWT9" s="217"/>
      <c r="KWU9" s="217"/>
      <c r="KWV9" s="217"/>
      <c r="KWW9" s="217"/>
      <c r="KWX9" s="217"/>
      <c r="KWY9" s="217"/>
      <c r="KWZ9" s="217"/>
      <c r="KXA9" s="217"/>
      <c r="KXB9" s="217"/>
      <c r="KXC9" s="217"/>
      <c r="KXD9" s="217"/>
      <c r="KXE9" s="217"/>
      <c r="KXF9" s="217"/>
      <c r="KXG9" s="217"/>
      <c r="KXH9" s="217"/>
      <c r="KXI9" s="217"/>
      <c r="KXJ9" s="217"/>
      <c r="KXK9" s="217"/>
      <c r="KXL9" s="217"/>
      <c r="KXM9" s="217"/>
      <c r="KXN9" s="217"/>
      <c r="KXO9" s="217"/>
      <c r="KXP9" s="217"/>
      <c r="KXQ9" s="217"/>
      <c r="KXR9" s="217"/>
      <c r="KXS9" s="217"/>
      <c r="KXT9" s="217"/>
      <c r="KXU9" s="217"/>
      <c r="KXV9" s="217"/>
      <c r="KXW9" s="217"/>
      <c r="KXX9" s="217"/>
      <c r="KXY9" s="217"/>
      <c r="KXZ9" s="217"/>
      <c r="KYA9" s="217"/>
      <c r="KYB9" s="217"/>
      <c r="KYC9" s="217"/>
      <c r="KYD9" s="217"/>
      <c r="KYE9" s="217"/>
      <c r="KYF9" s="217"/>
      <c r="KYG9" s="217"/>
      <c r="KYH9" s="217"/>
      <c r="KYI9" s="217"/>
      <c r="KYJ9" s="217"/>
      <c r="KYK9" s="217"/>
      <c r="KYL9" s="217"/>
      <c r="KYM9" s="217"/>
      <c r="KYN9" s="217"/>
      <c r="KYO9" s="217"/>
      <c r="KYP9" s="217"/>
      <c r="KYQ9" s="217"/>
      <c r="KYR9" s="217"/>
      <c r="KYS9" s="217"/>
      <c r="KYT9" s="217"/>
      <c r="KYU9" s="217"/>
      <c r="KYV9" s="217"/>
      <c r="KYW9" s="217"/>
      <c r="KYX9" s="217"/>
      <c r="KYY9" s="217"/>
      <c r="KYZ9" s="217"/>
      <c r="KZA9" s="217"/>
      <c r="KZB9" s="217"/>
      <c r="KZC9" s="217"/>
      <c r="KZD9" s="217"/>
      <c r="KZE9" s="217"/>
      <c r="KZF9" s="217"/>
      <c r="KZG9" s="217"/>
      <c r="KZH9" s="217"/>
      <c r="KZI9" s="217"/>
      <c r="KZJ9" s="217"/>
      <c r="KZK9" s="217"/>
      <c r="KZL9" s="217"/>
      <c r="KZM9" s="217"/>
      <c r="KZN9" s="217"/>
      <c r="KZO9" s="217"/>
      <c r="KZP9" s="217"/>
      <c r="KZQ9" s="217"/>
      <c r="KZR9" s="217"/>
      <c r="KZS9" s="217"/>
      <c r="KZT9" s="217"/>
      <c r="KZU9" s="217"/>
      <c r="KZV9" s="217"/>
      <c r="KZW9" s="217"/>
      <c r="KZX9" s="217"/>
      <c r="KZY9" s="217"/>
      <c r="KZZ9" s="217"/>
      <c r="LAA9" s="217"/>
      <c r="LAB9" s="217"/>
      <c r="LAC9" s="217"/>
      <c r="LAD9" s="217"/>
      <c r="LAE9" s="217"/>
      <c r="LAF9" s="217"/>
      <c r="LAG9" s="217"/>
      <c r="LAH9" s="217"/>
      <c r="LAI9" s="217"/>
      <c r="LAJ9" s="217"/>
      <c r="LAK9" s="217"/>
      <c r="LAL9" s="217"/>
      <c r="LAM9" s="217"/>
      <c r="LAN9" s="217"/>
      <c r="LAO9" s="217"/>
      <c r="LAP9" s="217"/>
      <c r="LAQ9" s="217"/>
      <c r="LAR9" s="217"/>
      <c r="LAS9" s="217"/>
      <c r="LAT9" s="217"/>
      <c r="LAU9" s="217"/>
      <c r="LAV9" s="217"/>
      <c r="LAW9" s="217"/>
      <c r="LAX9" s="217"/>
      <c r="LAY9" s="217"/>
      <c r="LAZ9" s="217"/>
      <c r="LBA9" s="217"/>
      <c r="LBB9" s="217"/>
      <c r="LBC9" s="217"/>
      <c r="LBD9" s="217"/>
      <c r="LBE9" s="217"/>
      <c r="LBF9" s="217"/>
      <c r="LBG9" s="217"/>
      <c r="LBH9" s="217"/>
      <c r="LBI9" s="217"/>
      <c r="LBJ9" s="217"/>
      <c r="LBK9" s="217"/>
      <c r="LBL9" s="217"/>
      <c r="LBM9" s="217"/>
      <c r="LBN9" s="217"/>
      <c r="LBO9" s="217"/>
      <c r="LBP9" s="217"/>
      <c r="LBQ9" s="217"/>
      <c r="LBR9" s="217"/>
      <c r="LBS9" s="217"/>
      <c r="LBT9" s="217"/>
      <c r="LBU9" s="217"/>
      <c r="LBV9" s="217"/>
      <c r="LBW9" s="217"/>
      <c r="LBX9" s="217"/>
      <c r="LBY9" s="217"/>
      <c r="LBZ9" s="217"/>
      <c r="LCA9" s="217"/>
      <c r="LCB9" s="217"/>
      <c r="LCC9" s="217"/>
      <c r="LCD9" s="217"/>
      <c r="LCE9" s="217"/>
      <c r="LCF9" s="217"/>
      <c r="LCG9" s="217"/>
      <c r="LCH9" s="217"/>
      <c r="LCI9" s="217"/>
      <c r="LCJ9" s="217"/>
      <c r="LCK9" s="217"/>
      <c r="LCL9" s="217"/>
      <c r="LCM9" s="217"/>
      <c r="LCN9" s="217"/>
      <c r="LCO9" s="217"/>
      <c r="LCP9" s="217"/>
      <c r="LCQ9" s="217"/>
      <c r="LCR9" s="217"/>
      <c r="LCS9" s="217"/>
      <c r="LCT9" s="217"/>
      <c r="LCU9" s="217"/>
      <c r="LCV9" s="217"/>
      <c r="LCW9" s="217"/>
      <c r="LCX9" s="217"/>
      <c r="LCY9" s="217"/>
      <c r="LCZ9" s="217"/>
      <c r="LDA9" s="217"/>
      <c r="LDB9" s="217"/>
      <c r="LDC9" s="217"/>
      <c r="LDD9" s="217"/>
      <c r="LDE9" s="217"/>
      <c r="LDF9" s="217"/>
      <c r="LDG9" s="217"/>
      <c r="LDH9" s="217"/>
      <c r="LDI9" s="217"/>
      <c r="LDJ9" s="217"/>
      <c r="LDK9" s="217"/>
      <c r="LDL9" s="217"/>
      <c r="LDM9" s="217"/>
      <c r="LDN9" s="217"/>
      <c r="LDO9" s="217"/>
      <c r="LDP9" s="217"/>
      <c r="LDQ9" s="217"/>
      <c r="LDR9" s="217"/>
      <c r="LDS9" s="217"/>
      <c r="LDT9" s="217"/>
      <c r="LDU9" s="217"/>
      <c r="LDV9" s="217"/>
      <c r="LDW9" s="217"/>
      <c r="LDX9" s="217"/>
      <c r="LDY9" s="217"/>
      <c r="LDZ9" s="217"/>
      <c r="LEA9" s="217"/>
      <c r="LEB9" s="217"/>
      <c r="LEC9" s="217"/>
      <c r="LED9" s="217"/>
      <c r="LEE9" s="217"/>
      <c r="LEF9" s="217"/>
      <c r="LEG9" s="217"/>
      <c r="LEH9" s="217"/>
      <c r="LEI9" s="217"/>
      <c r="LEJ9" s="217"/>
      <c r="LEK9" s="217"/>
      <c r="LEL9" s="217"/>
      <c r="LEM9" s="217"/>
      <c r="LEN9" s="217"/>
      <c r="LEO9" s="217"/>
      <c r="LEP9" s="217"/>
      <c r="LEQ9" s="217"/>
      <c r="LER9" s="217"/>
      <c r="LES9" s="217"/>
      <c r="LET9" s="217"/>
      <c r="LEU9" s="217"/>
      <c r="LEV9" s="217"/>
      <c r="LEW9" s="217"/>
      <c r="LEX9" s="217"/>
      <c r="LEY9" s="217"/>
      <c r="LEZ9" s="217"/>
      <c r="LFA9" s="217"/>
      <c r="LFB9" s="217"/>
      <c r="LFC9" s="217"/>
      <c r="LFD9" s="217"/>
      <c r="LFE9" s="217"/>
      <c r="LFF9" s="217"/>
      <c r="LFG9" s="217"/>
      <c r="LFH9" s="217"/>
      <c r="LFI9" s="217"/>
      <c r="LFJ9" s="217"/>
      <c r="LFK9" s="217"/>
      <c r="LFL9" s="217"/>
      <c r="LFM9" s="217"/>
      <c r="LFN9" s="217"/>
      <c r="LFO9" s="217"/>
      <c r="LFP9" s="217"/>
      <c r="LFQ9" s="217"/>
      <c r="LFR9" s="217"/>
      <c r="LFS9" s="217"/>
      <c r="LFT9" s="217"/>
      <c r="LFU9" s="217"/>
      <c r="LFV9" s="217"/>
      <c r="LFW9" s="217"/>
      <c r="LFX9" s="217"/>
      <c r="LFY9" s="217"/>
      <c r="LFZ9" s="217"/>
      <c r="LGA9" s="217"/>
      <c r="LGB9" s="217"/>
      <c r="LGC9" s="217"/>
      <c r="LGD9" s="217"/>
      <c r="LGE9" s="217"/>
      <c r="LGF9" s="217"/>
      <c r="LGG9" s="217"/>
      <c r="LGH9" s="217"/>
      <c r="LGI9" s="217"/>
      <c r="LGJ9" s="217"/>
      <c r="LGK9" s="217"/>
      <c r="LGL9" s="217"/>
      <c r="LGM9" s="217"/>
      <c r="LGN9" s="217"/>
      <c r="LGO9" s="217"/>
      <c r="LGP9" s="217"/>
      <c r="LGQ9" s="217"/>
      <c r="LGR9" s="217"/>
      <c r="LGS9" s="217"/>
      <c r="LGT9" s="217"/>
      <c r="LGU9" s="217"/>
      <c r="LGV9" s="217"/>
      <c r="LGW9" s="217"/>
      <c r="LGX9" s="217"/>
      <c r="LGY9" s="217"/>
      <c r="LGZ9" s="217"/>
      <c r="LHA9" s="217"/>
      <c r="LHB9" s="217"/>
      <c r="LHC9" s="217"/>
      <c r="LHD9" s="217"/>
      <c r="LHE9" s="217"/>
      <c r="LHF9" s="217"/>
      <c r="LHG9" s="217"/>
      <c r="LHH9" s="217"/>
      <c r="LHI9" s="217"/>
      <c r="LHJ9" s="217"/>
      <c r="LHK9" s="217"/>
      <c r="LHL9" s="217"/>
      <c r="LHM9" s="217"/>
      <c r="LHN9" s="217"/>
      <c r="LHO9" s="217"/>
      <c r="LHP9" s="217"/>
      <c r="LHQ9" s="217"/>
      <c r="LHR9" s="217"/>
      <c r="LHS9" s="217"/>
      <c r="LHT9" s="217"/>
      <c r="LHU9" s="217"/>
      <c r="LHV9" s="217"/>
      <c r="LHW9" s="217"/>
      <c r="LHX9" s="217"/>
      <c r="LHY9" s="217"/>
      <c r="LHZ9" s="217"/>
      <c r="LIA9" s="217"/>
      <c r="LIB9" s="217"/>
      <c r="LIC9" s="217"/>
      <c r="LID9" s="217"/>
      <c r="LIE9" s="217"/>
      <c r="LIF9" s="217"/>
      <c r="LIG9" s="217"/>
      <c r="LIH9" s="217"/>
      <c r="LII9" s="217"/>
      <c r="LIJ9" s="217"/>
      <c r="LIK9" s="217"/>
      <c r="LIL9" s="217"/>
      <c r="LIM9" s="217"/>
      <c r="LIN9" s="217"/>
      <c r="LIO9" s="217"/>
      <c r="LIP9" s="217"/>
      <c r="LIQ9" s="217"/>
      <c r="LIR9" s="217"/>
      <c r="LIS9" s="217"/>
      <c r="LIT9" s="217"/>
      <c r="LIU9" s="217"/>
      <c r="LIV9" s="217"/>
      <c r="LIW9" s="217"/>
      <c r="LIX9" s="217"/>
      <c r="LIY9" s="217"/>
      <c r="LIZ9" s="217"/>
      <c r="LJA9" s="217"/>
      <c r="LJB9" s="217"/>
      <c r="LJC9" s="217"/>
      <c r="LJD9" s="217"/>
      <c r="LJE9" s="217"/>
      <c r="LJF9" s="217"/>
      <c r="LJG9" s="217"/>
      <c r="LJH9" s="217"/>
      <c r="LJI9" s="217"/>
      <c r="LJJ9" s="217"/>
      <c r="LJK9" s="217"/>
      <c r="LJL9" s="217"/>
      <c r="LJM9" s="217"/>
      <c r="LJN9" s="217"/>
      <c r="LJO9" s="217"/>
      <c r="LJP9" s="217"/>
      <c r="LJQ9" s="217"/>
      <c r="LJR9" s="217"/>
      <c r="LJS9" s="217"/>
      <c r="LJT9" s="217"/>
      <c r="LJU9" s="217"/>
      <c r="LJV9" s="217"/>
      <c r="LJW9" s="217"/>
      <c r="LJX9" s="217"/>
      <c r="LJY9" s="217"/>
      <c r="LJZ9" s="217"/>
      <c r="LKA9" s="217"/>
      <c r="LKB9" s="217"/>
      <c r="LKC9" s="217"/>
      <c r="LKD9" s="217"/>
      <c r="LKE9" s="217"/>
      <c r="LKF9" s="217"/>
      <c r="LKG9" s="217"/>
      <c r="LKH9" s="217"/>
      <c r="LKI9" s="217"/>
      <c r="LKJ9" s="217"/>
      <c r="LKK9" s="217"/>
      <c r="LKL9" s="217"/>
      <c r="LKM9" s="217"/>
      <c r="LKN9" s="217"/>
      <c r="LKO9" s="217"/>
      <c r="LKP9" s="217"/>
      <c r="LKQ9" s="217"/>
      <c r="LKR9" s="217"/>
      <c r="LKS9" s="217"/>
      <c r="LKT9" s="217"/>
      <c r="LKU9" s="217"/>
      <c r="LKV9" s="217"/>
      <c r="LKW9" s="217"/>
      <c r="LKX9" s="217"/>
      <c r="LKY9" s="217"/>
      <c r="LKZ9" s="217"/>
      <c r="LLA9" s="217"/>
      <c r="LLB9" s="217"/>
      <c r="LLC9" s="217"/>
      <c r="LLD9" s="217"/>
      <c r="LLE9" s="217"/>
      <c r="LLF9" s="217"/>
      <c r="LLG9" s="217"/>
      <c r="LLH9" s="217"/>
      <c r="LLI9" s="217"/>
      <c r="LLJ9" s="217"/>
      <c r="LLK9" s="217"/>
      <c r="LLL9" s="217"/>
      <c r="LLM9" s="217"/>
      <c r="LLN9" s="217"/>
      <c r="LLO9" s="217"/>
      <c r="LLP9" s="217"/>
      <c r="LLQ9" s="217"/>
      <c r="LLR9" s="217"/>
      <c r="LLS9" s="217"/>
      <c r="LLT9" s="217"/>
      <c r="LLU9" s="217"/>
      <c r="LLV9" s="217"/>
      <c r="LLW9" s="217"/>
      <c r="LLX9" s="217"/>
      <c r="LLY9" s="217"/>
      <c r="LLZ9" s="217"/>
      <c r="LMA9" s="217"/>
      <c r="LMB9" s="217"/>
      <c r="LMC9" s="217"/>
      <c r="LMD9" s="217"/>
      <c r="LME9" s="217"/>
      <c r="LMF9" s="217"/>
      <c r="LMG9" s="217"/>
      <c r="LMH9" s="217"/>
      <c r="LMI9" s="217"/>
      <c r="LMJ9" s="217"/>
      <c r="LMK9" s="217"/>
      <c r="LML9" s="217"/>
      <c r="LMM9" s="217"/>
      <c r="LMN9" s="217"/>
      <c r="LMO9" s="217"/>
      <c r="LMP9" s="217"/>
      <c r="LMQ9" s="217"/>
      <c r="LMR9" s="217"/>
      <c r="LMS9" s="217"/>
      <c r="LMT9" s="217"/>
      <c r="LMU9" s="217"/>
      <c r="LMV9" s="217"/>
      <c r="LMW9" s="217"/>
      <c r="LMX9" s="217"/>
      <c r="LMY9" s="217"/>
      <c r="LMZ9" s="217"/>
      <c r="LNA9" s="217"/>
      <c r="LNB9" s="217"/>
      <c r="LNC9" s="217"/>
      <c r="LND9" s="217"/>
      <c r="LNE9" s="217"/>
      <c r="LNF9" s="217"/>
      <c r="LNG9" s="217"/>
      <c r="LNH9" s="217"/>
      <c r="LNI9" s="217"/>
      <c r="LNJ9" s="217"/>
      <c r="LNK9" s="217"/>
      <c r="LNL9" s="217"/>
      <c r="LNM9" s="217"/>
      <c r="LNN9" s="217"/>
      <c r="LNO9" s="217"/>
      <c r="LNP9" s="217"/>
      <c r="LNQ9" s="217"/>
      <c r="LNR9" s="217"/>
      <c r="LNS9" s="217"/>
      <c r="LNT9" s="217"/>
      <c r="LNU9" s="217"/>
      <c r="LNV9" s="217"/>
      <c r="LNW9" s="217"/>
      <c r="LNX9" s="217"/>
      <c r="LNY9" s="217"/>
      <c r="LNZ9" s="217"/>
      <c r="LOA9" s="217"/>
      <c r="LOB9" s="217"/>
      <c r="LOC9" s="217"/>
      <c r="LOD9" s="217"/>
      <c r="LOE9" s="217"/>
      <c r="LOF9" s="217"/>
      <c r="LOG9" s="217"/>
      <c r="LOH9" s="217"/>
      <c r="LOI9" s="217"/>
      <c r="LOJ9" s="217"/>
      <c r="LOK9" s="217"/>
      <c r="LOL9" s="217"/>
      <c r="LOM9" s="217"/>
      <c r="LON9" s="217"/>
      <c r="LOO9" s="217"/>
      <c r="LOP9" s="217"/>
      <c r="LOQ9" s="217"/>
      <c r="LOR9" s="217"/>
      <c r="LOS9" s="217"/>
      <c r="LOT9" s="217"/>
      <c r="LOU9" s="217"/>
      <c r="LOV9" s="217"/>
      <c r="LOW9" s="217"/>
      <c r="LOX9" s="217"/>
      <c r="LOY9" s="217"/>
      <c r="LOZ9" s="217"/>
      <c r="LPA9" s="217"/>
      <c r="LPB9" s="217"/>
      <c r="LPC9" s="217"/>
      <c r="LPD9" s="217"/>
      <c r="LPE9" s="217"/>
      <c r="LPF9" s="217"/>
      <c r="LPG9" s="217"/>
      <c r="LPH9" s="217"/>
      <c r="LPI9" s="217"/>
      <c r="LPJ9" s="217"/>
      <c r="LPK9" s="217"/>
      <c r="LPL9" s="217"/>
      <c r="LPM9" s="217"/>
      <c r="LPN9" s="217"/>
      <c r="LPO9" s="217"/>
      <c r="LPP9" s="217"/>
      <c r="LPQ9" s="217"/>
      <c r="LPR9" s="217"/>
      <c r="LPS9" s="217"/>
      <c r="LPT9" s="217"/>
      <c r="LPU9" s="217"/>
      <c r="LPV9" s="217"/>
      <c r="LPW9" s="217"/>
      <c r="LPX9" s="217"/>
      <c r="LPY9" s="217"/>
      <c r="LPZ9" s="217"/>
      <c r="LQA9" s="217"/>
      <c r="LQB9" s="217"/>
      <c r="LQC9" s="217"/>
      <c r="LQD9" s="217"/>
      <c r="LQE9" s="217"/>
      <c r="LQF9" s="217"/>
      <c r="LQG9" s="217"/>
      <c r="LQH9" s="217"/>
      <c r="LQI9" s="217"/>
      <c r="LQJ9" s="217"/>
      <c r="LQK9" s="217"/>
      <c r="LQL9" s="217"/>
      <c r="LQM9" s="217"/>
      <c r="LQN9" s="217"/>
      <c r="LQO9" s="217"/>
      <c r="LQP9" s="217"/>
      <c r="LQQ9" s="217"/>
      <c r="LQR9" s="217"/>
      <c r="LQS9" s="217"/>
      <c r="LQT9" s="217"/>
      <c r="LQU9" s="217"/>
      <c r="LQV9" s="217"/>
      <c r="LQW9" s="217"/>
      <c r="LQX9" s="217"/>
      <c r="LQY9" s="217"/>
      <c r="LQZ9" s="217"/>
      <c r="LRA9" s="217"/>
      <c r="LRB9" s="217"/>
      <c r="LRC9" s="217"/>
      <c r="LRD9" s="217"/>
      <c r="LRE9" s="217"/>
      <c r="LRF9" s="217"/>
      <c r="LRG9" s="217"/>
      <c r="LRH9" s="217"/>
      <c r="LRI9" s="217"/>
      <c r="LRJ9" s="217"/>
      <c r="LRK9" s="217"/>
      <c r="LRL9" s="217"/>
      <c r="LRM9" s="217"/>
      <c r="LRN9" s="217"/>
      <c r="LRO9" s="217"/>
      <c r="LRP9" s="217"/>
      <c r="LRQ9" s="217"/>
      <c r="LRR9" s="217"/>
      <c r="LRS9" s="217"/>
      <c r="LRT9" s="217"/>
      <c r="LRU9" s="217"/>
      <c r="LRV9" s="217"/>
      <c r="LRW9" s="217"/>
      <c r="LRX9" s="217"/>
      <c r="LRY9" s="217"/>
      <c r="LRZ9" s="217"/>
      <c r="LSA9" s="217"/>
      <c r="LSB9" s="217"/>
      <c r="LSC9" s="217"/>
      <c r="LSD9" s="217"/>
      <c r="LSE9" s="217"/>
      <c r="LSF9" s="217"/>
      <c r="LSG9" s="217"/>
      <c r="LSH9" s="217"/>
      <c r="LSI9" s="217"/>
      <c r="LSJ9" s="217"/>
      <c r="LSK9" s="217"/>
      <c r="LSL9" s="217"/>
      <c r="LSM9" s="217"/>
      <c r="LSN9" s="217"/>
      <c r="LSO9" s="217"/>
      <c r="LSP9" s="217"/>
      <c r="LSQ9" s="217"/>
      <c r="LSR9" s="217"/>
      <c r="LSS9" s="217"/>
      <c r="LST9" s="217"/>
      <c r="LSU9" s="217"/>
      <c r="LSV9" s="217"/>
      <c r="LSW9" s="217"/>
      <c r="LSX9" s="217"/>
      <c r="LSY9" s="217"/>
      <c r="LSZ9" s="217"/>
      <c r="LTA9" s="217"/>
      <c r="LTB9" s="217"/>
      <c r="LTC9" s="217"/>
      <c r="LTD9" s="217"/>
      <c r="LTE9" s="217"/>
      <c r="LTF9" s="217"/>
      <c r="LTG9" s="217"/>
      <c r="LTH9" s="217"/>
      <c r="LTI9" s="217"/>
      <c r="LTJ9" s="217"/>
      <c r="LTK9" s="217"/>
      <c r="LTL9" s="217"/>
      <c r="LTM9" s="217"/>
      <c r="LTN9" s="217"/>
      <c r="LTO9" s="217"/>
      <c r="LTP9" s="217"/>
      <c r="LTQ9" s="217"/>
      <c r="LTR9" s="217"/>
      <c r="LTS9" s="217"/>
      <c r="LTT9" s="217"/>
      <c r="LTU9" s="217"/>
      <c r="LTV9" s="217"/>
      <c r="LTW9" s="217"/>
      <c r="LTX9" s="217"/>
      <c r="LTY9" s="217"/>
      <c r="LTZ9" s="217"/>
      <c r="LUA9" s="217"/>
      <c r="LUB9" s="217"/>
      <c r="LUC9" s="217"/>
      <c r="LUD9" s="217"/>
      <c r="LUE9" s="217"/>
      <c r="LUF9" s="217"/>
      <c r="LUG9" s="217"/>
      <c r="LUH9" s="217"/>
      <c r="LUI9" s="217"/>
      <c r="LUJ9" s="217"/>
      <c r="LUK9" s="217"/>
      <c r="LUL9" s="217"/>
      <c r="LUM9" s="217"/>
      <c r="LUN9" s="217"/>
      <c r="LUO9" s="217"/>
      <c r="LUP9" s="217"/>
      <c r="LUQ9" s="217"/>
      <c r="LUR9" s="217"/>
      <c r="LUS9" s="217"/>
      <c r="LUT9" s="217"/>
      <c r="LUU9" s="217"/>
      <c r="LUV9" s="217"/>
      <c r="LUW9" s="217"/>
      <c r="LUX9" s="217"/>
      <c r="LUY9" s="217"/>
      <c r="LUZ9" s="217"/>
      <c r="LVA9" s="217"/>
      <c r="LVB9" s="217"/>
      <c r="LVC9" s="217"/>
      <c r="LVD9" s="217"/>
      <c r="LVE9" s="217"/>
      <c r="LVF9" s="217"/>
      <c r="LVG9" s="217"/>
      <c r="LVH9" s="217"/>
      <c r="LVI9" s="217"/>
      <c r="LVJ9" s="217"/>
      <c r="LVK9" s="217"/>
      <c r="LVL9" s="217"/>
      <c r="LVM9" s="217"/>
      <c r="LVN9" s="217"/>
      <c r="LVO9" s="217"/>
      <c r="LVP9" s="217"/>
      <c r="LVQ9" s="217"/>
      <c r="LVR9" s="217"/>
      <c r="LVS9" s="217"/>
      <c r="LVT9" s="217"/>
      <c r="LVU9" s="217"/>
      <c r="LVV9" s="217"/>
      <c r="LVW9" s="217"/>
      <c r="LVX9" s="217"/>
      <c r="LVY9" s="217"/>
      <c r="LVZ9" s="217"/>
      <c r="LWA9" s="217"/>
      <c r="LWB9" s="217"/>
      <c r="LWC9" s="217"/>
      <c r="LWD9" s="217"/>
      <c r="LWE9" s="217"/>
      <c r="LWF9" s="217"/>
      <c r="LWG9" s="217"/>
      <c r="LWH9" s="217"/>
      <c r="LWI9" s="217"/>
      <c r="LWJ9" s="217"/>
      <c r="LWK9" s="217"/>
      <c r="LWL9" s="217"/>
      <c r="LWM9" s="217"/>
      <c r="LWN9" s="217"/>
      <c r="LWO9" s="217"/>
      <c r="LWP9" s="217"/>
      <c r="LWQ9" s="217"/>
      <c r="LWR9" s="217"/>
      <c r="LWS9" s="217"/>
      <c r="LWT9" s="217"/>
      <c r="LWU9" s="217"/>
      <c r="LWV9" s="217"/>
      <c r="LWW9" s="217"/>
      <c r="LWX9" s="217"/>
      <c r="LWY9" s="217"/>
      <c r="LWZ9" s="217"/>
      <c r="LXA9" s="217"/>
      <c r="LXB9" s="217"/>
      <c r="LXC9" s="217"/>
      <c r="LXD9" s="217"/>
      <c r="LXE9" s="217"/>
      <c r="LXF9" s="217"/>
      <c r="LXG9" s="217"/>
      <c r="LXH9" s="217"/>
      <c r="LXI9" s="217"/>
      <c r="LXJ9" s="217"/>
      <c r="LXK9" s="217"/>
      <c r="LXL9" s="217"/>
      <c r="LXM9" s="217"/>
      <c r="LXN9" s="217"/>
      <c r="LXO9" s="217"/>
      <c r="LXP9" s="217"/>
      <c r="LXQ9" s="217"/>
      <c r="LXR9" s="217"/>
      <c r="LXS9" s="217"/>
      <c r="LXT9" s="217"/>
      <c r="LXU9" s="217"/>
      <c r="LXV9" s="217"/>
      <c r="LXW9" s="217"/>
      <c r="LXX9" s="217"/>
      <c r="LXY9" s="217"/>
      <c r="LXZ9" s="217"/>
      <c r="LYA9" s="217"/>
      <c r="LYB9" s="217"/>
      <c r="LYC9" s="217"/>
      <c r="LYD9" s="217"/>
      <c r="LYE9" s="217"/>
      <c r="LYF9" s="217"/>
      <c r="LYG9" s="217"/>
      <c r="LYH9" s="217"/>
      <c r="LYI9" s="217"/>
      <c r="LYJ9" s="217"/>
      <c r="LYK9" s="217"/>
      <c r="LYL9" s="217"/>
      <c r="LYM9" s="217"/>
      <c r="LYN9" s="217"/>
      <c r="LYO9" s="217"/>
      <c r="LYP9" s="217"/>
      <c r="LYQ9" s="217"/>
      <c r="LYR9" s="217"/>
      <c r="LYS9" s="217"/>
      <c r="LYT9" s="217"/>
      <c r="LYU9" s="217"/>
      <c r="LYV9" s="217"/>
      <c r="LYW9" s="217"/>
      <c r="LYX9" s="217"/>
      <c r="LYY9" s="217"/>
      <c r="LYZ9" s="217"/>
      <c r="LZA9" s="217"/>
      <c r="LZB9" s="217"/>
      <c r="LZC9" s="217"/>
      <c r="LZD9" s="217"/>
      <c r="LZE9" s="217"/>
      <c r="LZF9" s="217"/>
      <c r="LZG9" s="217"/>
      <c r="LZH9" s="217"/>
      <c r="LZI9" s="217"/>
      <c r="LZJ9" s="217"/>
      <c r="LZK9" s="217"/>
      <c r="LZL9" s="217"/>
      <c r="LZM9" s="217"/>
      <c r="LZN9" s="217"/>
      <c r="LZO9" s="217"/>
      <c r="LZP9" s="217"/>
      <c r="LZQ9" s="217"/>
      <c r="LZR9" s="217"/>
      <c r="LZS9" s="217"/>
      <c r="LZT9" s="217"/>
      <c r="LZU9" s="217"/>
      <c r="LZV9" s="217"/>
      <c r="LZW9" s="217"/>
      <c r="LZX9" s="217"/>
      <c r="LZY9" s="217"/>
      <c r="LZZ9" s="217"/>
      <c r="MAA9" s="217"/>
      <c r="MAB9" s="217"/>
      <c r="MAC9" s="217"/>
      <c r="MAD9" s="217"/>
      <c r="MAE9" s="217"/>
      <c r="MAF9" s="217"/>
      <c r="MAG9" s="217"/>
      <c r="MAH9" s="217"/>
      <c r="MAI9" s="217"/>
      <c r="MAJ9" s="217"/>
      <c r="MAK9" s="217"/>
      <c r="MAL9" s="217"/>
      <c r="MAM9" s="217"/>
      <c r="MAN9" s="217"/>
      <c r="MAO9" s="217"/>
      <c r="MAP9" s="217"/>
      <c r="MAQ9" s="217"/>
      <c r="MAR9" s="217"/>
      <c r="MAS9" s="217"/>
      <c r="MAT9" s="217"/>
      <c r="MAU9" s="217"/>
      <c r="MAV9" s="217"/>
      <c r="MAW9" s="217"/>
      <c r="MAX9" s="217"/>
      <c r="MAY9" s="217"/>
      <c r="MAZ9" s="217"/>
      <c r="MBA9" s="217"/>
      <c r="MBB9" s="217"/>
      <c r="MBC9" s="217"/>
      <c r="MBD9" s="217"/>
      <c r="MBE9" s="217"/>
      <c r="MBF9" s="217"/>
      <c r="MBG9" s="217"/>
      <c r="MBH9" s="217"/>
      <c r="MBI9" s="217"/>
      <c r="MBJ9" s="217"/>
      <c r="MBK9" s="217"/>
      <c r="MBL9" s="217"/>
      <c r="MBM9" s="217"/>
      <c r="MBN9" s="217"/>
      <c r="MBO9" s="217"/>
      <c r="MBP9" s="217"/>
      <c r="MBQ9" s="217"/>
      <c r="MBR9" s="217"/>
      <c r="MBS9" s="217"/>
      <c r="MBT9" s="217"/>
      <c r="MBU9" s="217"/>
      <c r="MBV9" s="217"/>
      <c r="MBW9" s="217"/>
      <c r="MBX9" s="217"/>
      <c r="MBY9" s="217"/>
      <c r="MBZ9" s="217"/>
      <c r="MCA9" s="217"/>
      <c r="MCB9" s="217"/>
      <c r="MCC9" s="217"/>
      <c r="MCD9" s="217"/>
      <c r="MCE9" s="217"/>
      <c r="MCF9" s="217"/>
      <c r="MCG9" s="217"/>
      <c r="MCH9" s="217"/>
      <c r="MCI9" s="217"/>
      <c r="MCJ9" s="217"/>
      <c r="MCK9" s="217"/>
      <c r="MCL9" s="217"/>
      <c r="MCM9" s="217"/>
      <c r="MCN9" s="217"/>
      <c r="MCO9" s="217"/>
      <c r="MCP9" s="217"/>
      <c r="MCQ9" s="217"/>
      <c r="MCR9" s="217"/>
      <c r="MCS9" s="217"/>
      <c r="MCT9" s="217"/>
      <c r="MCU9" s="217"/>
      <c r="MCV9" s="217"/>
      <c r="MCW9" s="217"/>
      <c r="MCX9" s="217"/>
      <c r="MCY9" s="217"/>
      <c r="MCZ9" s="217"/>
      <c r="MDA9" s="217"/>
      <c r="MDB9" s="217"/>
      <c r="MDC9" s="217"/>
      <c r="MDD9" s="217"/>
      <c r="MDE9" s="217"/>
      <c r="MDF9" s="217"/>
      <c r="MDG9" s="217"/>
      <c r="MDH9" s="217"/>
      <c r="MDI9" s="217"/>
      <c r="MDJ9" s="217"/>
      <c r="MDK9" s="217"/>
      <c r="MDL9" s="217"/>
      <c r="MDM9" s="217"/>
      <c r="MDN9" s="217"/>
      <c r="MDO9" s="217"/>
      <c r="MDP9" s="217"/>
      <c r="MDQ9" s="217"/>
      <c r="MDR9" s="217"/>
      <c r="MDS9" s="217"/>
      <c r="MDT9" s="217"/>
      <c r="MDU9" s="217"/>
      <c r="MDV9" s="217"/>
      <c r="MDW9" s="217"/>
      <c r="MDX9" s="217"/>
      <c r="MDY9" s="217"/>
      <c r="MDZ9" s="217"/>
      <c r="MEA9" s="217"/>
      <c r="MEB9" s="217"/>
      <c r="MEC9" s="217"/>
      <c r="MED9" s="217"/>
      <c r="MEE9" s="217"/>
      <c r="MEF9" s="217"/>
      <c r="MEG9" s="217"/>
      <c r="MEH9" s="217"/>
      <c r="MEI9" s="217"/>
      <c r="MEJ9" s="217"/>
      <c r="MEK9" s="217"/>
      <c r="MEL9" s="217"/>
      <c r="MEM9" s="217"/>
      <c r="MEN9" s="217"/>
      <c r="MEO9" s="217"/>
      <c r="MEP9" s="217"/>
      <c r="MEQ9" s="217"/>
      <c r="MER9" s="217"/>
      <c r="MES9" s="217"/>
      <c r="MET9" s="217"/>
      <c r="MEU9" s="217"/>
      <c r="MEV9" s="217"/>
      <c r="MEW9" s="217"/>
      <c r="MEX9" s="217"/>
      <c r="MEY9" s="217"/>
      <c r="MEZ9" s="217"/>
      <c r="MFA9" s="217"/>
      <c r="MFB9" s="217"/>
      <c r="MFC9" s="217"/>
      <c r="MFD9" s="217"/>
      <c r="MFE9" s="217"/>
      <c r="MFF9" s="217"/>
      <c r="MFG9" s="217"/>
      <c r="MFH9" s="217"/>
      <c r="MFI9" s="217"/>
      <c r="MFJ9" s="217"/>
      <c r="MFK9" s="217"/>
      <c r="MFL9" s="217"/>
      <c r="MFM9" s="217"/>
      <c r="MFN9" s="217"/>
      <c r="MFO9" s="217"/>
      <c r="MFP9" s="217"/>
      <c r="MFQ9" s="217"/>
      <c r="MFR9" s="217"/>
      <c r="MFS9" s="217"/>
      <c r="MFT9" s="217"/>
      <c r="MFU9" s="217"/>
      <c r="MFV9" s="217"/>
      <c r="MFW9" s="217"/>
      <c r="MFX9" s="217"/>
      <c r="MFY9" s="217"/>
      <c r="MFZ9" s="217"/>
      <c r="MGA9" s="217"/>
      <c r="MGB9" s="217"/>
      <c r="MGC9" s="217"/>
      <c r="MGD9" s="217"/>
      <c r="MGE9" s="217"/>
      <c r="MGF9" s="217"/>
      <c r="MGG9" s="217"/>
      <c r="MGH9" s="217"/>
      <c r="MGI9" s="217"/>
      <c r="MGJ9" s="217"/>
      <c r="MGK9" s="217"/>
      <c r="MGL9" s="217"/>
      <c r="MGM9" s="217"/>
      <c r="MGN9" s="217"/>
      <c r="MGO9" s="217"/>
      <c r="MGP9" s="217"/>
      <c r="MGQ9" s="217"/>
      <c r="MGR9" s="217"/>
      <c r="MGS9" s="217"/>
      <c r="MGT9" s="217"/>
      <c r="MGU9" s="217"/>
      <c r="MGV9" s="217"/>
      <c r="MGW9" s="217"/>
      <c r="MGX9" s="217"/>
      <c r="MGY9" s="217"/>
      <c r="MGZ9" s="217"/>
      <c r="MHA9" s="217"/>
      <c r="MHB9" s="217"/>
      <c r="MHC9" s="217"/>
      <c r="MHD9" s="217"/>
      <c r="MHE9" s="217"/>
      <c r="MHF9" s="217"/>
      <c r="MHG9" s="217"/>
      <c r="MHH9" s="217"/>
      <c r="MHI9" s="217"/>
      <c r="MHJ9" s="217"/>
      <c r="MHK9" s="217"/>
      <c r="MHL9" s="217"/>
      <c r="MHM9" s="217"/>
      <c r="MHN9" s="217"/>
      <c r="MHO9" s="217"/>
      <c r="MHP9" s="217"/>
      <c r="MHQ9" s="217"/>
      <c r="MHR9" s="217"/>
      <c r="MHS9" s="217"/>
      <c r="MHT9" s="217"/>
      <c r="MHU9" s="217"/>
      <c r="MHV9" s="217"/>
      <c r="MHW9" s="217"/>
      <c r="MHX9" s="217"/>
      <c r="MHY9" s="217"/>
      <c r="MHZ9" s="217"/>
      <c r="MIA9" s="217"/>
      <c r="MIB9" s="217"/>
      <c r="MIC9" s="217"/>
      <c r="MID9" s="217"/>
      <c r="MIE9" s="217"/>
      <c r="MIF9" s="217"/>
      <c r="MIG9" s="217"/>
      <c r="MIH9" s="217"/>
      <c r="MII9" s="217"/>
      <c r="MIJ9" s="217"/>
      <c r="MIK9" s="217"/>
      <c r="MIL9" s="217"/>
      <c r="MIM9" s="217"/>
      <c r="MIN9" s="217"/>
      <c r="MIO9" s="217"/>
      <c r="MIP9" s="217"/>
      <c r="MIQ9" s="217"/>
      <c r="MIR9" s="217"/>
      <c r="MIS9" s="217"/>
      <c r="MIT9" s="217"/>
      <c r="MIU9" s="217"/>
      <c r="MIV9" s="217"/>
      <c r="MIW9" s="217"/>
      <c r="MIX9" s="217"/>
      <c r="MIY9" s="217"/>
      <c r="MIZ9" s="217"/>
      <c r="MJA9" s="217"/>
      <c r="MJB9" s="217"/>
      <c r="MJC9" s="217"/>
      <c r="MJD9" s="217"/>
      <c r="MJE9" s="217"/>
      <c r="MJF9" s="217"/>
      <c r="MJG9" s="217"/>
      <c r="MJH9" s="217"/>
      <c r="MJI9" s="217"/>
      <c r="MJJ9" s="217"/>
      <c r="MJK9" s="217"/>
      <c r="MJL9" s="217"/>
      <c r="MJM9" s="217"/>
      <c r="MJN9" s="217"/>
      <c r="MJO9" s="217"/>
      <c r="MJP9" s="217"/>
      <c r="MJQ9" s="217"/>
      <c r="MJR9" s="217"/>
      <c r="MJS9" s="217"/>
      <c r="MJT9" s="217"/>
      <c r="MJU9" s="217"/>
      <c r="MJV9" s="217"/>
      <c r="MJW9" s="217"/>
      <c r="MJX9" s="217"/>
      <c r="MJY9" s="217"/>
      <c r="MJZ9" s="217"/>
      <c r="MKA9" s="217"/>
      <c r="MKB9" s="217"/>
      <c r="MKC9" s="217"/>
      <c r="MKD9" s="217"/>
      <c r="MKE9" s="217"/>
      <c r="MKF9" s="217"/>
      <c r="MKG9" s="217"/>
      <c r="MKH9" s="217"/>
      <c r="MKI9" s="217"/>
      <c r="MKJ9" s="217"/>
      <c r="MKK9" s="217"/>
      <c r="MKL9" s="217"/>
      <c r="MKM9" s="217"/>
      <c r="MKN9" s="217"/>
      <c r="MKO9" s="217"/>
      <c r="MKP9" s="217"/>
      <c r="MKQ9" s="217"/>
      <c r="MKR9" s="217"/>
      <c r="MKS9" s="217"/>
      <c r="MKT9" s="217"/>
      <c r="MKU9" s="217"/>
      <c r="MKV9" s="217"/>
      <c r="MKW9" s="217"/>
      <c r="MKX9" s="217"/>
      <c r="MKY9" s="217"/>
      <c r="MKZ9" s="217"/>
      <c r="MLA9" s="217"/>
      <c r="MLB9" s="217"/>
      <c r="MLC9" s="217"/>
      <c r="MLD9" s="217"/>
      <c r="MLE9" s="217"/>
      <c r="MLF9" s="217"/>
      <c r="MLG9" s="217"/>
      <c r="MLH9" s="217"/>
      <c r="MLI9" s="217"/>
      <c r="MLJ9" s="217"/>
      <c r="MLK9" s="217"/>
      <c r="MLL9" s="217"/>
      <c r="MLM9" s="217"/>
      <c r="MLN9" s="217"/>
      <c r="MLO9" s="217"/>
      <c r="MLP9" s="217"/>
      <c r="MLQ9" s="217"/>
      <c r="MLR9" s="217"/>
      <c r="MLS9" s="217"/>
      <c r="MLT9" s="217"/>
      <c r="MLU9" s="217"/>
      <c r="MLV9" s="217"/>
      <c r="MLW9" s="217"/>
      <c r="MLX9" s="217"/>
      <c r="MLY9" s="217"/>
      <c r="MLZ9" s="217"/>
      <c r="MMA9" s="217"/>
      <c r="MMB9" s="217"/>
      <c r="MMC9" s="217"/>
      <c r="MMD9" s="217"/>
      <c r="MME9" s="217"/>
      <c r="MMF9" s="217"/>
      <c r="MMG9" s="217"/>
      <c r="MMH9" s="217"/>
      <c r="MMI9" s="217"/>
      <c r="MMJ9" s="217"/>
      <c r="MMK9" s="217"/>
      <c r="MML9" s="217"/>
      <c r="MMM9" s="217"/>
      <c r="MMN9" s="217"/>
      <c r="MMO9" s="217"/>
      <c r="MMP9" s="217"/>
      <c r="MMQ9" s="217"/>
      <c r="MMR9" s="217"/>
      <c r="MMS9" s="217"/>
      <c r="MMT9" s="217"/>
      <c r="MMU9" s="217"/>
      <c r="MMV9" s="217"/>
      <c r="MMW9" s="217"/>
      <c r="MMX9" s="217"/>
      <c r="MMY9" s="217"/>
      <c r="MMZ9" s="217"/>
      <c r="MNA9" s="217"/>
      <c r="MNB9" s="217"/>
      <c r="MNC9" s="217"/>
      <c r="MND9" s="217"/>
      <c r="MNE9" s="217"/>
      <c r="MNF9" s="217"/>
      <c r="MNG9" s="217"/>
      <c r="MNH9" s="217"/>
      <c r="MNI9" s="217"/>
      <c r="MNJ9" s="217"/>
      <c r="MNK9" s="217"/>
      <c r="MNL9" s="217"/>
      <c r="MNM9" s="217"/>
      <c r="MNN9" s="217"/>
      <c r="MNO9" s="217"/>
      <c r="MNP9" s="217"/>
      <c r="MNQ9" s="217"/>
      <c r="MNR9" s="217"/>
      <c r="MNS9" s="217"/>
      <c r="MNT9" s="217"/>
      <c r="MNU9" s="217"/>
      <c r="MNV9" s="217"/>
      <c r="MNW9" s="217"/>
      <c r="MNX9" s="217"/>
      <c r="MNY9" s="217"/>
      <c r="MNZ9" s="217"/>
      <c r="MOA9" s="217"/>
      <c r="MOB9" s="217"/>
      <c r="MOC9" s="217"/>
      <c r="MOD9" s="217"/>
      <c r="MOE9" s="217"/>
      <c r="MOF9" s="217"/>
      <c r="MOG9" s="217"/>
      <c r="MOH9" s="217"/>
      <c r="MOI9" s="217"/>
      <c r="MOJ9" s="217"/>
      <c r="MOK9" s="217"/>
      <c r="MOL9" s="217"/>
      <c r="MOM9" s="217"/>
      <c r="MON9" s="217"/>
      <c r="MOO9" s="217"/>
      <c r="MOP9" s="217"/>
      <c r="MOQ9" s="217"/>
      <c r="MOR9" s="217"/>
      <c r="MOS9" s="217"/>
      <c r="MOT9" s="217"/>
      <c r="MOU9" s="217"/>
      <c r="MOV9" s="217"/>
      <c r="MOW9" s="217"/>
      <c r="MOX9" s="217"/>
      <c r="MOY9" s="217"/>
      <c r="MOZ9" s="217"/>
      <c r="MPA9" s="217"/>
      <c r="MPB9" s="217"/>
      <c r="MPC9" s="217"/>
      <c r="MPD9" s="217"/>
      <c r="MPE9" s="217"/>
      <c r="MPF9" s="217"/>
      <c r="MPG9" s="217"/>
      <c r="MPH9" s="217"/>
      <c r="MPI9" s="217"/>
      <c r="MPJ9" s="217"/>
      <c r="MPK9" s="217"/>
      <c r="MPL9" s="217"/>
      <c r="MPM9" s="217"/>
      <c r="MPN9" s="217"/>
      <c r="MPO9" s="217"/>
      <c r="MPP9" s="217"/>
      <c r="MPQ9" s="217"/>
      <c r="MPR9" s="217"/>
      <c r="MPS9" s="217"/>
      <c r="MPT9" s="217"/>
      <c r="MPU9" s="217"/>
      <c r="MPV9" s="217"/>
      <c r="MPW9" s="217"/>
      <c r="MPX9" s="217"/>
      <c r="MPY9" s="217"/>
      <c r="MPZ9" s="217"/>
      <c r="MQA9" s="217"/>
      <c r="MQB9" s="217"/>
      <c r="MQC9" s="217"/>
      <c r="MQD9" s="217"/>
      <c r="MQE9" s="217"/>
      <c r="MQF9" s="217"/>
      <c r="MQG9" s="217"/>
      <c r="MQH9" s="217"/>
      <c r="MQI9" s="217"/>
      <c r="MQJ9" s="217"/>
      <c r="MQK9" s="217"/>
      <c r="MQL9" s="217"/>
      <c r="MQM9" s="217"/>
      <c r="MQN9" s="217"/>
      <c r="MQO9" s="217"/>
      <c r="MQP9" s="217"/>
      <c r="MQQ9" s="217"/>
      <c r="MQR9" s="217"/>
      <c r="MQS9" s="217"/>
      <c r="MQT9" s="217"/>
      <c r="MQU9" s="217"/>
      <c r="MQV9" s="217"/>
      <c r="MQW9" s="217"/>
      <c r="MQX9" s="217"/>
      <c r="MQY9" s="217"/>
      <c r="MQZ9" s="217"/>
      <c r="MRA9" s="217"/>
      <c r="MRB9" s="217"/>
      <c r="MRC9" s="217"/>
      <c r="MRD9" s="217"/>
      <c r="MRE9" s="217"/>
      <c r="MRF9" s="217"/>
      <c r="MRG9" s="217"/>
      <c r="MRH9" s="217"/>
      <c r="MRI9" s="217"/>
      <c r="MRJ9" s="217"/>
      <c r="MRK9" s="217"/>
      <c r="MRL9" s="217"/>
      <c r="MRM9" s="217"/>
      <c r="MRN9" s="217"/>
      <c r="MRO9" s="217"/>
      <c r="MRP9" s="217"/>
      <c r="MRQ9" s="217"/>
      <c r="MRR9" s="217"/>
      <c r="MRS9" s="217"/>
      <c r="MRT9" s="217"/>
      <c r="MRU9" s="217"/>
      <c r="MRV9" s="217"/>
      <c r="MRW9" s="217"/>
      <c r="MRX9" s="217"/>
      <c r="MRY9" s="217"/>
      <c r="MRZ9" s="217"/>
      <c r="MSA9" s="217"/>
      <c r="MSB9" s="217"/>
      <c r="MSC9" s="217"/>
      <c r="MSD9" s="217"/>
      <c r="MSE9" s="217"/>
      <c r="MSF9" s="217"/>
      <c r="MSG9" s="217"/>
      <c r="MSH9" s="217"/>
      <c r="MSI9" s="217"/>
      <c r="MSJ9" s="217"/>
      <c r="MSK9" s="217"/>
      <c r="MSL9" s="217"/>
      <c r="MSM9" s="217"/>
      <c r="MSN9" s="217"/>
      <c r="MSO9" s="217"/>
      <c r="MSP9" s="217"/>
      <c r="MSQ9" s="217"/>
      <c r="MSR9" s="217"/>
      <c r="MSS9" s="217"/>
      <c r="MST9" s="217"/>
      <c r="MSU9" s="217"/>
      <c r="MSV9" s="217"/>
      <c r="MSW9" s="217"/>
      <c r="MSX9" s="217"/>
      <c r="MSY9" s="217"/>
      <c r="MSZ9" s="217"/>
      <c r="MTA9" s="217"/>
      <c r="MTB9" s="217"/>
      <c r="MTC9" s="217"/>
      <c r="MTD9" s="217"/>
      <c r="MTE9" s="217"/>
      <c r="MTF9" s="217"/>
      <c r="MTG9" s="217"/>
      <c r="MTH9" s="217"/>
      <c r="MTI9" s="217"/>
      <c r="MTJ9" s="217"/>
      <c r="MTK9" s="217"/>
      <c r="MTL9" s="217"/>
      <c r="MTM9" s="217"/>
      <c r="MTN9" s="217"/>
      <c r="MTO9" s="217"/>
      <c r="MTP9" s="217"/>
      <c r="MTQ9" s="217"/>
      <c r="MTR9" s="217"/>
      <c r="MTS9" s="217"/>
      <c r="MTT9" s="217"/>
      <c r="MTU9" s="217"/>
      <c r="MTV9" s="217"/>
      <c r="MTW9" s="217"/>
      <c r="MTX9" s="217"/>
      <c r="MTY9" s="217"/>
      <c r="MTZ9" s="217"/>
      <c r="MUA9" s="217"/>
      <c r="MUB9" s="217"/>
      <c r="MUC9" s="217"/>
      <c r="MUD9" s="217"/>
      <c r="MUE9" s="217"/>
      <c r="MUF9" s="217"/>
      <c r="MUG9" s="217"/>
      <c r="MUH9" s="217"/>
      <c r="MUI9" s="217"/>
      <c r="MUJ9" s="217"/>
      <c r="MUK9" s="217"/>
      <c r="MUL9" s="217"/>
      <c r="MUM9" s="217"/>
      <c r="MUN9" s="217"/>
      <c r="MUO9" s="217"/>
      <c r="MUP9" s="217"/>
      <c r="MUQ9" s="217"/>
      <c r="MUR9" s="217"/>
      <c r="MUS9" s="217"/>
      <c r="MUT9" s="217"/>
      <c r="MUU9" s="217"/>
      <c r="MUV9" s="217"/>
      <c r="MUW9" s="217"/>
      <c r="MUX9" s="217"/>
      <c r="MUY9" s="217"/>
      <c r="MUZ9" s="217"/>
      <c r="MVA9" s="217"/>
      <c r="MVB9" s="217"/>
      <c r="MVC9" s="217"/>
      <c r="MVD9" s="217"/>
      <c r="MVE9" s="217"/>
      <c r="MVF9" s="217"/>
      <c r="MVG9" s="217"/>
      <c r="MVH9" s="217"/>
      <c r="MVI9" s="217"/>
      <c r="MVJ9" s="217"/>
      <c r="MVK9" s="217"/>
      <c r="MVL9" s="217"/>
      <c r="MVM9" s="217"/>
      <c r="MVN9" s="217"/>
      <c r="MVO9" s="217"/>
      <c r="MVP9" s="217"/>
      <c r="MVQ9" s="217"/>
      <c r="MVR9" s="217"/>
      <c r="MVS9" s="217"/>
      <c r="MVT9" s="217"/>
      <c r="MVU9" s="217"/>
      <c r="MVV9" s="217"/>
      <c r="MVW9" s="217"/>
      <c r="MVX9" s="217"/>
      <c r="MVY9" s="217"/>
      <c r="MVZ9" s="217"/>
      <c r="MWA9" s="217"/>
      <c r="MWB9" s="217"/>
      <c r="MWC9" s="217"/>
      <c r="MWD9" s="217"/>
      <c r="MWE9" s="217"/>
      <c r="MWF9" s="217"/>
      <c r="MWG9" s="217"/>
      <c r="MWH9" s="217"/>
      <c r="MWI9" s="217"/>
      <c r="MWJ9" s="217"/>
      <c r="MWK9" s="217"/>
      <c r="MWL9" s="217"/>
      <c r="MWM9" s="217"/>
      <c r="MWN9" s="217"/>
      <c r="MWO9" s="217"/>
      <c r="MWP9" s="217"/>
      <c r="MWQ9" s="217"/>
      <c r="MWR9" s="217"/>
      <c r="MWS9" s="217"/>
      <c r="MWT9" s="217"/>
      <c r="MWU9" s="217"/>
      <c r="MWV9" s="217"/>
      <c r="MWW9" s="217"/>
      <c r="MWX9" s="217"/>
      <c r="MWY9" s="217"/>
      <c r="MWZ9" s="217"/>
      <c r="MXA9" s="217"/>
      <c r="MXB9" s="217"/>
      <c r="MXC9" s="217"/>
      <c r="MXD9" s="217"/>
      <c r="MXE9" s="217"/>
      <c r="MXF9" s="217"/>
      <c r="MXG9" s="217"/>
      <c r="MXH9" s="217"/>
      <c r="MXI9" s="217"/>
      <c r="MXJ9" s="217"/>
      <c r="MXK9" s="217"/>
      <c r="MXL9" s="217"/>
      <c r="MXM9" s="217"/>
      <c r="MXN9" s="217"/>
      <c r="MXO9" s="217"/>
      <c r="MXP9" s="217"/>
      <c r="MXQ9" s="217"/>
      <c r="MXR9" s="217"/>
      <c r="MXS9" s="217"/>
      <c r="MXT9" s="217"/>
      <c r="MXU9" s="217"/>
      <c r="MXV9" s="217"/>
      <c r="MXW9" s="217"/>
      <c r="MXX9" s="217"/>
      <c r="MXY9" s="217"/>
      <c r="MXZ9" s="217"/>
      <c r="MYA9" s="217"/>
      <c r="MYB9" s="217"/>
      <c r="MYC9" s="217"/>
      <c r="MYD9" s="217"/>
      <c r="MYE9" s="217"/>
      <c r="MYF9" s="217"/>
      <c r="MYG9" s="217"/>
      <c r="MYH9" s="217"/>
      <c r="MYI9" s="217"/>
      <c r="MYJ9" s="217"/>
      <c r="MYK9" s="217"/>
      <c r="MYL9" s="217"/>
      <c r="MYM9" s="217"/>
      <c r="MYN9" s="217"/>
      <c r="MYO9" s="217"/>
      <c r="MYP9" s="217"/>
      <c r="MYQ9" s="217"/>
      <c r="MYR9" s="217"/>
      <c r="MYS9" s="217"/>
      <c r="MYT9" s="217"/>
      <c r="MYU9" s="217"/>
      <c r="MYV9" s="217"/>
      <c r="MYW9" s="217"/>
      <c r="MYX9" s="217"/>
      <c r="MYY9" s="217"/>
      <c r="MYZ9" s="217"/>
      <c r="MZA9" s="217"/>
      <c r="MZB9" s="217"/>
      <c r="MZC9" s="217"/>
      <c r="MZD9" s="217"/>
      <c r="MZE9" s="217"/>
      <c r="MZF9" s="217"/>
      <c r="MZG9" s="217"/>
      <c r="MZH9" s="217"/>
      <c r="MZI9" s="217"/>
      <c r="MZJ9" s="217"/>
      <c r="MZK9" s="217"/>
      <c r="MZL9" s="217"/>
      <c r="MZM9" s="217"/>
      <c r="MZN9" s="217"/>
      <c r="MZO9" s="217"/>
      <c r="MZP9" s="217"/>
      <c r="MZQ9" s="217"/>
      <c r="MZR9" s="217"/>
      <c r="MZS9" s="217"/>
      <c r="MZT9" s="217"/>
      <c r="MZU9" s="217"/>
      <c r="MZV9" s="217"/>
      <c r="MZW9" s="217"/>
      <c r="MZX9" s="217"/>
      <c r="MZY9" s="217"/>
      <c r="MZZ9" s="217"/>
      <c r="NAA9" s="217"/>
      <c r="NAB9" s="217"/>
      <c r="NAC9" s="217"/>
      <c r="NAD9" s="217"/>
      <c r="NAE9" s="217"/>
      <c r="NAF9" s="217"/>
      <c r="NAG9" s="217"/>
      <c r="NAH9" s="217"/>
      <c r="NAI9" s="217"/>
      <c r="NAJ9" s="217"/>
      <c r="NAK9" s="217"/>
      <c r="NAL9" s="217"/>
      <c r="NAM9" s="217"/>
      <c r="NAN9" s="217"/>
      <c r="NAO9" s="217"/>
      <c r="NAP9" s="217"/>
      <c r="NAQ9" s="217"/>
      <c r="NAR9" s="217"/>
      <c r="NAS9" s="217"/>
      <c r="NAT9" s="217"/>
      <c r="NAU9" s="217"/>
      <c r="NAV9" s="217"/>
      <c r="NAW9" s="217"/>
      <c r="NAX9" s="217"/>
      <c r="NAY9" s="217"/>
      <c r="NAZ9" s="217"/>
      <c r="NBA9" s="217"/>
      <c r="NBB9" s="217"/>
      <c r="NBC9" s="217"/>
      <c r="NBD9" s="217"/>
      <c r="NBE9" s="217"/>
      <c r="NBF9" s="217"/>
      <c r="NBG9" s="217"/>
      <c r="NBH9" s="217"/>
      <c r="NBI9" s="217"/>
      <c r="NBJ9" s="217"/>
      <c r="NBK9" s="217"/>
      <c r="NBL9" s="217"/>
      <c r="NBM9" s="217"/>
      <c r="NBN9" s="217"/>
      <c r="NBO9" s="217"/>
      <c r="NBP9" s="217"/>
      <c r="NBQ9" s="217"/>
      <c r="NBR9" s="217"/>
      <c r="NBS9" s="217"/>
      <c r="NBT9" s="217"/>
      <c r="NBU9" s="217"/>
      <c r="NBV9" s="217"/>
      <c r="NBW9" s="217"/>
      <c r="NBX9" s="217"/>
      <c r="NBY9" s="217"/>
      <c r="NBZ9" s="217"/>
      <c r="NCA9" s="217"/>
      <c r="NCB9" s="217"/>
      <c r="NCC9" s="217"/>
      <c r="NCD9" s="217"/>
      <c r="NCE9" s="217"/>
      <c r="NCF9" s="217"/>
      <c r="NCG9" s="217"/>
      <c r="NCH9" s="217"/>
      <c r="NCI9" s="217"/>
      <c r="NCJ9" s="217"/>
      <c r="NCK9" s="217"/>
      <c r="NCL9" s="217"/>
      <c r="NCM9" s="217"/>
      <c r="NCN9" s="217"/>
      <c r="NCO9" s="217"/>
      <c r="NCP9" s="217"/>
      <c r="NCQ9" s="217"/>
      <c r="NCR9" s="217"/>
      <c r="NCS9" s="217"/>
      <c r="NCT9" s="217"/>
      <c r="NCU9" s="217"/>
      <c r="NCV9" s="217"/>
      <c r="NCW9" s="217"/>
      <c r="NCX9" s="217"/>
      <c r="NCY9" s="217"/>
      <c r="NCZ9" s="217"/>
      <c r="NDA9" s="217"/>
      <c r="NDB9" s="217"/>
      <c r="NDC9" s="217"/>
      <c r="NDD9" s="217"/>
      <c r="NDE9" s="217"/>
      <c r="NDF9" s="217"/>
      <c r="NDG9" s="217"/>
      <c r="NDH9" s="217"/>
      <c r="NDI9" s="217"/>
      <c r="NDJ9" s="217"/>
      <c r="NDK9" s="217"/>
      <c r="NDL9" s="217"/>
      <c r="NDM9" s="217"/>
      <c r="NDN9" s="217"/>
      <c r="NDO9" s="217"/>
      <c r="NDP9" s="217"/>
      <c r="NDQ9" s="217"/>
      <c r="NDR9" s="217"/>
      <c r="NDS9" s="217"/>
      <c r="NDT9" s="217"/>
      <c r="NDU9" s="217"/>
      <c r="NDV9" s="217"/>
      <c r="NDW9" s="217"/>
      <c r="NDX9" s="217"/>
      <c r="NDY9" s="217"/>
      <c r="NDZ9" s="217"/>
      <c r="NEA9" s="217"/>
      <c r="NEB9" s="217"/>
      <c r="NEC9" s="217"/>
      <c r="NED9" s="217"/>
      <c r="NEE9" s="217"/>
      <c r="NEF9" s="217"/>
      <c r="NEG9" s="217"/>
      <c r="NEH9" s="217"/>
      <c r="NEI9" s="217"/>
      <c r="NEJ9" s="217"/>
      <c r="NEK9" s="217"/>
      <c r="NEL9" s="217"/>
      <c r="NEM9" s="217"/>
      <c r="NEN9" s="217"/>
      <c r="NEO9" s="217"/>
      <c r="NEP9" s="217"/>
      <c r="NEQ9" s="217"/>
      <c r="NER9" s="217"/>
      <c r="NES9" s="217"/>
      <c r="NET9" s="217"/>
      <c r="NEU9" s="217"/>
      <c r="NEV9" s="217"/>
      <c r="NEW9" s="217"/>
      <c r="NEX9" s="217"/>
      <c r="NEY9" s="217"/>
      <c r="NEZ9" s="217"/>
      <c r="NFA9" s="217"/>
      <c r="NFB9" s="217"/>
      <c r="NFC9" s="217"/>
      <c r="NFD9" s="217"/>
      <c r="NFE9" s="217"/>
      <c r="NFF9" s="217"/>
      <c r="NFG9" s="217"/>
      <c r="NFH9" s="217"/>
      <c r="NFI9" s="217"/>
      <c r="NFJ9" s="217"/>
      <c r="NFK9" s="217"/>
      <c r="NFL9" s="217"/>
      <c r="NFM9" s="217"/>
      <c r="NFN9" s="217"/>
      <c r="NFO9" s="217"/>
      <c r="NFP9" s="217"/>
      <c r="NFQ9" s="217"/>
      <c r="NFR9" s="217"/>
      <c r="NFS9" s="217"/>
      <c r="NFT9" s="217"/>
      <c r="NFU9" s="217"/>
      <c r="NFV9" s="217"/>
      <c r="NFW9" s="217"/>
      <c r="NFX9" s="217"/>
      <c r="NFY9" s="217"/>
      <c r="NFZ9" s="217"/>
      <c r="NGA9" s="217"/>
      <c r="NGB9" s="217"/>
      <c r="NGC9" s="217"/>
      <c r="NGD9" s="217"/>
      <c r="NGE9" s="217"/>
      <c r="NGF9" s="217"/>
      <c r="NGG9" s="217"/>
      <c r="NGH9" s="217"/>
      <c r="NGI9" s="217"/>
      <c r="NGJ9" s="217"/>
      <c r="NGK9" s="217"/>
      <c r="NGL9" s="217"/>
      <c r="NGM9" s="217"/>
      <c r="NGN9" s="217"/>
      <c r="NGO9" s="217"/>
      <c r="NGP9" s="217"/>
      <c r="NGQ9" s="217"/>
      <c r="NGR9" s="217"/>
      <c r="NGS9" s="217"/>
      <c r="NGT9" s="217"/>
      <c r="NGU9" s="217"/>
      <c r="NGV9" s="217"/>
      <c r="NGW9" s="217"/>
      <c r="NGX9" s="217"/>
      <c r="NGY9" s="217"/>
      <c r="NGZ9" s="217"/>
      <c r="NHA9" s="217"/>
      <c r="NHB9" s="217"/>
      <c r="NHC9" s="217"/>
      <c r="NHD9" s="217"/>
      <c r="NHE9" s="217"/>
      <c r="NHF9" s="217"/>
      <c r="NHG9" s="217"/>
      <c r="NHH9" s="217"/>
      <c r="NHI9" s="217"/>
      <c r="NHJ9" s="217"/>
      <c r="NHK9" s="217"/>
      <c r="NHL9" s="217"/>
      <c r="NHM9" s="217"/>
      <c r="NHN9" s="217"/>
      <c r="NHO9" s="217"/>
      <c r="NHP9" s="217"/>
      <c r="NHQ9" s="217"/>
      <c r="NHR9" s="217"/>
      <c r="NHS9" s="217"/>
      <c r="NHT9" s="217"/>
      <c r="NHU9" s="217"/>
      <c r="NHV9" s="217"/>
      <c r="NHW9" s="217"/>
      <c r="NHX9" s="217"/>
      <c r="NHY9" s="217"/>
      <c r="NHZ9" s="217"/>
      <c r="NIA9" s="217"/>
      <c r="NIB9" s="217"/>
      <c r="NIC9" s="217"/>
      <c r="NID9" s="217"/>
      <c r="NIE9" s="217"/>
      <c r="NIF9" s="217"/>
      <c r="NIG9" s="217"/>
      <c r="NIH9" s="217"/>
      <c r="NII9" s="217"/>
      <c r="NIJ9" s="217"/>
      <c r="NIK9" s="217"/>
      <c r="NIL9" s="217"/>
      <c r="NIM9" s="217"/>
      <c r="NIN9" s="217"/>
      <c r="NIO9" s="217"/>
      <c r="NIP9" s="217"/>
      <c r="NIQ9" s="217"/>
      <c r="NIR9" s="217"/>
      <c r="NIS9" s="217"/>
      <c r="NIT9" s="217"/>
      <c r="NIU9" s="217"/>
      <c r="NIV9" s="217"/>
      <c r="NIW9" s="217"/>
      <c r="NIX9" s="217"/>
      <c r="NIY9" s="217"/>
      <c r="NIZ9" s="217"/>
      <c r="NJA9" s="217"/>
      <c r="NJB9" s="217"/>
      <c r="NJC9" s="217"/>
      <c r="NJD9" s="217"/>
      <c r="NJE9" s="217"/>
      <c r="NJF9" s="217"/>
      <c r="NJG9" s="217"/>
      <c r="NJH9" s="217"/>
      <c r="NJI9" s="217"/>
      <c r="NJJ9" s="217"/>
      <c r="NJK9" s="217"/>
      <c r="NJL9" s="217"/>
      <c r="NJM9" s="217"/>
      <c r="NJN9" s="217"/>
      <c r="NJO9" s="217"/>
      <c r="NJP9" s="217"/>
      <c r="NJQ9" s="217"/>
      <c r="NJR9" s="217"/>
      <c r="NJS9" s="217"/>
      <c r="NJT9" s="217"/>
      <c r="NJU9" s="217"/>
      <c r="NJV9" s="217"/>
      <c r="NJW9" s="217"/>
      <c r="NJX9" s="217"/>
      <c r="NJY9" s="217"/>
      <c r="NJZ9" s="217"/>
      <c r="NKA9" s="217"/>
      <c r="NKB9" s="217"/>
      <c r="NKC9" s="217"/>
      <c r="NKD9" s="217"/>
      <c r="NKE9" s="217"/>
      <c r="NKF9" s="217"/>
      <c r="NKG9" s="217"/>
      <c r="NKH9" s="217"/>
      <c r="NKI9" s="217"/>
      <c r="NKJ9" s="217"/>
      <c r="NKK9" s="217"/>
      <c r="NKL9" s="217"/>
      <c r="NKM9" s="217"/>
      <c r="NKN9" s="217"/>
      <c r="NKO9" s="217"/>
      <c r="NKP9" s="217"/>
      <c r="NKQ9" s="217"/>
      <c r="NKR9" s="217"/>
      <c r="NKS9" s="217"/>
      <c r="NKT9" s="217"/>
      <c r="NKU9" s="217"/>
      <c r="NKV9" s="217"/>
      <c r="NKW9" s="217"/>
      <c r="NKX9" s="217"/>
      <c r="NKY9" s="217"/>
      <c r="NKZ9" s="217"/>
      <c r="NLA9" s="217"/>
      <c r="NLB9" s="217"/>
      <c r="NLC9" s="217"/>
      <c r="NLD9" s="217"/>
      <c r="NLE9" s="217"/>
      <c r="NLF9" s="217"/>
      <c r="NLG9" s="217"/>
      <c r="NLH9" s="217"/>
      <c r="NLI9" s="217"/>
      <c r="NLJ9" s="217"/>
      <c r="NLK9" s="217"/>
      <c r="NLL9" s="217"/>
      <c r="NLM9" s="217"/>
      <c r="NLN9" s="217"/>
      <c r="NLO9" s="217"/>
      <c r="NLP9" s="217"/>
      <c r="NLQ9" s="217"/>
      <c r="NLR9" s="217"/>
      <c r="NLS9" s="217"/>
      <c r="NLT9" s="217"/>
      <c r="NLU9" s="217"/>
      <c r="NLV9" s="217"/>
      <c r="NLW9" s="217"/>
      <c r="NLX9" s="217"/>
      <c r="NLY9" s="217"/>
      <c r="NLZ9" s="217"/>
      <c r="NMA9" s="217"/>
      <c r="NMB9" s="217"/>
      <c r="NMC9" s="217"/>
      <c r="NMD9" s="217"/>
      <c r="NME9" s="217"/>
      <c r="NMF9" s="217"/>
      <c r="NMG9" s="217"/>
      <c r="NMH9" s="217"/>
      <c r="NMI9" s="217"/>
      <c r="NMJ9" s="217"/>
      <c r="NMK9" s="217"/>
      <c r="NML9" s="217"/>
      <c r="NMM9" s="217"/>
      <c r="NMN9" s="217"/>
      <c r="NMO9" s="217"/>
      <c r="NMP9" s="217"/>
      <c r="NMQ9" s="217"/>
      <c r="NMR9" s="217"/>
      <c r="NMS9" s="217"/>
      <c r="NMT9" s="217"/>
      <c r="NMU9" s="217"/>
      <c r="NMV9" s="217"/>
      <c r="NMW9" s="217"/>
      <c r="NMX9" s="217"/>
      <c r="NMY9" s="217"/>
      <c r="NMZ9" s="217"/>
      <c r="NNA9" s="217"/>
      <c r="NNB9" s="217"/>
      <c r="NNC9" s="217"/>
      <c r="NND9" s="217"/>
      <c r="NNE9" s="217"/>
      <c r="NNF9" s="217"/>
      <c r="NNG9" s="217"/>
      <c r="NNH9" s="217"/>
      <c r="NNI9" s="217"/>
      <c r="NNJ9" s="217"/>
      <c r="NNK9" s="217"/>
      <c r="NNL9" s="217"/>
      <c r="NNM9" s="217"/>
      <c r="NNN9" s="217"/>
      <c r="NNO9" s="217"/>
      <c r="NNP9" s="217"/>
      <c r="NNQ9" s="217"/>
      <c r="NNR9" s="217"/>
      <c r="NNS9" s="217"/>
      <c r="NNT9" s="217"/>
      <c r="NNU9" s="217"/>
      <c r="NNV9" s="217"/>
      <c r="NNW9" s="217"/>
      <c r="NNX9" s="217"/>
      <c r="NNY9" s="217"/>
      <c r="NNZ9" s="217"/>
      <c r="NOA9" s="217"/>
      <c r="NOB9" s="217"/>
      <c r="NOC9" s="217"/>
      <c r="NOD9" s="217"/>
      <c r="NOE9" s="217"/>
      <c r="NOF9" s="217"/>
      <c r="NOG9" s="217"/>
      <c r="NOH9" s="217"/>
      <c r="NOI9" s="217"/>
      <c r="NOJ9" s="217"/>
      <c r="NOK9" s="217"/>
      <c r="NOL9" s="217"/>
      <c r="NOM9" s="217"/>
      <c r="NON9" s="217"/>
      <c r="NOO9" s="217"/>
      <c r="NOP9" s="217"/>
      <c r="NOQ9" s="217"/>
      <c r="NOR9" s="217"/>
      <c r="NOS9" s="217"/>
      <c r="NOT9" s="217"/>
      <c r="NOU9" s="217"/>
      <c r="NOV9" s="217"/>
      <c r="NOW9" s="217"/>
      <c r="NOX9" s="217"/>
      <c r="NOY9" s="217"/>
      <c r="NOZ9" s="217"/>
      <c r="NPA9" s="217"/>
      <c r="NPB9" s="217"/>
      <c r="NPC9" s="217"/>
      <c r="NPD9" s="217"/>
      <c r="NPE9" s="217"/>
      <c r="NPF9" s="217"/>
      <c r="NPG9" s="217"/>
      <c r="NPH9" s="217"/>
      <c r="NPI9" s="217"/>
      <c r="NPJ9" s="217"/>
      <c r="NPK9" s="217"/>
      <c r="NPL9" s="217"/>
      <c r="NPM9" s="217"/>
      <c r="NPN9" s="217"/>
      <c r="NPO9" s="217"/>
      <c r="NPP9" s="217"/>
      <c r="NPQ9" s="217"/>
      <c r="NPR9" s="217"/>
      <c r="NPS9" s="217"/>
      <c r="NPT9" s="217"/>
      <c r="NPU9" s="217"/>
      <c r="NPV9" s="217"/>
      <c r="NPW9" s="217"/>
      <c r="NPX9" s="217"/>
      <c r="NPY9" s="217"/>
      <c r="NPZ9" s="217"/>
      <c r="NQA9" s="217"/>
      <c r="NQB9" s="217"/>
      <c r="NQC9" s="217"/>
      <c r="NQD9" s="217"/>
      <c r="NQE9" s="217"/>
      <c r="NQF9" s="217"/>
      <c r="NQG9" s="217"/>
      <c r="NQH9" s="217"/>
      <c r="NQI9" s="217"/>
      <c r="NQJ9" s="217"/>
      <c r="NQK9" s="217"/>
      <c r="NQL9" s="217"/>
      <c r="NQM9" s="217"/>
      <c r="NQN9" s="217"/>
      <c r="NQO9" s="217"/>
      <c r="NQP9" s="217"/>
      <c r="NQQ9" s="217"/>
      <c r="NQR9" s="217"/>
      <c r="NQS9" s="217"/>
      <c r="NQT9" s="217"/>
      <c r="NQU9" s="217"/>
      <c r="NQV9" s="217"/>
      <c r="NQW9" s="217"/>
      <c r="NQX9" s="217"/>
      <c r="NQY9" s="217"/>
      <c r="NQZ9" s="217"/>
      <c r="NRA9" s="217"/>
      <c r="NRB9" s="217"/>
      <c r="NRC9" s="217"/>
      <c r="NRD9" s="217"/>
      <c r="NRE9" s="217"/>
      <c r="NRF9" s="217"/>
      <c r="NRG9" s="217"/>
      <c r="NRH9" s="217"/>
      <c r="NRI9" s="217"/>
      <c r="NRJ9" s="217"/>
      <c r="NRK9" s="217"/>
      <c r="NRL9" s="217"/>
      <c r="NRM9" s="217"/>
      <c r="NRN9" s="217"/>
      <c r="NRO9" s="217"/>
      <c r="NRP9" s="217"/>
      <c r="NRQ9" s="217"/>
      <c r="NRR9" s="217"/>
      <c r="NRS9" s="217"/>
      <c r="NRT9" s="217"/>
      <c r="NRU9" s="217"/>
      <c r="NRV9" s="217"/>
      <c r="NRW9" s="217"/>
      <c r="NRX9" s="217"/>
      <c r="NRY9" s="217"/>
      <c r="NRZ9" s="217"/>
      <c r="NSA9" s="217"/>
      <c r="NSB9" s="217"/>
      <c r="NSC9" s="217"/>
      <c r="NSD9" s="217"/>
      <c r="NSE9" s="217"/>
      <c r="NSF9" s="217"/>
      <c r="NSG9" s="217"/>
      <c r="NSH9" s="217"/>
      <c r="NSI9" s="217"/>
      <c r="NSJ9" s="217"/>
      <c r="NSK9" s="217"/>
      <c r="NSL9" s="217"/>
      <c r="NSM9" s="217"/>
      <c r="NSN9" s="217"/>
      <c r="NSO9" s="217"/>
      <c r="NSP9" s="217"/>
      <c r="NSQ9" s="217"/>
      <c r="NSR9" s="217"/>
      <c r="NSS9" s="217"/>
      <c r="NST9" s="217"/>
      <c r="NSU9" s="217"/>
      <c r="NSV9" s="217"/>
      <c r="NSW9" s="217"/>
      <c r="NSX9" s="217"/>
      <c r="NSY9" s="217"/>
      <c r="NSZ9" s="217"/>
      <c r="NTA9" s="217"/>
      <c r="NTB9" s="217"/>
      <c r="NTC9" s="217"/>
      <c r="NTD9" s="217"/>
      <c r="NTE9" s="217"/>
      <c r="NTF9" s="217"/>
      <c r="NTG9" s="217"/>
      <c r="NTH9" s="217"/>
      <c r="NTI9" s="217"/>
      <c r="NTJ9" s="217"/>
      <c r="NTK9" s="217"/>
      <c r="NTL9" s="217"/>
      <c r="NTM9" s="217"/>
      <c r="NTN9" s="217"/>
      <c r="NTO9" s="217"/>
      <c r="NTP9" s="217"/>
      <c r="NTQ9" s="217"/>
      <c r="NTR9" s="217"/>
      <c r="NTS9" s="217"/>
      <c r="NTT9" s="217"/>
      <c r="NTU9" s="217"/>
      <c r="NTV9" s="217"/>
      <c r="NTW9" s="217"/>
      <c r="NTX9" s="217"/>
      <c r="NTY9" s="217"/>
      <c r="NTZ9" s="217"/>
      <c r="NUA9" s="217"/>
      <c r="NUB9" s="217"/>
      <c r="NUC9" s="217"/>
      <c r="NUD9" s="217"/>
      <c r="NUE9" s="217"/>
      <c r="NUF9" s="217"/>
      <c r="NUG9" s="217"/>
      <c r="NUH9" s="217"/>
      <c r="NUI9" s="217"/>
      <c r="NUJ9" s="217"/>
      <c r="NUK9" s="217"/>
      <c r="NUL9" s="217"/>
      <c r="NUM9" s="217"/>
      <c r="NUN9" s="217"/>
      <c r="NUO9" s="217"/>
      <c r="NUP9" s="217"/>
      <c r="NUQ9" s="217"/>
      <c r="NUR9" s="217"/>
      <c r="NUS9" s="217"/>
      <c r="NUT9" s="217"/>
      <c r="NUU9" s="217"/>
      <c r="NUV9" s="217"/>
      <c r="NUW9" s="217"/>
      <c r="NUX9" s="217"/>
      <c r="NUY9" s="217"/>
      <c r="NUZ9" s="217"/>
      <c r="NVA9" s="217"/>
      <c r="NVB9" s="217"/>
      <c r="NVC9" s="217"/>
      <c r="NVD9" s="217"/>
      <c r="NVE9" s="217"/>
      <c r="NVF9" s="217"/>
      <c r="NVG9" s="217"/>
      <c r="NVH9" s="217"/>
      <c r="NVI9" s="217"/>
      <c r="NVJ9" s="217"/>
      <c r="NVK9" s="217"/>
      <c r="NVL9" s="217"/>
      <c r="NVM9" s="217"/>
      <c r="NVN9" s="217"/>
      <c r="NVO9" s="217"/>
      <c r="NVP9" s="217"/>
      <c r="NVQ9" s="217"/>
      <c r="NVR9" s="217"/>
      <c r="NVS9" s="217"/>
      <c r="NVT9" s="217"/>
      <c r="NVU9" s="217"/>
      <c r="NVV9" s="217"/>
      <c r="NVW9" s="217"/>
      <c r="NVX9" s="217"/>
      <c r="NVY9" s="217"/>
      <c r="NVZ9" s="217"/>
      <c r="NWA9" s="217"/>
      <c r="NWB9" s="217"/>
      <c r="NWC9" s="217"/>
      <c r="NWD9" s="217"/>
      <c r="NWE9" s="217"/>
      <c r="NWF9" s="217"/>
      <c r="NWG9" s="217"/>
      <c r="NWH9" s="217"/>
      <c r="NWI9" s="217"/>
      <c r="NWJ9" s="217"/>
      <c r="NWK9" s="217"/>
      <c r="NWL9" s="217"/>
      <c r="NWM9" s="217"/>
      <c r="NWN9" s="217"/>
      <c r="NWO9" s="217"/>
      <c r="NWP9" s="217"/>
      <c r="NWQ9" s="217"/>
      <c r="NWR9" s="217"/>
      <c r="NWS9" s="217"/>
      <c r="NWT9" s="217"/>
      <c r="NWU9" s="217"/>
      <c r="NWV9" s="217"/>
      <c r="NWW9" s="217"/>
      <c r="NWX9" s="217"/>
      <c r="NWY9" s="217"/>
      <c r="NWZ9" s="217"/>
      <c r="NXA9" s="217"/>
      <c r="NXB9" s="217"/>
      <c r="NXC9" s="217"/>
      <c r="NXD9" s="217"/>
      <c r="NXE9" s="217"/>
      <c r="NXF9" s="217"/>
      <c r="NXG9" s="217"/>
      <c r="NXH9" s="217"/>
      <c r="NXI9" s="217"/>
      <c r="NXJ9" s="217"/>
      <c r="NXK9" s="217"/>
      <c r="NXL9" s="217"/>
      <c r="NXM9" s="217"/>
      <c r="NXN9" s="217"/>
      <c r="NXO9" s="217"/>
      <c r="NXP9" s="217"/>
      <c r="NXQ9" s="217"/>
      <c r="NXR9" s="217"/>
      <c r="NXS9" s="217"/>
      <c r="NXT9" s="217"/>
      <c r="NXU9" s="217"/>
      <c r="NXV9" s="217"/>
      <c r="NXW9" s="217"/>
      <c r="NXX9" s="217"/>
      <c r="NXY9" s="217"/>
      <c r="NXZ9" s="217"/>
      <c r="NYA9" s="217"/>
      <c r="NYB9" s="217"/>
      <c r="NYC9" s="217"/>
      <c r="NYD9" s="217"/>
      <c r="NYE9" s="217"/>
      <c r="NYF9" s="217"/>
      <c r="NYG9" s="217"/>
      <c r="NYH9" s="217"/>
      <c r="NYI9" s="217"/>
      <c r="NYJ9" s="217"/>
      <c r="NYK9" s="217"/>
      <c r="NYL9" s="217"/>
      <c r="NYM9" s="217"/>
      <c r="NYN9" s="217"/>
      <c r="NYO9" s="217"/>
      <c r="NYP9" s="217"/>
      <c r="NYQ9" s="217"/>
      <c r="NYR9" s="217"/>
      <c r="NYS9" s="217"/>
      <c r="NYT9" s="217"/>
      <c r="NYU9" s="217"/>
      <c r="NYV9" s="217"/>
      <c r="NYW9" s="217"/>
      <c r="NYX9" s="217"/>
      <c r="NYY9" s="217"/>
      <c r="NYZ9" s="217"/>
      <c r="NZA9" s="217"/>
      <c r="NZB9" s="217"/>
      <c r="NZC9" s="217"/>
      <c r="NZD9" s="217"/>
      <c r="NZE9" s="217"/>
      <c r="NZF9" s="217"/>
      <c r="NZG9" s="217"/>
      <c r="NZH9" s="217"/>
      <c r="NZI9" s="217"/>
      <c r="NZJ9" s="217"/>
      <c r="NZK9" s="217"/>
      <c r="NZL9" s="217"/>
      <c r="NZM9" s="217"/>
      <c r="NZN9" s="217"/>
      <c r="NZO9" s="217"/>
      <c r="NZP9" s="217"/>
      <c r="NZQ9" s="217"/>
      <c r="NZR9" s="217"/>
      <c r="NZS9" s="217"/>
      <c r="NZT9" s="217"/>
      <c r="NZU9" s="217"/>
      <c r="NZV9" s="217"/>
      <c r="NZW9" s="217"/>
      <c r="NZX9" s="217"/>
      <c r="NZY9" s="217"/>
      <c r="NZZ9" s="217"/>
      <c r="OAA9" s="217"/>
      <c r="OAB9" s="217"/>
      <c r="OAC9" s="217"/>
      <c r="OAD9" s="217"/>
      <c r="OAE9" s="217"/>
      <c r="OAF9" s="217"/>
      <c r="OAG9" s="217"/>
      <c r="OAH9" s="217"/>
      <c r="OAI9" s="217"/>
      <c r="OAJ9" s="217"/>
      <c r="OAK9" s="217"/>
      <c r="OAL9" s="217"/>
      <c r="OAM9" s="217"/>
      <c r="OAN9" s="217"/>
      <c r="OAO9" s="217"/>
      <c r="OAP9" s="217"/>
      <c r="OAQ9" s="217"/>
      <c r="OAR9" s="217"/>
      <c r="OAS9" s="217"/>
      <c r="OAT9" s="217"/>
      <c r="OAU9" s="217"/>
      <c r="OAV9" s="217"/>
      <c r="OAW9" s="217"/>
      <c r="OAX9" s="217"/>
      <c r="OAY9" s="217"/>
      <c r="OAZ9" s="217"/>
      <c r="OBA9" s="217"/>
      <c r="OBB9" s="217"/>
      <c r="OBC9" s="217"/>
      <c r="OBD9" s="217"/>
      <c r="OBE9" s="217"/>
      <c r="OBF9" s="217"/>
      <c r="OBG9" s="217"/>
      <c r="OBH9" s="217"/>
      <c r="OBI9" s="217"/>
      <c r="OBJ9" s="217"/>
      <c r="OBK9" s="217"/>
      <c r="OBL9" s="217"/>
      <c r="OBM9" s="217"/>
      <c r="OBN9" s="217"/>
      <c r="OBO9" s="217"/>
      <c r="OBP9" s="217"/>
      <c r="OBQ9" s="217"/>
      <c r="OBR9" s="217"/>
      <c r="OBS9" s="217"/>
      <c r="OBT9" s="217"/>
      <c r="OBU9" s="217"/>
      <c r="OBV9" s="217"/>
      <c r="OBW9" s="217"/>
      <c r="OBX9" s="217"/>
      <c r="OBY9" s="217"/>
      <c r="OBZ9" s="217"/>
      <c r="OCA9" s="217"/>
      <c r="OCB9" s="217"/>
      <c r="OCC9" s="217"/>
      <c r="OCD9" s="217"/>
      <c r="OCE9" s="217"/>
      <c r="OCF9" s="217"/>
      <c r="OCG9" s="217"/>
      <c r="OCH9" s="217"/>
      <c r="OCI9" s="217"/>
      <c r="OCJ9" s="217"/>
      <c r="OCK9" s="217"/>
      <c r="OCL9" s="217"/>
      <c r="OCM9" s="217"/>
      <c r="OCN9" s="217"/>
      <c r="OCO9" s="217"/>
      <c r="OCP9" s="217"/>
      <c r="OCQ9" s="217"/>
      <c r="OCR9" s="217"/>
      <c r="OCS9" s="217"/>
      <c r="OCT9" s="217"/>
      <c r="OCU9" s="217"/>
      <c r="OCV9" s="217"/>
      <c r="OCW9" s="217"/>
      <c r="OCX9" s="217"/>
      <c r="OCY9" s="217"/>
      <c r="OCZ9" s="217"/>
      <c r="ODA9" s="217"/>
      <c r="ODB9" s="217"/>
      <c r="ODC9" s="217"/>
      <c r="ODD9" s="217"/>
      <c r="ODE9" s="217"/>
      <c r="ODF9" s="217"/>
      <c r="ODG9" s="217"/>
      <c r="ODH9" s="217"/>
      <c r="ODI9" s="217"/>
      <c r="ODJ9" s="217"/>
      <c r="ODK9" s="217"/>
      <c r="ODL9" s="217"/>
      <c r="ODM9" s="217"/>
      <c r="ODN9" s="217"/>
      <c r="ODO9" s="217"/>
      <c r="ODP9" s="217"/>
      <c r="ODQ9" s="217"/>
      <c r="ODR9" s="217"/>
      <c r="ODS9" s="217"/>
      <c r="ODT9" s="217"/>
      <c r="ODU9" s="217"/>
      <c r="ODV9" s="217"/>
      <c r="ODW9" s="217"/>
      <c r="ODX9" s="217"/>
      <c r="ODY9" s="217"/>
      <c r="ODZ9" s="217"/>
      <c r="OEA9" s="217"/>
      <c r="OEB9" s="217"/>
      <c r="OEC9" s="217"/>
      <c r="OED9" s="217"/>
      <c r="OEE9" s="217"/>
      <c r="OEF9" s="217"/>
      <c r="OEG9" s="217"/>
      <c r="OEH9" s="217"/>
      <c r="OEI9" s="217"/>
      <c r="OEJ9" s="217"/>
      <c r="OEK9" s="217"/>
      <c r="OEL9" s="217"/>
      <c r="OEM9" s="217"/>
      <c r="OEN9" s="217"/>
      <c r="OEO9" s="217"/>
      <c r="OEP9" s="217"/>
      <c r="OEQ9" s="217"/>
      <c r="OER9" s="217"/>
      <c r="OES9" s="217"/>
      <c r="OET9" s="217"/>
      <c r="OEU9" s="217"/>
      <c r="OEV9" s="217"/>
      <c r="OEW9" s="217"/>
      <c r="OEX9" s="217"/>
      <c r="OEY9" s="217"/>
      <c r="OEZ9" s="217"/>
      <c r="OFA9" s="217"/>
      <c r="OFB9" s="217"/>
      <c r="OFC9" s="217"/>
      <c r="OFD9" s="217"/>
      <c r="OFE9" s="217"/>
      <c r="OFF9" s="217"/>
      <c r="OFG9" s="217"/>
      <c r="OFH9" s="217"/>
      <c r="OFI9" s="217"/>
      <c r="OFJ9" s="217"/>
      <c r="OFK9" s="217"/>
      <c r="OFL9" s="217"/>
      <c r="OFM9" s="217"/>
      <c r="OFN9" s="217"/>
      <c r="OFO9" s="217"/>
      <c r="OFP9" s="217"/>
      <c r="OFQ9" s="217"/>
      <c r="OFR9" s="217"/>
      <c r="OFS9" s="217"/>
      <c r="OFT9" s="217"/>
      <c r="OFU9" s="217"/>
      <c r="OFV9" s="217"/>
      <c r="OFW9" s="217"/>
      <c r="OFX9" s="217"/>
      <c r="OFY9" s="217"/>
      <c r="OFZ9" s="217"/>
      <c r="OGA9" s="217"/>
      <c r="OGB9" s="217"/>
      <c r="OGC9" s="217"/>
      <c r="OGD9" s="217"/>
      <c r="OGE9" s="217"/>
      <c r="OGF9" s="217"/>
      <c r="OGG9" s="217"/>
      <c r="OGH9" s="217"/>
      <c r="OGI9" s="217"/>
      <c r="OGJ9" s="217"/>
      <c r="OGK9" s="217"/>
      <c r="OGL9" s="217"/>
      <c r="OGM9" s="217"/>
      <c r="OGN9" s="217"/>
      <c r="OGO9" s="217"/>
      <c r="OGP9" s="217"/>
      <c r="OGQ9" s="217"/>
      <c r="OGR9" s="217"/>
      <c r="OGS9" s="217"/>
      <c r="OGT9" s="217"/>
      <c r="OGU9" s="217"/>
      <c r="OGV9" s="217"/>
      <c r="OGW9" s="217"/>
      <c r="OGX9" s="217"/>
      <c r="OGY9" s="217"/>
      <c r="OGZ9" s="217"/>
      <c r="OHA9" s="217"/>
      <c r="OHB9" s="217"/>
      <c r="OHC9" s="217"/>
      <c r="OHD9" s="217"/>
      <c r="OHE9" s="217"/>
      <c r="OHF9" s="217"/>
      <c r="OHG9" s="217"/>
      <c r="OHH9" s="217"/>
      <c r="OHI9" s="217"/>
      <c r="OHJ9" s="217"/>
      <c r="OHK9" s="217"/>
      <c r="OHL9" s="217"/>
      <c r="OHM9" s="217"/>
      <c r="OHN9" s="217"/>
      <c r="OHO9" s="217"/>
      <c r="OHP9" s="217"/>
      <c r="OHQ9" s="217"/>
      <c r="OHR9" s="217"/>
      <c r="OHS9" s="217"/>
      <c r="OHT9" s="217"/>
      <c r="OHU9" s="217"/>
      <c r="OHV9" s="217"/>
      <c r="OHW9" s="217"/>
      <c r="OHX9" s="217"/>
      <c r="OHY9" s="217"/>
      <c r="OHZ9" s="217"/>
      <c r="OIA9" s="217"/>
      <c r="OIB9" s="217"/>
      <c r="OIC9" s="217"/>
      <c r="OID9" s="217"/>
      <c r="OIE9" s="217"/>
      <c r="OIF9" s="217"/>
      <c r="OIG9" s="217"/>
      <c r="OIH9" s="217"/>
      <c r="OII9" s="217"/>
      <c r="OIJ9" s="217"/>
      <c r="OIK9" s="217"/>
      <c r="OIL9" s="217"/>
      <c r="OIM9" s="217"/>
      <c r="OIN9" s="217"/>
      <c r="OIO9" s="217"/>
      <c r="OIP9" s="217"/>
      <c r="OIQ9" s="217"/>
      <c r="OIR9" s="217"/>
      <c r="OIS9" s="217"/>
      <c r="OIT9" s="217"/>
      <c r="OIU9" s="217"/>
      <c r="OIV9" s="217"/>
      <c r="OIW9" s="217"/>
      <c r="OIX9" s="217"/>
      <c r="OIY9" s="217"/>
      <c r="OIZ9" s="217"/>
      <c r="OJA9" s="217"/>
      <c r="OJB9" s="217"/>
      <c r="OJC9" s="217"/>
      <c r="OJD9" s="217"/>
      <c r="OJE9" s="217"/>
      <c r="OJF9" s="217"/>
      <c r="OJG9" s="217"/>
      <c r="OJH9" s="217"/>
      <c r="OJI9" s="217"/>
      <c r="OJJ9" s="217"/>
      <c r="OJK9" s="217"/>
      <c r="OJL9" s="217"/>
      <c r="OJM9" s="217"/>
      <c r="OJN9" s="217"/>
      <c r="OJO9" s="217"/>
      <c r="OJP9" s="217"/>
      <c r="OJQ9" s="217"/>
      <c r="OJR9" s="217"/>
      <c r="OJS9" s="217"/>
      <c r="OJT9" s="217"/>
      <c r="OJU9" s="217"/>
      <c r="OJV9" s="217"/>
      <c r="OJW9" s="217"/>
      <c r="OJX9" s="217"/>
      <c r="OJY9" s="217"/>
      <c r="OJZ9" s="217"/>
      <c r="OKA9" s="217"/>
      <c r="OKB9" s="217"/>
      <c r="OKC9" s="217"/>
      <c r="OKD9" s="217"/>
      <c r="OKE9" s="217"/>
      <c r="OKF9" s="217"/>
      <c r="OKG9" s="217"/>
      <c r="OKH9" s="217"/>
      <c r="OKI9" s="217"/>
      <c r="OKJ9" s="217"/>
      <c r="OKK9" s="217"/>
      <c r="OKL9" s="217"/>
      <c r="OKM9" s="217"/>
      <c r="OKN9" s="217"/>
      <c r="OKO9" s="217"/>
      <c r="OKP9" s="217"/>
      <c r="OKQ9" s="217"/>
      <c r="OKR9" s="217"/>
      <c r="OKS9" s="217"/>
      <c r="OKT9" s="217"/>
      <c r="OKU9" s="217"/>
      <c r="OKV9" s="217"/>
      <c r="OKW9" s="217"/>
      <c r="OKX9" s="217"/>
      <c r="OKY9" s="217"/>
      <c r="OKZ9" s="217"/>
      <c r="OLA9" s="217"/>
      <c r="OLB9" s="217"/>
      <c r="OLC9" s="217"/>
      <c r="OLD9" s="217"/>
      <c r="OLE9" s="217"/>
      <c r="OLF9" s="217"/>
      <c r="OLG9" s="217"/>
      <c r="OLH9" s="217"/>
      <c r="OLI9" s="217"/>
      <c r="OLJ9" s="217"/>
      <c r="OLK9" s="217"/>
      <c r="OLL9" s="217"/>
      <c r="OLM9" s="217"/>
      <c r="OLN9" s="217"/>
      <c r="OLO9" s="217"/>
      <c r="OLP9" s="217"/>
      <c r="OLQ9" s="217"/>
      <c r="OLR9" s="217"/>
      <c r="OLS9" s="217"/>
      <c r="OLT9" s="217"/>
      <c r="OLU9" s="217"/>
      <c r="OLV9" s="217"/>
      <c r="OLW9" s="217"/>
      <c r="OLX9" s="217"/>
      <c r="OLY9" s="217"/>
      <c r="OLZ9" s="217"/>
      <c r="OMA9" s="217"/>
      <c r="OMB9" s="217"/>
      <c r="OMC9" s="217"/>
      <c r="OMD9" s="217"/>
      <c r="OME9" s="217"/>
      <c r="OMF9" s="217"/>
      <c r="OMG9" s="217"/>
      <c r="OMH9" s="217"/>
      <c r="OMI9" s="217"/>
      <c r="OMJ9" s="217"/>
      <c r="OMK9" s="217"/>
      <c r="OML9" s="217"/>
      <c r="OMM9" s="217"/>
      <c r="OMN9" s="217"/>
      <c r="OMO9" s="217"/>
      <c r="OMP9" s="217"/>
      <c r="OMQ9" s="217"/>
      <c r="OMR9" s="217"/>
      <c r="OMS9" s="217"/>
      <c r="OMT9" s="217"/>
      <c r="OMU9" s="217"/>
      <c r="OMV9" s="217"/>
      <c r="OMW9" s="217"/>
      <c r="OMX9" s="217"/>
      <c r="OMY9" s="217"/>
      <c r="OMZ9" s="217"/>
      <c r="ONA9" s="217"/>
      <c r="ONB9" s="217"/>
      <c r="ONC9" s="217"/>
      <c r="OND9" s="217"/>
      <c r="ONE9" s="217"/>
      <c r="ONF9" s="217"/>
      <c r="ONG9" s="217"/>
      <c r="ONH9" s="217"/>
      <c r="ONI9" s="217"/>
      <c r="ONJ9" s="217"/>
      <c r="ONK9" s="217"/>
      <c r="ONL9" s="217"/>
      <c r="ONM9" s="217"/>
      <c r="ONN9" s="217"/>
      <c r="ONO9" s="217"/>
      <c r="ONP9" s="217"/>
      <c r="ONQ9" s="217"/>
      <c r="ONR9" s="217"/>
      <c r="ONS9" s="217"/>
      <c r="ONT9" s="217"/>
      <c r="ONU9" s="217"/>
      <c r="ONV9" s="217"/>
      <c r="ONW9" s="217"/>
      <c r="ONX9" s="217"/>
      <c r="ONY9" s="217"/>
      <c r="ONZ9" s="217"/>
      <c r="OOA9" s="217"/>
      <c r="OOB9" s="217"/>
      <c r="OOC9" s="217"/>
      <c r="OOD9" s="217"/>
      <c r="OOE9" s="217"/>
      <c r="OOF9" s="217"/>
      <c r="OOG9" s="217"/>
      <c r="OOH9" s="217"/>
      <c r="OOI9" s="217"/>
      <c r="OOJ9" s="217"/>
      <c r="OOK9" s="217"/>
      <c r="OOL9" s="217"/>
      <c r="OOM9" s="217"/>
      <c r="OON9" s="217"/>
      <c r="OOO9" s="217"/>
      <c r="OOP9" s="217"/>
      <c r="OOQ9" s="217"/>
      <c r="OOR9" s="217"/>
      <c r="OOS9" s="217"/>
      <c r="OOT9" s="217"/>
      <c r="OOU9" s="217"/>
      <c r="OOV9" s="217"/>
      <c r="OOW9" s="217"/>
      <c r="OOX9" s="217"/>
      <c r="OOY9" s="217"/>
      <c r="OOZ9" s="217"/>
      <c r="OPA9" s="217"/>
      <c r="OPB9" s="217"/>
      <c r="OPC9" s="217"/>
      <c r="OPD9" s="217"/>
      <c r="OPE9" s="217"/>
      <c r="OPF9" s="217"/>
      <c r="OPG9" s="217"/>
      <c r="OPH9" s="217"/>
      <c r="OPI9" s="217"/>
      <c r="OPJ9" s="217"/>
      <c r="OPK9" s="217"/>
      <c r="OPL9" s="217"/>
      <c r="OPM9" s="217"/>
      <c r="OPN9" s="217"/>
      <c r="OPO9" s="217"/>
      <c r="OPP9" s="217"/>
      <c r="OPQ9" s="217"/>
      <c r="OPR9" s="217"/>
      <c r="OPS9" s="217"/>
      <c r="OPT9" s="217"/>
      <c r="OPU9" s="217"/>
      <c r="OPV9" s="217"/>
      <c r="OPW9" s="217"/>
      <c r="OPX9" s="217"/>
      <c r="OPY9" s="217"/>
      <c r="OPZ9" s="217"/>
      <c r="OQA9" s="217"/>
      <c r="OQB9" s="217"/>
      <c r="OQC9" s="217"/>
      <c r="OQD9" s="217"/>
      <c r="OQE9" s="217"/>
      <c r="OQF9" s="217"/>
      <c r="OQG9" s="217"/>
      <c r="OQH9" s="217"/>
      <c r="OQI9" s="217"/>
      <c r="OQJ9" s="217"/>
      <c r="OQK9" s="217"/>
      <c r="OQL9" s="217"/>
      <c r="OQM9" s="217"/>
      <c r="OQN9" s="217"/>
      <c r="OQO9" s="217"/>
      <c r="OQP9" s="217"/>
      <c r="OQQ9" s="217"/>
      <c r="OQR9" s="217"/>
      <c r="OQS9" s="217"/>
      <c r="OQT9" s="217"/>
      <c r="OQU9" s="217"/>
      <c r="OQV9" s="217"/>
      <c r="OQW9" s="217"/>
      <c r="OQX9" s="217"/>
      <c r="OQY9" s="217"/>
      <c r="OQZ9" s="217"/>
      <c r="ORA9" s="217"/>
      <c r="ORB9" s="217"/>
      <c r="ORC9" s="217"/>
      <c r="ORD9" s="217"/>
      <c r="ORE9" s="217"/>
      <c r="ORF9" s="217"/>
      <c r="ORG9" s="217"/>
      <c r="ORH9" s="217"/>
      <c r="ORI9" s="217"/>
      <c r="ORJ9" s="217"/>
      <c r="ORK9" s="217"/>
      <c r="ORL9" s="217"/>
      <c r="ORM9" s="217"/>
      <c r="ORN9" s="217"/>
      <c r="ORO9" s="217"/>
      <c r="ORP9" s="217"/>
      <c r="ORQ9" s="217"/>
      <c r="ORR9" s="217"/>
      <c r="ORS9" s="217"/>
      <c r="ORT9" s="217"/>
      <c r="ORU9" s="217"/>
      <c r="ORV9" s="217"/>
      <c r="ORW9" s="217"/>
      <c r="ORX9" s="217"/>
      <c r="ORY9" s="217"/>
      <c r="ORZ9" s="217"/>
      <c r="OSA9" s="217"/>
      <c r="OSB9" s="217"/>
      <c r="OSC9" s="217"/>
      <c r="OSD9" s="217"/>
      <c r="OSE9" s="217"/>
      <c r="OSF9" s="217"/>
      <c r="OSG9" s="217"/>
      <c r="OSH9" s="217"/>
      <c r="OSI9" s="217"/>
      <c r="OSJ9" s="217"/>
      <c r="OSK9" s="217"/>
      <c r="OSL9" s="217"/>
      <c r="OSM9" s="217"/>
      <c r="OSN9" s="217"/>
      <c r="OSO9" s="217"/>
      <c r="OSP9" s="217"/>
      <c r="OSQ9" s="217"/>
      <c r="OSR9" s="217"/>
      <c r="OSS9" s="217"/>
      <c r="OST9" s="217"/>
      <c r="OSU9" s="217"/>
      <c r="OSV9" s="217"/>
      <c r="OSW9" s="217"/>
      <c r="OSX9" s="217"/>
      <c r="OSY9" s="217"/>
      <c r="OSZ9" s="217"/>
      <c r="OTA9" s="217"/>
      <c r="OTB9" s="217"/>
      <c r="OTC9" s="217"/>
      <c r="OTD9" s="217"/>
      <c r="OTE9" s="217"/>
      <c r="OTF9" s="217"/>
      <c r="OTG9" s="217"/>
      <c r="OTH9" s="217"/>
      <c r="OTI9" s="217"/>
      <c r="OTJ9" s="217"/>
      <c r="OTK9" s="217"/>
      <c r="OTL9" s="217"/>
      <c r="OTM9" s="217"/>
      <c r="OTN9" s="217"/>
      <c r="OTO9" s="217"/>
      <c r="OTP9" s="217"/>
      <c r="OTQ9" s="217"/>
      <c r="OTR9" s="217"/>
      <c r="OTS9" s="217"/>
      <c r="OTT9" s="217"/>
      <c r="OTU9" s="217"/>
      <c r="OTV9" s="217"/>
      <c r="OTW9" s="217"/>
      <c r="OTX9" s="217"/>
      <c r="OTY9" s="217"/>
      <c r="OTZ9" s="217"/>
      <c r="OUA9" s="217"/>
      <c r="OUB9" s="217"/>
      <c r="OUC9" s="217"/>
      <c r="OUD9" s="217"/>
      <c r="OUE9" s="217"/>
      <c r="OUF9" s="217"/>
      <c r="OUG9" s="217"/>
      <c r="OUH9" s="217"/>
      <c r="OUI9" s="217"/>
      <c r="OUJ9" s="217"/>
      <c r="OUK9" s="217"/>
      <c r="OUL9" s="217"/>
      <c r="OUM9" s="217"/>
      <c r="OUN9" s="217"/>
      <c r="OUO9" s="217"/>
      <c r="OUP9" s="217"/>
      <c r="OUQ9" s="217"/>
      <c r="OUR9" s="217"/>
      <c r="OUS9" s="217"/>
      <c r="OUT9" s="217"/>
      <c r="OUU9" s="217"/>
      <c r="OUV9" s="217"/>
      <c r="OUW9" s="217"/>
      <c r="OUX9" s="217"/>
      <c r="OUY9" s="217"/>
      <c r="OUZ9" s="217"/>
      <c r="OVA9" s="217"/>
      <c r="OVB9" s="217"/>
      <c r="OVC9" s="217"/>
      <c r="OVD9" s="217"/>
      <c r="OVE9" s="217"/>
      <c r="OVF9" s="217"/>
      <c r="OVG9" s="217"/>
      <c r="OVH9" s="217"/>
      <c r="OVI9" s="217"/>
      <c r="OVJ9" s="217"/>
      <c r="OVK9" s="217"/>
      <c r="OVL9" s="217"/>
      <c r="OVM9" s="217"/>
      <c r="OVN9" s="217"/>
      <c r="OVO9" s="217"/>
      <c r="OVP9" s="217"/>
      <c r="OVQ9" s="217"/>
      <c r="OVR9" s="217"/>
      <c r="OVS9" s="217"/>
      <c r="OVT9" s="217"/>
      <c r="OVU9" s="217"/>
      <c r="OVV9" s="217"/>
      <c r="OVW9" s="217"/>
      <c r="OVX9" s="217"/>
      <c r="OVY9" s="217"/>
      <c r="OVZ9" s="217"/>
      <c r="OWA9" s="217"/>
      <c r="OWB9" s="217"/>
      <c r="OWC9" s="217"/>
      <c r="OWD9" s="217"/>
      <c r="OWE9" s="217"/>
      <c r="OWF9" s="217"/>
      <c r="OWG9" s="217"/>
      <c r="OWH9" s="217"/>
      <c r="OWI9" s="217"/>
      <c r="OWJ9" s="217"/>
      <c r="OWK9" s="217"/>
      <c r="OWL9" s="217"/>
      <c r="OWM9" s="217"/>
      <c r="OWN9" s="217"/>
      <c r="OWO9" s="217"/>
      <c r="OWP9" s="217"/>
      <c r="OWQ9" s="217"/>
      <c r="OWR9" s="217"/>
      <c r="OWS9" s="217"/>
      <c r="OWT9" s="217"/>
      <c r="OWU9" s="217"/>
      <c r="OWV9" s="217"/>
      <c r="OWW9" s="217"/>
      <c r="OWX9" s="217"/>
      <c r="OWY9" s="217"/>
      <c r="OWZ9" s="217"/>
      <c r="OXA9" s="217"/>
      <c r="OXB9" s="217"/>
      <c r="OXC9" s="217"/>
      <c r="OXD9" s="217"/>
      <c r="OXE9" s="217"/>
      <c r="OXF9" s="217"/>
      <c r="OXG9" s="217"/>
      <c r="OXH9" s="217"/>
      <c r="OXI9" s="217"/>
      <c r="OXJ9" s="217"/>
      <c r="OXK9" s="217"/>
      <c r="OXL9" s="217"/>
      <c r="OXM9" s="217"/>
      <c r="OXN9" s="217"/>
      <c r="OXO9" s="217"/>
      <c r="OXP9" s="217"/>
      <c r="OXQ9" s="217"/>
      <c r="OXR9" s="217"/>
      <c r="OXS9" s="217"/>
      <c r="OXT9" s="217"/>
      <c r="OXU9" s="217"/>
      <c r="OXV9" s="217"/>
      <c r="OXW9" s="217"/>
      <c r="OXX9" s="217"/>
      <c r="OXY9" s="217"/>
      <c r="OXZ9" s="217"/>
      <c r="OYA9" s="217"/>
      <c r="OYB9" s="217"/>
      <c r="OYC9" s="217"/>
      <c r="OYD9" s="217"/>
      <c r="OYE9" s="217"/>
      <c r="OYF9" s="217"/>
      <c r="OYG9" s="217"/>
      <c r="OYH9" s="217"/>
      <c r="OYI9" s="217"/>
      <c r="OYJ9" s="217"/>
      <c r="OYK9" s="217"/>
      <c r="OYL9" s="217"/>
      <c r="OYM9" s="217"/>
      <c r="OYN9" s="217"/>
      <c r="OYO9" s="217"/>
      <c r="OYP9" s="217"/>
      <c r="OYQ9" s="217"/>
      <c r="OYR9" s="217"/>
      <c r="OYS9" s="217"/>
      <c r="OYT9" s="217"/>
      <c r="OYU9" s="217"/>
      <c r="OYV9" s="217"/>
      <c r="OYW9" s="217"/>
      <c r="OYX9" s="217"/>
      <c r="OYY9" s="217"/>
      <c r="OYZ9" s="217"/>
      <c r="OZA9" s="217"/>
      <c r="OZB9" s="217"/>
      <c r="OZC9" s="217"/>
      <c r="OZD9" s="217"/>
      <c r="OZE9" s="217"/>
      <c r="OZF9" s="217"/>
      <c r="OZG9" s="217"/>
      <c r="OZH9" s="217"/>
      <c r="OZI9" s="217"/>
      <c r="OZJ9" s="217"/>
      <c r="OZK9" s="217"/>
      <c r="OZL9" s="217"/>
      <c r="OZM9" s="217"/>
      <c r="OZN9" s="217"/>
      <c r="OZO9" s="217"/>
      <c r="OZP9" s="217"/>
      <c r="OZQ9" s="217"/>
      <c r="OZR9" s="217"/>
      <c r="OZS9" s="217"/>
      <c r="OZT9" s="217"/>
      <c r="OZU9" s="217"/>
      <c r="OZV9" s="217"/>
      <c r="OZW9" s="217"/>
      <c r="OZX9" s="217"/>
      <c r="OZY9" s="217"/>
      <c r="OZZ9" s="217"/>
      <c r="PAA9" s="217"/>
      <c r="PAB9" s="217"/>
      <c r="PAC9" s="217"/>
      <c r="PAD9" s="217"/>
      <c r="PAE9" s="217"/>
      <c r="PAF9" s="217"/>
      <c r="PAG9" s="217"/>
      <c r="PAH9" s="217"/>
      <c r="PAI9" s="217"/>
      <c r="PAJ9" s="217"/>
      <c r="PAK9" s="217"/>
      <c r="PAL9" s="217"/>
      <c r="PAM9" s="217"/>
      <c r="PAN9" s="217"/>
      <c r="PAO9" s="217"/>
      <c r="PAP9" s="217"/>
      <c r="PAQ9" s="217"/>
      <c r="PAR9" s="217"/>
      <c r="PAS9" s="217"/>
      <c r="PAT9" s="217"/>
      <c r="PAU9" s="217"/>
      <c r="PAV9" s="217"/>
      <c r="PAW9" s="217"/>
      <c r="PAX9" s="217"/>
      <c r="PAY9" s="217"/>
      <c r="PAZ9" s="217"/>
      <c r="PBA9" s="217"/>
      <c r="PBB9" s="217"/>
      <c r="PBC9" s="217"/>
      <c r="PBD9" s="217"/>
      <c r="PBE9" s="217"/>
      <c r="PBF9" s="217"/>
      <c r="PBG9" s="217"/>
      <c r="PBH9" s="217"/>
      <c r="PBI9" s="217"/>
      <c r="PBJ9" s="217"/>
      <c r="PBK9" s="217"/>
      <c r="PBL9" s="217"/>
      <c r="PBM9" s="217"/>
      <c r="PBN9" s="217"/>
      <c r="PBO9" s="217"/>
      <c r="PBP9" s="217"/>
      <c r="PBQ9" s="217"/>
      <c r="PBR9" s="217"/>
      <c r="PBS9" s="217"/>
      <c r="PBT9" s="217"/>
      <c r="PBU9" s="217"/>
      <c r="PBV9" s="217"/>
      <c r="PBW9" s="217"/>
      <c r="PBX9" s="217"/>
      <c r="PBY9" s="217"/>
      <c r="PBZ9" s="217"/>
      <c r="PCA9" s="217"/>
      <c r="PCB9" s="217"/>
      <c r="PCC9" s="217"/>
      <c r="PCD9" s="217"/>
      <c r="PCE9" s="217"/>
      <c r="PCF9" s="217"/>
      <c r="PCG9" s="217"/>
      <c r="PCH9" s="217"/>
      <c r="PCI9" s="217"/>
      <c r="PCJ9" s="217"/>
      <c r="PCK9" s="217"/>
      <c r="PCL9" s="217"/>
      <c r="PCM9" s="217"/>
      <c r="PCN9" s="217"/>
      <c r="PCO9" s="217"/>
      <c r="PCP9" s="217"/>
      <c r="PCQ9" s="217"/>
      <c r="PCR9" s="217"/>
      <c r="PCS9" s="217"/>
      <c r="PCT9" s="217"/>
      <c r="PCU9" s="217"/>
      <c r="PCV9" s="217"/>
      <c r="PCW9" s="217"/>
      <c r="PCX9" s="217"/>
      <c r="PCY9" s="217"/>
      <c r="PCZ9" s="217"/>
      <c r="PDA9" s="217"/>
      <c r="PDB9" s="217"/>
      <c r="PDC9" s="217"/>
      <c r="PDD9" s="217"/>
      <c r="PDE9" s="217"/>
      <c r="PDF9" s="217"/>
      <c r="PDG9" s="217"/>
      <c r="PDH9" s="217"/>
      <c r="PDI9" s="217"/>
      <c r="PDJ9" s="217"/>
      <c r="PDK9" s="217"/>
      <c r="PDL9" s="217"/>
      <c r="PDM9" s="217"/>
      <c r="PDN9" s="217"/>
      <c r="PDO9" s="217"/>
      <c r="PDP9" s="217"/>
      <c r="PDQ9" s="217"/>
      <c r="PDR9" s="217"/>
      <c r="PDS9" s="217"/>
      <c r="PDT9" s="217"/>
      <c r="PDU9" s="217"/>
      <c r="PDV9" s="217"/>
      <c r="PDW9" s="217"/>
      <c r="PDX9" s="217"/>
      <c r="PDY9" s="217"/>
      <c r="PDZ9" s="217"/>
      <c r="PEA9" s="217"/>
      <c r="PEB9" s="217"/>
      <c r="PEC9" s="217"/>
      <c r="PED9" s="217"/>
      <c r="PEE9" s="217"/>
      <c r="PEF9" s="217"/>
      <c r="PEG9" s="217"/>
      <c r="PEH9" s="217"/>
      <c r="PEI9" s="217"/>
      <c r="PEJ9" s="217"/>
      <c r="PEK9" s="217"/>
      <c r="PEL9" s="217"/>
      <c r="PEM9" s="217"/>
      <c r="PEN9" s="217"/>
      <c r="PEO9" s="217"/>
      <c r="PEP9" s="217"/>
      <c r="PEQ9" s="217"/>
      <c r="PER9" s="217"/>
      <c r="PES9" s="217"/>
      <c r="PET9" s="217"/>
      <c r="PEU9" s="217"/>
      <c r="PEV9" s="217"/>
      <c r="PEW9" s="217"/>
      <c r="PEX9" s="217"/>
      <c r="PEY9" s="217"/>
      <c r="PEZ9" s="217"/>
      <c r="PFA9" s="217"/>
      <c r="PFB9" s="217"/>
      <c r="PFC9" s="217"/>
      <c r="PFD9" s="217"/>
      <c r="PFE9" s="217"/>
      <c r="PFF9" s="217"/>
      <c r="PFG9" s="217"/>
      <c r="PFH9" s="217"/>
      <c r="PFI9" s="217"/>
      <c r="PFJ9" s="217"/>
      <c r="PFK9" s="217"/>
      <c r="PFL9" s="217"/>
      <c r="PFM9" s="217"/>
      <c r="PFN9" s="217"/>
      <c r="PFO9" s="217"/>
      <c r="PFP9" s="217"/>
      <c r="PFQ9" s="217"/>
      <c r="PFR9" s="217"/>
      <c r="PFS9" s="217"/>
      <c r="PFT9" s="217"/>
      <c r="PFU9" s="217"/>
      <c r="PFV9" s="217"/>
      <c r="PFW9" s="217"/>
      <c r="PFX9" s="217"/>
      <c r="PFY9" s="217"/>
      <c r="PFZ9" s="217"/>
      <c r="PGA9" s="217"/>
      <c r="PGB9" s="217"/>
      <c r="PGC9" s="217"/>
      <c r="PGD9" s="217"/>
      <c r="PGE9" s="217"/>
      <c r="PGF9" s="217"/>
      <c r="PGG9" s="217"/>
      <c r="PGH9" s="217"/>
      <c r="PGI9" s="217"/>
      <c r="PGJ9" s="217"/>
      <c r="PGK9" s="217"/>
      <c r="PGL9" s="217"/>
      <c r="PGM9" s="217"/>
      <c r="PGN9" s="217"/>
      <c r="PGO9" s="217"/>
      <c r="PGP9" s="217"/>
      <c r="PGQ9" s="217"/>
      <c r="PGR9" s="217"/>
      <c r="PGS9" s="217"/>
      <c r="PGT9" s="217"/>
      <c r="PGU9" s="217"/>
      <c r="PGV9" s="217"/>
      <c r="PGW9" s="217"/>
      <c r="PGX9" s="217"/>
      <c r="PGY9" s="217"/>
      <c r="PGZ9" s="217"/>
      <c r="PHA9" s="217"/>
      <c r="PHB9" s="217"/>
      <c r="PHC9" s="217"/>
      <c r="PHD9" s="217"/>
      <c r="PHE9" s="217"/>
      <c r="PHF9" s="217"/>
      <c r="PHG9" s="217"/>
      <c r="PHH9" s="217"/>
      <c r="PHI9" s="217"/>
      <c r="PHJ9" s="217"/>
      <c r="PHK9" s="217"/>
      <c r="PHL9" s="217"/>
      <c r="PHM9" s="217"/>
      <c r="PHN9" s="217"/>
      <c r="PHO9" s="217"/>
      <c r="PHP9" s="217"/>
      <c r="PHQ9" s="217"/>
      <c r="PHR9" s="217"/>
      <c r="PHS9" s="217"/>
      <c r="PHT9" s="217"/>
      <c r="PHU9" s="217"/>
      <c r="PHV9" s="217"/>
      <c r="PHW9" s="217"/>
      <c r="PHX9" s="217"/>
      <c r="PHY9" s="217"/>
      <c r="PHZ9" s="217"/>
      <c r="PIA9" s="217"/>
      <c r="PIB9" s="217"/>
      <c r="PIC9" s="217"/>
      <c r="PID9" s="217"/>
      <c r="PIE9" s="217"/>
      <c r="PIF9" s="217"/>
      <c r="PIG9" s="217"/>
      <c r="PIH9" s="217"/>
      <c r="PII9" s="217"/>
      <c r="PIJ9" s="217"/>
      <c r="PIK9" s="217"/>
      <c r="PIL9" s="217"/>
      <c r="PIM9" s="217"/>
      <c r="PIN9" s="217"/>
      <c r="PIO9" s="217"/>
      <c r="PIP9" s="217"/>
      <c r="PIQ9" s="217"/>
      <c r="PIR9" s="217"/>
      <c r="PIS9" s="217"/>
      <c r="PIT9" s="217"/>
      <c r="PIU9" s="217"/>
      <c r="PIV9" s="217"/>
      <c r="PIW9" s="217"/>
      <c r="PIX9" s="217"/>
      <c r="PIY9" s="217"/>
      <c r="PIZ9" s="217"/>
      <c r="PJA9" s="217"/>
      <c r="PJB9" s="217"/>
      <c r="PJC9" s="217"/>
      <c r="PJD9" s="217"/>
      <c r="PJE9" s="217"/>
      <c r="PJF9" s="217"/>
      <c r="PJG9" s="217"/>
      <c r="PJH9" s="217"/>
      <c r="PJI9" s="217"/>
      <c r="PJJ9" s="217"/>
      <c r="PJK9" s="217"/>
      <c r="PJL9" s="217"/>
      <c r="PJM9" s="217"/>
      <c r="PJN9" s="217"/>
      <c r="PJO9" s="217"/>
      <c r="PJP9" s="217"/>
      <c r="PJQ9" s="217"/>
      <c r="PJR9" s="217"/>
      <c r="PJS9" s="217"/>
      <c r="PJT9" s="217"/>
      <c r="PJU9" s="217"/>
      <c r="PJV9" s="217"/>
      <c r="PJW9" s="217"/>
      <c r="PJX9" s="217"/>
      <c r="PJY9" s="217"/>
      <c r="PJZ9" s="217"/>
      <c r="PKA9" s="217"/>
      <c r="PKB9" s="217"/>
      <c r="PKC9" s="217"/>
      <c r="PKD9" s="217"/>
      <c r="PKE9" s="217"/>
      <c r="PKF9" s="217"/>
      <c r="PKG9" s="217"/>
      <c r="PKH9" s="217"/>
      <c r="PKI9" s="217"/>
      <c r="PKJ9" s="217"/>
      <c r="PKK9" s="217"/>
      <c r="PKL9" s="217"/>
      <c r="PKM9" s="217"/>
      <c r="PKN9" s="217"/>
      <c r="PKO9" s="217"/>
      <c r="PKP9" s="217"/>
      <c r="PKQ9" s="217"/>
      <c r="PKR9" s="217"/>
      <c r="PKS9" s="217"/>
      <c r="PKT9" s="217"/>
      <c r="PKU9" s="217"/>
      <c r="PKV9" s="217"/>
      <c r="PKW9" s="217"/>
      <c r="PKX9" s="217"/>
      <c r="PKY9" s="217"/>
      <c r="PKZ9" s="217"/>
      <c r="PLA9" s="217"/>
      <c r="PLB9" s="217"/>
      <c r="PLC9" s="217"/>
      <c r="PLD9" s="217"/>
      <c r="PLE9" s="217"/>
      <c r="PLF9" s="217"/>
      <c r="PLG9" s="217"/>
      <c r="PLH9" s="217"/>
      <c r="PLI9" s="217"/>
      <c r="PLJ9" s="217"/>
      <c r="PLK9" s="217"/>
      <c r="PLL9" s="217"/>
      <c r="PLM9" s="217"/>
      <c r="PLN9" s="217"/>
      <c r="PLO9" s="217"/>
      <c r="PLP9" s="217"/>
      <c r="PLQ9" s="217"/>
      <c r="PLR9" s="217"/>
      <c r="PLS9" s="217"/>
      <c r="PLT9" s="217"/>
      <c r="PLU9" s="217"/>
      <c r="PLV9" s="217"/>
      <c r="PLW9" s="217"/>
      <c r="PLX9" s="217"/>
      <c r="PLY9" s="217"/>
      <c r="PLZ9" s="217"/>
      <c r="PMA9" s="217"/>
      <c r="PMB9" s="217"/>
      <c r="PMC9" s="217"/>
      <c r="PMD9" s="217"/>
      <c r="PME9" s="217"/>
      <c r="PMF9" s="217"/>
      <c r="PMG9" s="217"/>
      <c r="PMH9" s="217"/>
      <c r="PMI9" s="217"/>
      <c r="PMJ9" s="217"/>
      <c r="PMK9" s="217"/>
      <c r="PML9" s="217"/>
      <c r="PMM9" s="217"/>
      <c r="PMN9" s="217"/>
      <c r="PMO9" s="217"/>
      <c r="PMP9" s="217"/>
      <c r="PMQ9" s="217"/>
      <c r="PMR9" s="217"/>
      <c r="PMS9" s="217"/>
      <c r="PMT9" s="217"/>
      <c r="PMU9" s="217"/>
      <c r="PMV9" s="217"/>
      <c r="PMW9" s="217"/>
      <c r="PMX9" s="217"/>
      <c r="PMY9" s="217"/>
      <c r="PMZ9" s="217"/>
      <c r="PNA9" s="217"/>
      <c r="PNB9" s="217"/>
      <c r="PNC9" s="217"/>
      <c r="PND9" s="217"/>
      <c r="PNE9" s="217"/>
      <c r="PNF9" s="217"/>
      <c r="PNG9" s="217"/>
      <c r="PNH9" s="217"/>
      <c r="PNI9" s="217"/>
      <c r="PNJ9" s="217"/>
      <c r="PNK9" s="217"/>
      <c r="PNL9" s="217"/>
      <c r="PNM9" s="217"/>
      <c r="PNN9" s="217"/>
      <c r="PNO9" s="217"/>
      <c r="PNP9" s="217"/>
      <c r="PNQ9" s="217"/>
      <c r="PNR9" s="217"/>
      <c r="PNS9" s="217"/>
      <c r="PNT9" s="217"/>
      <c r="PNU9" s="217"/>
      <c r="PNV9" s="217"/>
      <c r="PNW9" s="217"/>
      <c r="PNX9" s="217"/>
      <c r="PNY9" s="217"/>
      <c r="PNZ9" s="217"/>
      <c r="POA9" s="217"/>
      <c r="POB9" s="217"/>
      <c r="POC9" s="217"/>
      <c r="POD9" s="217"/>
      <c r="POE9" s="217"/>
      <c r="POF9" s="217"/>
      <c r="POG9" s="217"/>
      <c r="POH9" s="217"/>
      <c r="POI9" s="217"/>
      <c r="POJ9" s="217"/>
      <c r="POK9" s="217"/>
      <c r="POL9" s="217"/>
      <c r="POM9" s="217"/>
      <c r="PON9" s="217"/>
      <c r="POO9" s="217"/>
      <c r="POP9" s="217"/>
      <c r="POQ9" s="217"/>
      <c r="POR9" s="217"/>
      <c r="POS9" s="217"/>
      <c r="POT9" s="217"/>
      <c r="POU9" s="217"/>
      <c r="POV9" s="217"/>
      <c r="POW9" s="217"/>
      <c r="POX9" s="217"/>
      <c r="POY9" s="217"/>
      <c r="POZ9" s="217"/>
      <c r="PPA9" s="217"/>
      <c r="PPB9" s="217"/>
      <c r="PPC9" s="217"/>
      <c r="PPD9" s="217"/>
      <c r="PPE9" s="217"/>
      <c r="PPF9" s="217"/>
      <c r="PPG9" s="217"/>
      <c r="PPH9" s="217"/>
      <c r="PPI9" s="217"/>
      <c r="PPJ9" s="217"/>
      <c r="PPK9" s="217"/>
      <c r="PPL9" s="217"/>
      <c r="PPM9" s="217"/>
      <c r="PPN9" s="217"/>
      <c r="PPO9" s="217"/>
      <c r="PPP9" s="217"/>
      <c r="PPQ9" s="217"/>
      <c r="PPR9" s="217"/>
      <c r="PPS9" s="217"/>
      <c r="PPT9" s="217"/>
      <c r="PPU9" s="217"/>
      <c r="PPV9" s="217"/>
      <c r="PPW9" s="217"/>
      <c r="PPX9" s="217"/>
      <c r="PPY9" s="217"/>
      <c r="PPZ9" s="217"/>
      <c r="PQA9" s="217"/>
      <c r="PQB9" s="217"/>
      <c r="PQC9" s="217"/>
      <c r="PQD9" s="217"/>
      <c r="PQE9" s="217"/>
      <c r="PQF9" s="217"/>
      <c r="PQG9" s="217"/>
      <c r="PQH9" s="217"/>
      <c r="PQI9" s="217"/>
      <c r="PQJ9" s="217"/>
      <c r="PQK9" s="217"/>
      <c r="PQL9" s="217"/>
      <c r="PQM9" s="217"/>
      <c r="PQN9" s="217"/>
      <c r="PQO9" s="217"/>
      <c r="PQP9" s="217"/>
      <c r="PQQ9" s="217"/>
      <c r="PQR9" s="217"/>
      <c r="PQS9" s="217"/>
      <c r="PQT9" s="217"/>
      <c r="PQU9" s="217"/>
      <c r="PQV9" s="217"/>
      <c r="PQW9" s="217"/>
      <c r="PQX9" s="217"/>
      <c r="PQY9" s="217"/>
      <c r="PQZ9" s="217"/>
      <c r="PRA9" s="217"/>
      <c r="PRB9" s="217"/>
      <c r="PRC9" s="217"/>
      <c r="PRD9" s="217"/>
      <c r="PRE9" s="217"/>
      <c r="PRF9" s="217"/>
      <c r="PRG9" s="217"/>
      <c r="PRH9" s="217"/>
      <c r="PRI9" s="217"/>
      <c r="PRJ9" s="217"/>
      <c r="PRK9" s="217"/>
      <c r="PRL9" s="217"/>
      <c r="PRM9" s="217"/>
      <c r="PRN9" s="217"/>
      <c r="PRO9" s="217"/>
      <c r="PRP9" s="217"/>
      <c r="PRQ9" s="217"/>
      <c r="PRR9" s="217"/>
      <c r="PRS9" s="217"/>
      <c r="PRT9" s="217"/>
      <c r="PRU9" s="217"/>
      <c r="PRV9" s="217"/>
      <c r="PRW9" s="217"/>
      <c r="PRX9" s="217"/>
      <c r="PRY9" s="217"/>
      <c r="PRZ9" s="217"/>
      <c r="PSA9" s="217"/>
      <c r="PSB9" s="217"/>
      <c r="PSC9" s="217"/>
      <c r="PSD9" s="217"/>
      <c r="PSE9" s="217"/>
      <c r="PSF9" s="217"/>
      <c r="PSG9" s="217"/>
      <c r="PSH9" s="217"/>
      <c r="PSI9" s="217"/>
      <c r="PSJ9" s="217"/>
      <c r="PSK9" s="217"/>
      <c r="PSL9" s="217"/>
      <c r="PSM9" s="217"/>
      <c r="PSN9" s="217"/>
      <c r="PSO9" s="217"/>
      <c r="PSP9" s="217"/>
      <c r="PSQ9" s="217"/>
      <c r="PSR9" s="217"/>
      <c r="PSS9" s="217"/>
      <c r="PST9" s="217"/>
      <c r="PSU9" s="217"/>
      <c r="PSV9" s="217"/>
      <c r="PSW9" s="217"/>
      <c r="PSX9" s="217"/>
      <c r="PSY9" s="217"/>
      <c r="PSZ9" s="217"/>
      <c r="PTA9" s="217"/>
      <c r="PTB9" s="217"/>
      <c r="PTC9" s="217"/>
      <c r="PTD9" s="217"/>
      <c r="PTE9" s="217"/>
      <c r="PTF9" s="217"/>
      <c r="PTG9" s="217"/>
      <c r="PTH9" s="217"/>
      <c r="PTI9" s="217"/>
      <c r="PTJ9" s="217"/>
      <c r="PTK9" s="217"/>
      <c r="PTL9" s="217"/>
      <c r="PTM9" s="217"/>
      <c r="PTN9" s="217"/>
      <c r="PTO9" s="217"/>
      <c r="PTP9" s="217"/>
      <c r="PTQ9" s="217"/>
      <c r="PTR9" s="217"/>
      <c r="PTS9" s="217"/>
      <c r="PTT9" s="217"/>
      <c r="PTU9" s="217"/>
      <c r="PTV9" s="217"/>
      <c r="PTW9" s="217"/>
      <c r="PTX9" s="217"/>
      <c r="PTY9" s="217"/>
      <c r="PTZ9" s="217"/>
      <c r="PUA9" s="217"/>
      <c r="PUB9" s="217"/>
      <c r="PUC9" s="217"/>
      <c r="PUD9" s="217"/>
      <c r="PUE9" s="217"/>
      <c r="PUF9" s="217"/>
      <c r="PUG9" s="217"/>
      <c r="PUH9" s="217"/>
      <c r="PUI9" s="217"/>
      <c r="PUJ9" s="217"/>
      <c r="PUK9" s="217"/>
      <c r="PUL9" s="217"/>
      <c r="PUM9" s="217"/>
      <c r="PUN9" s="217"/>
      <c r="PUO9" s="217"/>
      <c r="PUP9" s="217"/>
      <c r="PUQ9" s="217"/>
      <c r="PUR9" s="217"/>
      <c r="PUS9" s="217"/>
      <c r="PUT9" s="217"/>
      <c r="PUU9" s="217"/>
      <c r="PUV9" s="217"/>
      <c r="PUW9" s="217"/>
      <c r="PUX9" s="217"/>
      <c r="PUY9" s="217"/>
      <c r="PUZ9" s="217"/>
      <c r="PVA9" s="217"/>
      <c r="PVB9" s="217"/>
      <c r="PVC9" s="217"/>
      <c r="PVD9" s="217"/>
      <c r="PVE9" s="217"/>
      <c r="PVF9" s="217"/>
      <c r="PVG9" s="217"/>
      <c r="PVH9" s="217"/>
      <c r="PVI9" s="217"/>
      <c r="PVJ9" s="217"/>
      <c r="PVK9" s="217"/>
      <c r="PVL9" s="217"/>
      <c r="PVM9" s="217"/>
      <c r="PVN9" s="217"/>
      <c r="PVO9" s="217"/>
      <c r="PVP9" s="217"/>
      <c r="PVQ9" s="217"/>
      <c r="PVR9" s="217"/>
      <c r="PVS9" s="217"/>
      <c r="PVT9" s="217"/>
      <c r="PVU9" s="217"/>
      <c r="PVV9" s="217"/>
      <c r="PVW9" s="217"/>
      <c r="PVX9" s="217"/>
      <c r="PVY9" s="217"/>
      <c r="PVZ9" s="217"/>
      <c r="PWA9" s="217"/>
      <c r="PWB9" s="217"/>
      <c r="PWC9" s="217"/>
      <c r="PWD9" s="217"/>
      <c r="PWE9" s="217"/>
      <c r="PWF9" s="217"/>
      <c r="PWG9" s="217"/>
      <c r="PWH9" s="217"/>
      <c r="PWI9" s="217"/>
      <c r="PWJ9" s="217"/>
      <c r="PWK9" s="217"/>
      <c r="PWL9" s="217"/>
      <c r="PWM9" s="217"/>
      <c r="PWN9" s="217"/>
      <c r="PWO9" s="217"/>
      <c r="PWP9" s="217"/>
      <c r="PWQ9" s="217"/>
      <c r="PWR9" s="217"/>
      <c r="PWS9" s="217"/>
      <c r="PWT9" s="217"/>
      <c r="PWU9" s="217"/>
      <c r="PWV9" s="217"/>
      <c r="PWW9" s="217"/>
      <c r="PWX9" s="217"/>
      <c r="PWY9" s="217"/>
      <c r="PWZ9" s="217"/>
      <c r="PXA9" s="217"/>
      <c r="PXB9" s="217"/>
      <c r="PXC9" s="217"/>
      <c r="PXD9" s="217"/>
      <c r="PXE9" s="217"/>
      <c r="PXF9" s="217"/>
      <c r="PXG9" s="217"/>
      <c r="PXH9" s="217"/>
      <c r="PXI9" s="217"/>
      <c r="PXJ9" s="217"/>
      <c r="PXK9" s="217"/>
      <c r="PXL9" s="217"/>
      <c r="PXM9" s="217"/>
      <c r="PXN9" s="217"/>
      <c r="PXO9" s="217"/>
      <c r="PXP9" s="217"/>
      <c r="PXQ9" s="217"/>
      <c r="PXR9" s="217"/>
      <c r="PXS9" s="217"/>
      <c r="PXT9" s="217"/>
      <c r="PXU9" s="217"/>
      <c r="PXV9" s="217"/>
      <c r="PXW9" s="217"/>
      <c r="PXX9" s="217"/>
      <c r="PXY9" s="217"/>
      <c r="PXZ9" s="217"/>
      <c r="PYA9" s="217"/>
      <c r="PYB9" s="217"/>
      <c r="PYC9" s="217"/>
      <c r="PYD9" s="217"/>
      <c r="PYE9" s="217"/>
      <c r="PYF9" s="217"/>
      <c r="PYG9" s="217"/>
      <c r="PYH9" s="217"/>
      <c r="PYI9" s="217"/>
      <c r="PYJ9" s="217"/>
      <c r="PYK9" s="217"/>
      <c r="PYL9" s="217"/>
      <c r="PYM9" s="217"/>
      <c r="PYN9" s="217"/>
      <c r="PYO9" s="217"/>
      <c r="PYP9" s="217"/>
      <c r="PYQ9" s="217"/>
      <c r="PYR9" s="217"/>
      <c r="PYS9" s="217"/>
      <c r="PYT9" s="217"/>
      <c r="PYU9" s="217"/>
      <c r="PYV9" s="217"/>
      <c r="PYW9" s="217"/>
      <c r="PYX9" s="217"/>
      <c r="PYY9" s="217"/>
      <c r="PYZ9" s="217"/>
      <c r="PZA9" s="217"/>
      <c r="PZB9" s="217"/>
      <c r="PZC9" s="217"/>
      <c r="PZD9" s="217"/>
      <c r="PZE9" s="217"/>
      <c r="PZF9" s="217"/>
      <c r="PZG9" s="217"/>
      <c r="PZH9" s="217"/>
      <c r="PZI9" s="217"/>
      <c r="PZJ9" s="217"/>
      <c r="PZK9" s="217"/>
      <c r="PZL9" s="217"/>
      <c r="PZM9" s="217"/>
      <c r="PZN9" s="217"/>
      <c r="PZO9" s="217"/>
      <c r="PZP9" s="217"/>
      <c r="PZQ9" s="217"/>
      <c r="PZR9" s="217"/>
      <c r="PZS9" s="217"/>
      <c r="PZT9" s="217"/>
      <c r="PZU9" s="217"/>
      <c r="PZV9" s="217"/>
      <c r="PZW9" s="217"/>
      <c r="PZX9" s="217"/>
      <c r="PZY9" s="217"/>
      <c r="PZZ9" s="217"/>
      <c r="QAA9" s="217"/>
      <c r="QAB9" s="217"/>
      <c r="QAC9" s="217"/>
      <c r="QAD9" s="217"/>
      <c r="QAE9" s="217"/>
      <c r="QAF9" s="217"/>
      <c r="QAG9" s="217"/>
      <c r="QAH9" s="217"/>
      <c r="QAI9" s="217"/>
      <c r="QAJ9" s="217"/>
      <c r="QAK9" s="217"/>
      <c r="QAL9" s="217"/>
      <c r="QAM9" s="217"/>
      <c r="QAN9" s="217"/>
      <c r="QAO9" s="217"/>
      <c r="QAP9" s="217"/>
      <c r="QAQ9" s="217"/>
      <c r="QAR9" s="217"/>
      <c r="QAS9" s="217"/>
      <c r="QAT9" s="217"/>
      <c r="QAU9" s="217"/>
      <c r="QAV9" s="217"/>
      <c r="QAW9" s="217"/>
      <c r="QAX9" s="217"/>
      <c r="QAY9" s="217"/>
      <c r="QAZ9" s="217"/>
      <c r="QBA9" s="217"/>
      <c r="QBB9" s="217"/>
      <c r="QBC9" s="217"/>
      <c r="QBD9" s="217"/>
      <c r="QBE9" s="217"/>
      <c r="QBF9" s="217"/>
      <c r="QBG9" s="217"/>
      <c r="QBH9" s="217"/>
      <c r="QBI9" s="217"/>
      <c r="QBJ9" s="217"/>
      <c r="QBK9" s="217"/>
      <c r="QBL9" s="217"/>
      <c r="QBM9" s="217"/>
      <c r="QBN9" s="217"/>
      <c r="QBO9" s="217"/>
      <c r="QBP9" s="217"/>
      <c r="QBQ9" s="217"/>
      <c r="QBR9" s="217"/>
      <c r="QBS9" s="217"/>
      <c r="QBT9" s="217"/>
      <c r="QBU9" s="217"/>
      <c r="QBV9" s="217"/>
      <c r="QBW9" s="217"/>
      <c r="QBX9" s="217"/>
      <c r="QBY9" s="217"/>
      <c r="QBZ9" s="217"/>
      <c r="QCA9" s="217"/>
      <c r="QCB9" s="217"/>
      <c r="QCC9" s="217"/>
      <c r="QCD9" s="217"/>
      <c r="QCE9" s="217"/>
      <c r="QCF9" s="217"/>
      <c r="QCG9" s="217"/>
      <c r="QCH9" s="217"/>
      <c r="QCI9" s="217"/>
      <c r="QCJ9" s="217"/>
      <c r="QCK9" s="217"/>
      <c r="QCL9" s="217"/>
      <c r="QCM9" s="217"/>
      <c r="QCN9" s="217"/>
      <c r="QCO9" s="217"/>
      <c r="QCP9" s="217"/>
      <c r="QCQ9" s="217"/>
      <c r="QCR9" s="217"/>
      <c r="QCS9" s="217"/>
      <c r="QCT9" s="217"/>
      <c r="QCU9" s="217"/>
      <c r="QCV9" s="217"/>
      <c r="QCW9" s="217"/>
      <c r="QCX9" s="217"/>
      <c r="QCY9" s="217"/>
      <c r="QCZ9" s="217"/>
      <c r="QDA9" s="217"/>
      <c r="QDB9" s="217"/>
      <c r="QDC9" s="217"/>
      <c r="QDD9" s="217"/>
      <c r="QDE9" s="217"/>
      <c r="QDF9" s="217"/>
      <c r="QDG9" s="217"/>
      <c r="QDH9" s="217"/>
      <c r="QDI9" s="217"/>
      <c r="QDJ9" s="217"/>
      <c r="QDK9" s="217"/>
      <c r="QDL9" s="217"/>
      <c r="QDM9" s="217"/>
      <c r="QDN9" s="217"/>
      <c r="QDO9" s="217"/>
      <c r="QDP9" s="217"/>
      <c r="QDQ9" s="217"/>
      <c r="QDR9" s="217"/>
      <c r="QDS9" s="217"/>
      <c r="QDT9" s="217"/>
      <c r="QDU9" s="217"/>
      <c r="QDV9" s="217"/>
      <c r="QDW9" s="217"/>
      <c r="QDX9" s="217"/>
      <c r="QDY9" s="217"/>
      <c r="QDZ9" s="217"/>
      <c r="QEA9" s="217"/>
      <c r="QEB9" s="217"/>
      <c r="QEC9" s="217"/>
      <c r="QED9" s="217"/>
      <c r="QEE9" s="217"/>
      <c r="QEF9" s="217"/>
      <c r="QEG9" s="217"/>
      <c r="QEH9" s="217"/>
      <c r="QEI9" s="217"/>
      <c r="QEJ9" s="217"/>
      <c r="QEK9" s="217"/>
      <c r="QEL9" s="217"/>
      <c r="QEM9" s="217"/>
      <c r="QEN9" s="217"/>
      <c r="QEO9" s="217"/>
      <c r="QEP9" s="217"/>
      <c r="QEQ9" s="217"/>
      <c r="QER9" s="217"/>
      <c r="QES9" s="217"/>
      <c r="QET9" s="217"/>
      <c r="QEU9" s="217"/>
      <c r="QEV9" s="217"/>
      <c r="QEW9" s="217"/>
      <c r="QEX9" s="217"/>
      <c r="QEY9" s="217"/>
      <c r="QEZ9" s="217"/>
      <c r="QFA9" s="217"/>
      <c r="QFB9" s="217"/>
      <c r="QFC9" s="217"/>
      <c r="QFD9" s="217"/>
      <c r="QFE9" s="217"/>
      <c r="QFF9" s="217"/>
      <c r="QFG9" s="217"/>
      <c r="QFH9" s="217"/>
      <c r="QFI9" s="217"/>
      <c r="QFJ9" s="217"/>
      <c r="QFK9" s="217"/>
      <c r="QFL9" s="217"/>
      <c r="QFM9" s="217"/>
      <c r="QFN9" s="217"/>
      <c r="QFO9" s="217"/>
      <c r="QFP9" s="217"/>
      <c r="QFQ9" s="217"/>
      <c r="QFR9" s="217"/>
      <c r="QFS9" s="217"/>
      <c r="QFT9" s="217"/>
      <c r="QFU9" s="217"/>
      <c r="QFV9" s="217"/>
      <c r="QFW9" s="217"/>
      <c r="QFX9" s="217"/>
      <c r="QFY9" s="217"/>
      <c r="QFZ9" s="217"/>
      <c r="QGA9" s="217"/>
      <c r="QGB9" s="217"/>
      <c r="QGC9" s="217"/>
      <c r="QGD9" s="217"/>
      <c r="QGE9" s="217"/>
      <c r="QGF9" s="217"/>
      <c r="QGG9" s="217"/>
      <c r="QGH9" s="217"/>
      <c r="QGI9" s="217"/>
      <c r="QGJ9" s="217"/>
      <c r="QGK9" s="217"/>
      <c r="QGL9" s="217"/>
      <c r="QGM9" s="217"/>
      <c r="QGN9" s="217"/>
      <c r="QGO9" s="217"/>
      <c r="QGP9" s="217"/>
      <c r="QGQ9" s="217"/>
      <c r="QGR9" s="217"/>
      <c r="QGS9" s="217"/>
      <c r="QGT9" s="217"/>
      <c r="QGU9" s="217"/>
      <c r="QGV9" s="217"/>
      <c r="QGW9" s="217"/>
      <c r="QGX9" s="217"/>
      <c r="QGY9" s="217"/>
      <c r="QGZ9" s="217"/>
      <c r="QHA9" s="217"/>
      <c r="QHB9" s="217"/>
      <c r="QHC9" s="217"/>
      <c r="QHD9" s="217"/>
      <c r="QHE9" s="217"/>
      <c r="QHF9" s="217"/>
      <c r="QHG9" s="217"/>
      <c r="QHH9" s="217"/>
      <c r="QHI9" s="217"/>
      <c r="QHJ9" s="217"/>
      <c r="QHK9" s="217"/>
      <c r="QHL9" s="217"/>
      <c r="QHM9" s="217"/>
      <c r="QHN9" s="217"/>
      <c r="QHO9" s="217"/>
      <c r="QHP9" s="217"/>
      <c r="QHQ9" s="217"/>
      <c r="QHR9" s="217"/>
      <c r="QHS9" s="217"/>
      <c r="QHT9" s="217"/>
      <c r="QHU9" s="217"/>
      <c r="QHV9" s="217"/>
      <c r="QHW9" s="217"/>
      <c r="QHX9" s="217"/>
      <c r="QHY9" s="217"/>
      <c r="QHZ9" s="217"/>
      <c r="QIA9" s="217"/>
      <c r="QIB9" s="217"/>
      <c r="QIC9" s="217"/>
      <c r="QID9" s="217"/>
      <c r="QIE9" s="217"/>
      <c r="QIF9" s="217"/>
      <c r="QIG9" s="217"/>
      <c r="QIH9" s="217"/>
      <c r="QII9" s="217"/>
      <c r="QIJ9" s="217"/>
      <c r="QIK9" s="217"/>
      <c r="QIL9" s="217"/>
      <c r="QIM9" s="217"/>
      <c r="QIN9" s="217"/>
      <c r="QIO9" s="217"/>
      <c r="QIP9" s="217"/>
      <c r="QIQ9" s="217"/>
      <c r="QIR9" s="217"/>
      <c r="QIS9" s="217"/>
      <c r="QIT9" s="217"/>
      <c r="QIU9" s="217"/>
      <c r="QIV9" s="217"/>
      <c r="QIW9" s="217"/>
      <c r="QIX9" s="217"/>
      <c r="QIY9" s="217"/>
      <c r="QIZ9" s="217"/>
      <c r="QJA9" s="217"/>
      <c r="QJB9" s="217"/>
      <c r="QJC9" s="217"/>
      <c r="QJD9" s="217"/>
      <c r="QJE9" s="217"/>
      <c r="QJF9" s="217"/>
      <c r="QJG9" s="217"/>
      <c r="QJH9" s="217"/>
      <c r="QJI9" s="217"/>
      <c r="QJJ9" s="217"/>
      <c r="QJK9" s="217"/>
      <c r="QJL9" s="217"/>
      <c r="QJM9" s="217"/>
      <c r="QJN9" s="217"/>
      <c r="QJO9" s="217"/>
      <c r="QJP9" s="217"/>
      <c r="QJQ9" s="217"/>
      <c r="QJR9" s="217"/>
      <c r="QJS9" s="217"/>
      <c r="QJT9" s="217"/>
      <c r="QJU9" s="217"/>
      <c r="QJV9" s="217"/>
      <c r="QJW9" s="217"/>
      <c r="QJX9" s="217"/>
      <c r="QJY9" s="217"/>
      <c r="QJZ9" s="217"/>
      <c r="QKA9" s="217"/>
      <c r="QKB9" s="217"/>
      <c r="QKC9" s="217"/>
      <c r="QKD9" s="217"/>
      <c r="QKE9" s="217"/>
      <c r="QKF9" s="217"/>
      <c r="QKG9" s="217"/>
      <c r="QKH9" s="217"/>
      <c r="QKI9" s="217"/>
      <c r="QKJ9" s="217"/>
      <c r="QKK9" s="217"/>
      <c r="QKL9" s="217"/>
      <c r="QKM9" s="217"/>
      <c r="QKN9" s="217"/>
      <c r="QKO9" s="217"/>
      <c r="QKP9" s="217"/>
      <c r="QKQ9" s="217"/>
      <c r="QKR9" s="217"/>
      <c r="QKS9" s="217"/>
      <c r="QKT9" s="217"/>
      <c r="QKU9" s="217"/>
      <c r="QKV9" s="217"/>
      <c r="QKW9" s="217"/>
      <c r="QKX9" s="217"/>
      <c r="QKY9" s="217"/>
      <c r="QKZ9" s="217"/>
      <c r="QLA9" s="217"/>
      <c r="QLB9" s="217"/>
      <c r="QLC9" s="217"/>
      <c r="QLD9" s="217"/>
      <c r="QLE9" s="217"/>
      <c r="QLF9" s="217"/>
      <c r="QLG9" s="217"/>
      <c r="QLH9" s="217"/>
      <c r="QLI9" s="217"/>
      <c r="QLJ9" s="217"/>
      <c r="QLK9" s="217"/>
      <c r="QLL9" s="217"/>
      <c r="QLM9" s="217"/>
      <c r="QLN9" s="217"/>
      <c r="QLO9" s="217"/>
      <c r="QLP9" s="217"/>
      <c r="QLQ9" s="217"/>
      <c r="QLR9" s="217"/>
      <c r="QLS9" s="217"/>
      <c r="QLT9" s="217"/>
      <c r="QLU9" s="217"/>
      <c r="QLV9" s="217"/>
      <c r="QLW9" s="217"/>
      <c r="QLX9" s="217"/>
      <c r="QLY9" s="217"/>
      <c r="QLZ9" s="217"/>
      <c r="QMA9" s="217"/>
      <c r="QMB9" s="217"/>
      <c r="QMC9" s="217"/>
      <c r="QMD9" s="217"/>
      <c r="QME9" s="217"/>
      <c r="QMF9" s="217"/>
      <c r="QMG9" s="217"/>
      <c r="QMH9" s="217"/>
      <c r="QMI9" s="217"/>
      <c r="QMJ9" s="217"/>
      <c r="QMK9" s="217"/>
      <c r="QML9" s="217"/>
      <c r="QMM9" s="217"/>
      <c r="QMN9" s="217"/>
      <c r="QMO9" s="217"/>
      <c r="QMP9" s="217"/>
      <c r="QMQ9" s="217"/>
      <c r="QMR9" s="217"/>
      <c r="QMS9" s="217"/>
      <c r="QMT9" s="217"/>
      <c r="QMU9" s="217"/>
      <c r="QMV9" s="217"/>
      <c r="QMW9" s="217"/>
      <c r="QMX9" s="217"/>
      <c r="QMY9" s="217"/>
      <c r="QMZ9" s="217"/>
      <c r="QNA9" s="217"/>
      <c r="QNB9" s="217"/>
      <c r="QNC9" s="217"/>
      <c r="QND9" s="217"/>
      <c r="QNE9" s="217"/>
      <c r="QNF9" s="217"/>
      <c r="QNG9" s="217"/>
      <c r="QNH9" s="217"/>
      <c r="QNI9" s="217"/>
      <c r="QNJ9" s="217"/>
      <c r="QNK9" s="217"/>
      <c r="QNL9" s="217"/>
      <c r="QNM9" s="217"/>
      <c r="QNN9" s="217"/>
      <c r="QNO9" s="217"/>
      <c r="QNP9" s="217"/>
      <c r="QNQ9" s="217"/>
      <c r="QNR9" s="217"/>
      <c r="QNS9" s="217"/>
      <c r="QNT9" s="217"/>
      <c r="QNU9" s="217"/>
      <c r="QNV9" s="217"/>
      <c r="QNW9" s="217"/>
      <c r="QNX9" s="217"/>
      <c r="QNY9" s="217"/>
      <c r="QNZ9" s="217"/>
      <c r="QOA9" s="217"/>
      <c r="QOB9" s="217"/>
      <c r="QOC9" s="217"/>
      <c r="QOD9" s="217"/>
      <c r="QOE9" s="217"/>
      <c r="QOF9" s="217"/>
      <c r="QOG9" s="217"/>
      <c r="QOH9" s="217"/>
      <c r="QOI9" s="217"/>
      <c r="QOJ9" s="217"/>
      <c r="QOK9" s="217"/>
      <c r="QOL9" s="217"/>
      <c r="QOM9" s="217"/>
      <c r="QON9" s="217"/>
      <c r="QOO9" s="217"/>
      <c r="QOP9" s="217"/>
      <c r="QOQ9" s="217"/>
      <c r="QOR9" s="217"/>
      <c r="QOS9" s="217"/>
      <c r="QOT9" s="217"/>
      <c r="QOU9" s="217"/>
      <c r="QOV9" s="217"/>
      <c r="QOW9" s="217"/>
      <c r="QOX9" s="217"/>
      <c r="QOY9" s="217"/>
      <c r="QOZ9" s="217"/>
      <c r="QPA9" s="217"/>
      <c r="QPB9" s="217"/>
      <c r="QPC9" s="217"/>
      <c r="QPD9" s="217"/>
      <c r="QPE9" s="217"/>
      <c r="QPF9" s="217"/>
      <c r="QPG9" s="217"/>
      <c r="QPH9" s="217"/>
      <c r="QPI9" s="217"/>
      <c r="QPJ9" s="217"/>
      <c r="QPK9" s="217"/>
      <c r="QPL9" s="217"/>
      <c r="QPM9" s="217"/>
      <c r="QPN9" s="217"/>
      <c r="QPO9" s="217"/>
      <c r="QPP9" s="217"/>
      <c r="QPQ9" s="217"/>
      <c r="QPR9" s="217"/>
      <c r="QPS9" s="217"/>
      <c r="QPT9" s="217"/>
      <c r="QPU9" s="217"/>
      <c r="QPV9" s="217"/>
      <c r="QPW9" s="217"/>
      <c r="QPX9" s="217"/>
      <c r="QPY9" s="217"/>
      <c r="QPZ9" s="217"/>
      <c r="QQA9" s="217"/>
      <c r="QQB9" s="217"/>
      <c r="QQC9" s="217"/>
      <c r="QQD9" s="217"/>
      <c r="QQE9" s="217"/>
      <c r="QQF9" s="217"/>
      <c r="QQG9" s="217"/>
      <c r="QQH9" s="217"/>
      <c r="QQI9" s="217"/>
      <c r="QQJ9" s="217"/>
      <c r="QQK9" s="217"/>
      <c r="QQL9" s="217"/>
      <c r="QQM9" s="217"/>
      <c r="QQN9" s="217"/>
      <c r="QQO9" s="217"/>
      <c r="QQP9" s="217"/>
      <c r="QQQ9" s="217"/>
      <c r="QQR9" s="217"/>
      <c r="QQS9" s="217"/>
      <c r="QQT9" s="217"/>
      <c r="QQU9" s="217"/>
      <c r="QQV9" s="217"/>
      <c r="QQW9" s="217"/>
      <c r="QQX9" s="217"/>
      <c r="QQY9" s="217"/>
      <c r="QQZ9" s="217"/>
      <c r="QRA9" s="217"/>
      <c r="QRB9" s="217"/>
      <c r="QRC9" s="217"/>
      <c r="QRD9" s="217"/>
      <c r="QRE9" s="217"/>
      <c r="QRF9" s="217"/>
      <c r="QRG9" s="217"/>
      <c r="QRH9" s="217"/>
      <c r="QRI9" s="217"/>
      <c r="QRJ9" s="217"/>
      <c r="QRK9" s="217"/>
      <c r="QRL9" s="217"/>
      <c r="QRM9" s="217"/>
      <c r="QRN9" s="217"/>
      <c r="QRO9" s="217"/>
      <c r="QRP9" s="217"/>
      <c r="QRQ9" s="217"/>
      <c r="QRR9" s="217"/>
      <c r="QRS9" s="217"/>
      <c r="QRT9" s="217"/>
      <c r="QRU9" s="217"/>
      <c r="QRV9" s="217"/>
      <c r="QRW9" s="217"/>
      <c r="QRX9" s="217"/>
      <c r="QRY9" s="217"/>
      <c r="QRZ9" s="217"/>
      <c r="QSA9" s="217"/>
      <c r="QSB9" s="217"/>
      <c r="QSC9" s="217"/>
      <c r="QSD9" s="217"/>
      <c r="QSE9" s="217"/>
      <c r="QSF9" s="217"/>
      <c r="QSG9" s="217"/>
      <c r="QSH9" s="217"/>
      <c r="QSI9" s="217"/>
      <c r="QSJ9" s="217"/>
      <c r="QSK9" s="217"/>
      <c r="QSL9" s="217"/>
      <c r="QSM9" s="217"/>
      <c r="QSN9" s="217"/>
      <c r="QSO9" s="217"/>
      <c r="QSP9" s="217"/>
      <c r="QSQ9" s="217"/>
      <c r="QSR9" s="217"/>
      <c r="QSS9" s="217"/>
      <c r="QST9" s="217"/>
      <c r="QSU9" s="217"/>
      <c r="QSV9" s="217"/>
      <c r="QSW9" s="217"/>
      <c r="QSX9" s="217"/>
      <c r="QSY9" s="217"/>
      <c r="QSZ9" s="217"/>
      <c r="QTA9" s="217"/>
      <c r="QTB9" s="217"/>
      <c r="QTC9" s="217"/>
      <c r="QTD9" s="217"/>
      <c r="QTE9" s="217"/>
      <c r="QTF9" s="217"/>
      <c r="QTG9" s="217"/>
      <c r="QTH9" s="217"/>
      <c r="QTI9" s="217"/>
      <c r="QTJ9" s="217"/>
      <c r="QTK9" s="217"/>
      <c r="QTL9" s="217"/>
      <c r="QTM9" s="217"/>
      <c r="QTN9" s="217"/>
      <c r="QTO9" s="217"/>
      <c r="QTP9" s="217"/>
      <c r="QTQ9" s="217"/>
      <c r="QTR9" s="217"/>
      <c r="QTS9" s="217"/>
      <c r="QTT9" s="217"/>
      <c r="QTU9" s="217"/>
      <c r="QTV9" s="217"/>
      <c r="QTW9" s="217"/>
      <c r="QTX9" s="217"/>
      <c r="QTY9" s="217"/>
      <c r="QTZ9" s="217"/>
      <c r="QUA9" s="217"/>
      <c r="QUB9" s="217"/>
      <c r="QUC9" s="217"/>
      <c r="QUD9" s="217"/>
      <c r="QUE9" s="217"/>
      <c r="QUF9" s="217"/>
      <c r="QUG9" s="217"/>
      <c r="QUH9" s="217"/>
      <c r="QUI9" s="217"/>
      <c r="QUJ9" s="217"/>
      <c r="QUK9" s="217"/>
      <c r="QUL9" s="217"/>
      <c r="QUM9" s="217"/>
      <c r="QUN9" s="217"/>
      <c r="QUO9" s="217"/>
      <c r="QUP9" s="217"/>
      <c r="QUQ9" s="217"/>
      <c r="QUR9" s="217"/>
      <c r="QUS9" s="217"/>
      <c r="QUT9" s="217"/>
      <c r="QUU9" s="217"/>
      <c r="QUV9" s="217"/>
      <c r="QUW9" s="217"/>
      <c r="QUX9" s="217"/>
      <c r="QUY9" s="217"/>
      <c r="QUZ9" s="217"/>
      <c r="QVA9" s="217"/>
      <c r="QVB9" s="217"/>
      <c r="QVC9" s="217"/>
      <c r="QVD9" s="217"/>
      <c r="QVE9" s="217"/>
      <c r="QVF9" s="217"/>
      <c r="QVG9" s="217"/>
      <c r="QVH9" s="217"/>
      <c r="QVI9" s="217"/>
      <c r="QVJ9" s="217"/>
      <c r="QVK9" s="217"/>
      <c r="QVL9" s="217"/>
      <c r="QVM9" s="217"/>
      <c r="QVN9" s="217"/>
      <c r="QVO9" s="217"/>
      <c r="QVP9" s="217"/>
      <c r="QVQ9" s="217"/>
      <c r="QVR9" s="217"/>
      <c r="QVS9" s="217"/>
      <c r="QVT9" s="217"/>
      <c r="QVU9" s="217"/>
      <c r="QVV9" s="217"/>
      <c r="QVW9" s="217"/>
      <c r="QVX9" s="217"/>
      <c r="QVY9" s="217"/>
      <c r="QVZ9" s="217"/>
      <c r="QWA9" s="217"/>
      <c r="QWB9" s="217"/>
      <c r="QWC9" s="217"/>
      <c r="QWD9" s="217"/>
      <c r="QWE9" s="217"/>
      <c r="QWF9" s="217"/>
      <c r="QWG9" s="217"/>
      <c r="QWH9" s="217"/>
      <c r="QWI9" s="217"/>
      <c r="QWJ9" s="217"/>
      <c r="QWK9" s="217"/>
      <c r="QWL9" s="217"/>
      <c r="QWM9" s="217"/>
      <c r="QWN9" s="217"/>
      <c r="QWO9" s="217"/>
      <c r="QWP9" s="217"/>
      <c r="QWQ9" s="217"/>
      <c r="QWR9" s="217"/>
      <c r="QWS9" s="217"/>
      <c r="QWT9" s="217"/>
      <c r="QWU9" s="217"/>
      <c r="QWV9" s="217"/>
      <c r="QWW9" s="217"/>
      <c r="QWX9" s="217"/>
      <c r="QWY9" s="217"/>
      <c r="QWZ9" s="217"/>
      <c r="QXA9" s="217"/>
      <c r="QXB9" s="217"/>
      <c r="QXC9" s="217"/>
      <c r="QXD9" s="217"/>
      <c r="QXE9" s="217"/>
      <c r="QXF9" s="217"/>
      <c r="QXG9" s="217"/>
      <c r="QXH9" s="217"/>
      <c r="QXI9" s="217"/>
      <c r="QXJ9" s="217"/>
      <c r="QXK9" s="217"/>
      <c r="QXL9" s="217"/>
      <c r="QXM9" s="217"/>
      <c r="QXN9" s="217"/>
      <c r="QXO9" s="217"/>
      <c r="QXP9" s="217"/>
      <c r="QXQ9" s="217"/>
      <c r="QXR9" s="217"/>
      <c r="QXS9" s="217"/>
      <c r="QXT9" s="217"/>
      <c r="QXU9" s="217"/>
      <c r="QXV9" s="217"/>
      <c r="QXW9" s="217"/>
      <c r="QXX9" s="217"/>
      <c r="QXY9" s="217"/>
      <c r="QXZ9" s="217"/>
      <c r="QYA9" s="217"/>
      <c r="QYB9" s="217"/>
      <c r="QYC9" s="217"/>
      <c r="QYD9" s="217"/>
      <c r="QYE9" s="217"/>
      <c r="QYF9" s="217"/>
      <c r="QYG9" s="217"/>
      <c r="QYH9" s="217"/>
      <c r="QYI9" s="217"/>
      <c r="QYJ9" s="217"/>
      <c r="QYK9" s="217"/>
      <c r="QYL9" s="217"/>
      <c r="QYM9" s="217"/>
      <c r="QYN9" s="217"/>
      <c r="QYO9" s="217"/>
      <c r="QYP9" s="217"/>
      <c r="QYQ9" s="217"/>
      <c r="QYR9" s="217"/>
      <c r="QYS9" s="217"/>
      <c r="QYT9" s="217"/>
      <c r="QYU9" s="217"/>
      <c r="QYV9" s="217"/>
      <c r="QYW9" s="217"/>
      <c r="QYX9" s="217"/>
      <c r="QYY9" s="217"/>
      <c r="QYZ9" s="217"/>
      <c r="QZA9" s="217"/>
      <c r="QZB9" s="217"/>
      <c r="QZC9" s="217"/>
      <c r="QZD9" s="217"/>
      <c r="QZE9" s="217"/>
      <c r="QZF9" s="217"/>
      <c r="QZG9" s="217"/>
      <c r="QZH9" s="217"/>
      <c r="QZI9" s="217"/>
      <c r="QZJ9" s="217"/>
      <c r="QZK9" s="217"/>
      <c r="QZL9" s="217"/>
      <c r="QZM9" s="217"/>
      <c r="QZN9" s="217"/>
      <c r="QZO9" s="217"/>
      <c r="QZP9" s="217"/>
      <c r="QZQ9" s="217"/>
      <c r="QZR9" s="217"/>
      <c r="QZS9" s="217"/>
      <c r="QZT9" s="217"/>
      <c r="QZU9" s="217"/>
      <c r="QZV9" s="217"/>
      <c r="QZW9" s="217"/>
      <c r="QZX9" s="217"/>
      <c r="QZY9" s="217"/>
      <c r="QZZ9" s="217"/>
      <c r="RAA9" s="217"/>
      <c r="RAB9" s="217"/>
      <c r="RAC9" s="217"/>
      <c r="RAD9" s="217"/>
      <c r="RAE9" s="217"/>
      <c r="RAF9" s="217"/>
      <c r="RAG9" s="217"/>
      <c r="RAH9" s="217"/>
      <c r="RAI9" s="217"/>
      <c r="RAJ9" s="217"/>
      <c r="RAK9" s="217"/>
      <c r="RAL9" s="217"/>
      <c r="RAM9" s="217"/>
      <c r="RAN9" s="217"/>
      <c r="RAO9" s="217"/>
      <c r="RAP9" s="217"/>
      <c r="RAQ9" s="217"/>
      <c r="RAR9" s="217"/>
      <c r="RAS9" s="217"/>
      <c r="RAT9" s="217"/>
      <c r="RAU9" s="217"/>
      <c r="RAV9" s="217"/>
      <c r="RAW9" s="217"/>
      <c r="RAX9" s="217"/>
      <c r="RAY9" s="217"/>
      <c r="RAZ9" s="217"/>
      <c r="RBA9" s="217"/>
      <c r="RBB9" s="217"/>
      <c r="RBC9" s="217"/>
      <c r="RBD9" s="217"/>
      <c r="RBE9" s="217"/>
      <c r="RBF9" s="217"/>
      <c r="RBG9" s="217"/>
      <c r="RBH9" s="217"/>
      <c r="RBI9" s="217"/>
      <c r="RBJ9" s="217"/>
      <c r="RBK9" s="217"/>
      <c r="RBL9" s="217"/>
      <c r="RBM9" s="217"/>
      <c r="RBN9" s="217"/>
      <c r="RBO9" s="217"/>
      <c r="RBP9" s="217"/>
      <c r="RBQ9" s="217"/>
      <c r="RBR9" s="217"/>
      <c r="RBS9" s="217"/>
      <c r="RBT9" s="217"/>
      <c r="RBU9" s="217"/>
      <c r="RBV9" s="217"/>
      <c r="RBW9" s="217"/>
      <c r="RBX9" s="217"/>
      <c r="RBY9" s="217"/>
      <c r="RBZ9" s="217"/>
      <c r="RCA9" s="217"/>
      <c r="RCB9" s="217"/>
      <c r="RCC9" s="217"/>
      <c r="RCD9" s="217"/>
      <c r="RCE9" s="217"/>
      <c r="RCF9" s="217"/>
      <c r="RCG9" s="217"/>
      <c r="RCH9" s="217"/>
      <c r="RCI9" s="217"/>
      <c r="RCJ9" s="217"/>
      <c r="RCK9" s="217"/>
      <c r="RCL9" s="217"/>
      <c r="RCM9" s="217"/>
      <c r="RCN9" s="217"/>
      <c r="RCO9" s="217"/>
      <c r="RCP9" s="217"/>
      <c r="RCQ9" s="217"/>
      <c r="RCR9" s="217"/>
      <c r="RCS9" s="217"/>
      <c r="RCT9" s="217"/>
      <c r="RCU9" s="217"/>
      <c r="RCV9" s="217"/>
      <c r="RCW9" s="217"/>
      <c r="RCX9" s="217"/>
      <c r="RCY9" s="217"/>
      <c r="RCZ9" s="217"/>
      <c r="RDA9" s="217"/>
      <c r="RDB9" s="217"/>
      <c r="RDC9" s="217"/>
      <c r="RDD9" s="217"/>
      <c r="RDE9" s="217"/>
      <c r="RDF9" s="217"/>
      <c r="RDG9" s="217"/>
      <c r="RDH9" s="217"/>
      <c r="RDI9" s="217"/>
      <c r="RDJ9" s="217"/>
      <c r="RDK9" s="217"/>
      <c r="RDL9" s="217"/>
      <c r="RDM9" s="217"/>
      <c r="RDN9" s="217"/>
      <c r="RDO9" s="217"/>
      <c r="RDP9" s="217"/>
      <c r="RDQ9" s="217"/>
      <c r="RDR9" s="217"/>
      <c r="RDS9" s="217"/>
      <c r="RDT9" s="217"/>
      <c r="RDU9" s="217"/>
      <c r="RDV9" s="217"/>
      <c r="RDW9" s="217"/>
      <c r="RDX9" s="217"/>
      <c r="RDY9" s="217"/>
      <c r="RDZ9" s="217"/>
      <c r="REA9" s="217"/>
      <c r="REB9" s="217"/>
      <c r="REC9" s="217"/>
      <c r="RED9" s="217"/>
      <c r="REE9" s="217"/>
      <c r="REF9" s="217"/>
      <c r="REG9" s="217"/>
      <c r="REH9" s="217"/>
      <c r="REI9" s="217"/>
      <c r="REJ9" s="217"/>
      <c r="REK9" s="217"/>
      <c r="REL9" s="217"/>
      <c r="REM9" s="217"/>
      <c r="REN9" s="217"/>
      <c r="REO9" s="217"/>
      <c r="REP9" s="217"/>
      <c r="REQ9" s="217"/>
      <c r="RER9" s="217"/>
      <c r="RES9" s="217"/>
      <c r="RET9" s="217"/>
      <c r="REU9" s="217"/>
      <c r="REV9" s="217"/>
      <c r="REW9" s="217"/>
      <c r="REX9" s="217"/>
      <c r="REY9" s="217"/>
      <c r="REZ9" s="217"/>
      <c r="RFA9" s="217"/>
      <c r="RFB9" s="217"/>
      <c r="RFC9" s="217"/>
      <c r="RFD9" s="217"/>
      <c r="RFE9" s="217"/>
      <c r="RFF9" s="217"/>
      <c r="RFG9" s="217"/>
      <c r="RFH9" s="217"/>
      <c r="RFI9" s="217"/>
      <c r="RFJ9" s="217"/>
      <c r="RFK9" s="217"/>
      <c r="RFL9" s="217"/>
      <c r="RFM9" s="217"/>
      <c r="RFN9" s="217"/>
      <c r="RFO9" s="217"/>
      <c r="RFP9" s="217"/>
      <c r="RFQ9" s="217"/>
      <c r="RFR9" s="217"/>
      <c r="RFS9" s="217"/>
      <c r="RFT9" s="217"/>
      <c r="RFU9" s="217"/>
      <c r="RFV9" s="217"/>
      <c r="RFW9" s="217"/>
      <c r="RFX9" s="217"/>
      <c r="RFY9" s="217"/>
      <c r="RFZ9" s="217"/>
      <c r="RGA9" s="217"/>
      <c r="RGB9" s="217"/>
      <c r="RGC9" s="217"/>
      <c r="RGD9" s="217"/>
      <c r="RGE9" s="217"/>
      <c r="RGF9" s="217"/>
      <c r="RGG9" s="217"/>
      <c r="RGH9" s="217"/>
      <c r="RGI9" s="217"/>
      <c r="RGJ9" s="217"/>
      <c r="RGK9" s="217"/>
      <c r="RGL9" s="217"/>
      <c r="RGM9" s="217"/>
      <c r="RGN9" s="217"/>
      <c r="RGO9" s="217"/>
      <c r="RGP9" s="217"/>
      <c r="RGQ9" s="217"/>
      <c r="RGR9" s="217"/>
      <c r="RGS9" s="217"/>
      <c r="RGT9" s="217"/>
      <c r="RGU9" s="217"/>
      <c r="RGV9" s="217"/>
      <c r="RGW9" s="217"/>
      <c r="RGX9" s="217"/>
      <c r="RGY9" s="217"/>
      <c r="RGZ9" s="217"/>
      <c r="RHA9" s="217"/>
      <c r="RHB9" s="217"/>
      <c r="RHC9" s="217"/>
      <c r="RHD9" s="217"/>
      <c r="RHE9" s="217"/>
      <c r="RHF9" s="217"/>
      <c r="RHG9" s="217"/>
      <c r="RHH9" s="217"/>
      <c r="RHI9" s="217"/>
      <c r="RHJ9" s="217"/>
      <c r="RHK9" s="217"/>
      <c r="RHL9" s="217"/>
      <c r="RHM9" s="217"/>
      <c r="RHN9" s="217"/>
      <c r="RHO9" s="217"/>
      <c r="RHP9" s="217"/>
      <c r="RHQ9" s="217"/>
      <c r="RHR9" s="217"/>
      <c r="RHS9" s="217"/>
      <c r="RHT9" s="217"/>
      <c r="RHU9" s="217"/>
      <c r="RHV9" s="217"/>
      <c r="RHW9" s="217"/>
      <c r="RHX9" s="217"/>
      <c r="RHY9" s="217"/>
      <c r="RHZ9" s="217"/>
      <c r="RIA9" s="217"/>
      <c r="RIB9" s="217"/>
      <c r="RIC9" s="217"/>
      <c r="RID9" s="217"/>
      <c r="RIE9" s="217"/>
      <c r="RIF9" s="217"/>
      <c r="RIG9" s="217"/>
      <c r="RIH9" s="217"/>
      <c r="RII9" s="217"/>
      <c r="RIJ9" s="217"/>
      <c r="RIK9" s="217"/>
      <c r="RIL9" s="217"/>
      <c r="RIM9" s="217"/>
      <c r="RIN9" s="217"/>
      <c r="RIO9" s="217"/>
      <c r="RIP9" s="217"/>
      <c r="RIQ9" s="217"/>
      <c r="RIR9" s="217"/>
      <c r="RIS9" s="217"/>
      <c r="RIT9" s="217"/>
      <c r="RIU9" s="217"/>
      <c r="RIV9" s="217"/>
      <c r="RIW9" s="217"/>
      <c r="RIX9" s="217"/>
      <c r="RIY9" s="217"/>
      <c r="RIZ9" s="217"/>
      <c r="RJA9" s="217"/>
      <c r="RJB9" s="217"/>
      <c r="RJC9" s="217"/>
      <c r="RJD9" s="217"/>
      <c r="RJE9" s="217"/>
      <c r="RJF9" s="217"/>
      <c r="RJG9" s="217"/>
      <c r="RJH9" s="217"/>
      <c r="RJI9" s="217"/>
      <c r="RJJ9" s="217"/>
      <c r="RJK9" s="217"/>
      <c r="RJL9" s="217"/>
      <c r="RJM9" s="217"/>
      <c r="RJN9" s="217"/>
      <c r="RJO9" s="217"/>
      <c r="RJP9" s="217"/>
      <c r="RJQ9" s="217"/>
      <c r="RJR9" s="217"/>
      <c r="RJS9" s="217"/>
      <c r="RJT9" s="217"/>
      <c r="RJU9" s="217"/>
      <c r="RJV9" s="217"/>
      <c r="RJW9" s="217"/>
      <c r="RJX9" s="217"/>
      <c r="RJY9" s="217"/>
      <c r="RJZ9" s="217"/>
      <c r="RKA9" s="217"/>
      <c r="RKB9" s="217"/>
      <c r="RKC9" s="217"/>
      <c r="RKD9" s="217"/>
      <c r="RKE9" s="217"/>
      <c r="RKF9" s="217"/>
      <c r="RKG9" s="217"/>
      <c r="RKH9" s="217"/>
      <c r="RKI9" s="217"/>
      <c r="RKJ9" s="217"/>
      <c r="RKK9" s="217"/>
      <c r="RKL9" s="217"/>
      <c r="RKM9" s="217"/>
      <c r="RKN9" s="217"/>
      <c r="RKO9" s="217"/>
      <c r="RKP9" s="217"/>
      <c r="RKQ9" s="217"/>
      <c r="RKR9" s="217"/>
      <c r="RKS9" s="217"/>
      <c r="RKT9" s="217"/>
      <c r="RKU9" s="217"/>
      <c r="RKV9" s="217"/>
      <c r="RKW9" s="217"/>
      <c r="RKX9" s="217"/>
      <c r="RKY9" s="217"/>
      <c r="RKZ9" s="217"/>
      <c r="RLA9" s="217"/>
      <c r="RLB9" s="217"/>
      <c r="RLC9" s="217"/>
      <c r="RLD9" s="217"/>
      <c r="RLE9" s="217"/>
      <c r="RLF9" s="217"/>
      <c r="RLG9" s="217"/>
      <c r="RLH9" s="217"/>
      <c r="RLI9" s="217"/>
      <c r="RLJ9" s="217"/>
      <c r="RLK9" s="217"/>
      <c r="RLL9" s="217"/>
      <c r="RLM9" s="217"/>
      <c r="RLN9" s="217"/>
      <c r="RLO9" s="217"/>
      <c r="RLP9" s="217"/>
      <c r="RLQ9" s="217"/>
      <c r="RLR9" s="217"/>
      <c r="RLS9" s="217"/>
      <c r="RLT9" s="217"/>
      <c r="RLU9" s="217"/>
      <c r="RLV9" s="217"/>
      <c r="RLW9" s="217"/>
      <c r="RLX9" s="217"/>
      <c r="RLY9" s="217"/>
      <c r="RLZ9" s="217"/>
      <c r="RMA9" s="217"/>
      <c r="RMB9" s="217"/>
      <c r="RMC9" s="217"/>
      <c r="RMD9" s="217"/>
      <c r="RME9" s="217"/>
      <c r="RMF9" s="217"/>
      <c r="RMG9" s="217"/>
      <c r="RMH9" s="217"/>
      <c r="RMI9" s="217"/>
      <c r="RMJ9" s="217"/>
      <c r="RMK9" s="217"/>
      <c r="RML9" s="217"/>
      <c r="RMM9" s="217"/>
      <c r="RMN9" s="217"/>
      <c r="RMO9" s="217"/>
      <c r="RMP9" s="217"/>
      <c r="RMQ9" s="217"/>
      <c r="RMR9" s="217"/>
      <c r="RMS9" s="217"/>
      <c r="RMT9" s="217"/>
      <c r="RMU9" s="217"/>
      <c r="RMV9" s="217"/>
      <c r="RMW9" s="217"/>
      <c r="RMX9" s="217"/>
      <c r="RMY9" s="217"/>
      <c r="RMZ9" s="217"/>
      <c r="RNA9" s="217"/>
      <c r="RNB9" s="217"/>
      <c r="RNC9" s="217"/>
      <c r="RND9" s="217"/>
      <c r="RNE9" s="217"/>
      <c r="RNF9" s="217"/>
      <c r="RNG9" s="217"/>
      <c r="RNH9" s="217"/>
      <c r="RNI9" s="217"/>
      <c r="RNJ9" s="217"/>
      <c r="RNK9" s="217"/>
      <c r="RNL9" s="217"/>
      <c r="RNM9" s="217"/>
      <c r="RNN9" s="217"/>
      <c r="RNO9" s="217"/>
      <c r="RNP9" s="217"/>
      <c r="RNQ9" s="217"/>
      <c r="RNR9" s="217"/>
      <c r="RNS9" s="217"/>
      <c r="RNT9" s="217"/>
      <c r="RNU9" s="217"/>
      <c r="RNV9" s="217"/>
      <c r="RNW9" s="217"/>
      <c r="RNX9" s="217"/>
      <c r="RNY9" s="217"/>
      <c r="RNZ9" s="217"/>
      <c r="ROA9" s="217"/>
      <c r="ROB9" s="217"/>
      <c r="ROC9" s="217"/>
      <c r="ROD9" s="217"/>
      <c r="ROE9" s="217"/>
      <c r="ROF9" s="217"/>
      <c r="ROG9" s="217"/>
      <c r="ROH9" s="217"/>
      <c r="ROI9" s="217"/>
      <c r="ROJ9" s="217"/>
      <c r="ROK9" s="217"/>
      <c r="ROL9" s="217"/>
      <c r="ROM9" s="217"/>
      <c r="RON9" s="217"/>
      <c r="ROO9" s="217"/>
      <c r="ROP9" s="217"/>
      <c r="ROQ9" s="217"/>
      <c r="ROR9" s="217"/>
      <c r="ROS9" s="217"/>
      <c r="ROT9" s="217"/>
      <c r="ROU9" s="217"/>
      <c r="ROV9" s="217"/>
      <c r="ROW9" s="217"/>
      <c r="ROX9" s="217"/>
      <c r="ROY9" s="217"/>
      <c r="ROZ9" s="217"/>
      <c r="RPA9" s="217"/>
      <c r="RPB9" s="217"/>
      <c r="RPC9" s="217"/>
      <c r="RPD9" s="217"/>
      <c r="RPE9" s="217"/>
      <c r="RPF9" s="217"/>
      <c r="RPG9" s="217"/>
      <c r="RPH9" s="217"/>
      <c r="RPI9" s="217"/>
      <c r="RPJ9" s="217"/>
      <c r="RPK9" s="217"/>
      <c r="RPL9" s="217"/>
      <c r="RPM9" s="217"/>
      <c r="RPN9" s="217"/>
      <c r="RPO9" s="217"/>
      <c r="RPP9" s="217"/>
      <c r="RPQ9" s="217"/>
      <c r="RPR9" s="217"/>
      <c r="RPS9" s="217"/>
      <c r="RPT9" s="217"/>
      <c r="RPU9" s="217"/>
      <c r="RPV9" s="217"/>
      <c r="RPW9" s="217"/>
      <c r="RPX9" s="217"/>
      <c r="RPY9" s="217"/>
      <c r="RPZ9" s="217"/>
      <c r="RQA9" s="217"/>
      <c r="RQB9" s="217"/>
      <c r="RQC9" s="217"/>
      <c r="RQD9" s="217"/>
      <c r="RQE9" s="217"/>
      <c r="RQF9" s="217"/>
      <c r="RQG9" s="217"/>
      <c r="RQH9" s="217"/>
      <c r="RQI9" s="217"/>
      <c r="RQJ9" s="217"/>
      <c r="RQK9" s="217"/>
      <c r="RQL9" s="217"/>
      <c r="RQM9" s="217"/>
      <c r="RQN9" s="217"/>
      <c r="RQO9" s="217"/>
      <c r="RQP9" s="217"/>
      <c r="RQQ9" s="217"/>
      <c r="RQR9" s="217"/>
      <c r="RQS9" s="217"/>
      <c r="RQT9" s="217"/>
      <c r="RQU9" s="217"/>
      <c r="RQV9" s="217"/>
      <c r="RQW9" s="217"/>
      <c r="RQX9" s="217"/>
      <c r="RQY9" s="217"/>
      <c r="RQZ9" s="217"/>
      <c r="RRA9" s="217"/>
      <c r="RRB9" s="217"/>
      <c r="RRC9" s="217"/>
      <c r="RRD9" s="217"/>
      <c r="RRE9" s="217"/>
      <c r="RRF9" s="217"/>
      <c r="RRG9" s="217"/>
      <c r="RRH9" s="217"/>
      <c r="RRI9" s="217"/>
      <c r="RRJ9" s="217"/>
      <c r="RRK9" s="217"/>
      <c r="RRL9" s="217"/>
      <c r="RRM9" s="217"/>
      <c r="RRN9" s="217"/>
      <c r="RRO9" s="217"/>
      <c r="RRP9" s="217"/>
      <c r="RRQ9" s="217"/>
      <c r="RRR9" s="217"/>
      <c r="RRS9" s="217"/>
      <c r="RRT9" s="217"/>
      <c r="RRU9" s="217"/>
      <c r="RRV9" s="217"/>
      <c r="RRW9" s="217"/>
      <c r="RRX9" s="217"/>
      <c r="RRY9" s="217"/>
      <c r="RRZ9" s="217"/>
      <c r="RSA9" s="217"/>
      <c r="RSB9" s="217"/>
      <c r="RSC9" s="217"/>
      <c r="RSD9" s="217"/>
      <c r="RSE9" s="217"/>
      <c r="RSF9" s="217"/>
      <c r="RSG9" s="217"/>
      <c r="RSH9" s="217"/>
      <c r="RSI9" s="217"/>
      <c r="RSJ9" s="217"/>
      <c r="RSK9" s="217"/>
      <c r="RSL9" s="217"/>
      <c r="RSM9" s="217"/>
      <c r="RSN9" s="217"/>
      <c r="RSO9" s="217"/>
      <c r="RSP9" s="217"/>
      <c r="RSQ9" s="217"/>
      <c r="RSR9" s="217"/>
      <c r="RSS9" s="217"/>
      <c r="RST9" s="217"/>
      <c r="RSU9" s="217"/>
      <c r="RSV9" s="217"/>
      <c r="RSW9" s="217"/>
      <c r="RSX9" s="217"/>
      <c r="RSY9" s="217"/>
      <c r="RSZ9" s="217"/>
      <c r="RTA9" s="217"/>
      <c r="RTB9" s="217"/>
      <c r="RTC9" s="217"/>
      <c r="RTD9" s="217"/>
      <c r="RTE9" s="217"/>
      <c r="RTF9" s="217"/>
      <c r="RTG9" s="217"/>
      <c r="RTH9" s="217"/>
      <c r="RTI9" s="217"/>
      <c r="RTJ9" s="217"/>
      <c r="RTK9" s="217"/>
      <c r="RTL9" s="217"/>
      <c r="RTM9" s="217"/>
      <c r="RTN9" s="217"/>
      <c r="RTO9" s="217"/>
      <c r="RTP9" s="217"/>
      <c r="RTQ9" s="217"/>
      <c r="RTR9" s="217"/>
      <c r="RTS9" s="217"/>
      <c r="RTT9" s="217"/>
      <c r="RTU9" s="217"/>
      <c r="RTV9" s="217"/>
      <c r="RTW9" s="217"/>
      <c r="RTX9" s="217"/>
      <c r="RTY9" s="217"/>
      <c r="RTZ9" s="217"/>
      <c r="RUA9" s="217"/>
      <c r="RUB9" s="217"/>
      <c r="RUC9" s="217"/>
      <c r="RUD9" s="217"/>
      <c r="RUE9" s="217"/>
      <c r="RUF9" s="217"/>
      <c r="RUG9" s="217"/>
      <c r="RUH9" s="217"/>
      <c r="RUI9" s="217"/>
      <c r="RUJ9" s="217"/>
      <c r="RUK9" s="217"/>
      <c r="RUL9" s="217"/>
      <c r="RUM9" s="217"/>
      <c r="RUN9" s="217"/>
      <c r="RUO9" s="217"/>
      <c r="RUP9" s="217"/>
      <c r="RUQ9" s="217"/>
      <c r="RUR9" s="217"/>
      <c r="RUS9" s="217"/>
      <c r="RUT9" s="217"/>
      <c r="RUU9" s="217"/>
      <c r="RUV9" s="217"/>
      <c r="RUW9" s="217"/>
      <c r="RUX9" s="217"/>
      <c r="RUY9" s="217"/>
      <c r="RUZ9" s="217"/>
      <c r="RVA9" s="217"/>
      <c r="RVB9" s="217"/>
      <c r="RVC9" s="217"/>
      <c r="RVD9" s="217"/>
      <c r="RVE9" s="217"/>
      <c r="RVF9" s="217"/>
      <c r="RVG9" s="217"/>
      <c r="RVH9" s="217"/>
      <c r="RVI9" s="217"/>
      <c r="RVJ9" s="217"/>
      <c r="RVK9" s="217"/>
      <c r="RVL9" s="217"/>
      <c r="RVM9" s="217"/>
      <c r="RVN9" s="217"/>
      <c r="RVO9" s="217"/>
      <c r="RVP9" s="217"/>
      <c r="RVQ9" s="217"/>
      <c r="RVR9" s="217"/>
      <c r="RVS9" s="217"/>
      <c r="RVT9" s="217"/>
      <c r="RVU9" s="217"/>
      <c r="RVV9" s="217"/>
      <c r="RVW9" s="217"/>
      <c r="RVX9" s="217"/>
      <c r="RVY9" s="217"/>
      <c r="RVZ9" s="217"/>
      <c r="RWA9" s="217"/>
      <c r="RWB9" s="217"/>
      <c r="RWC9" s="217"/>
      <c r="RWD9" s="217"/>
      <c r="RWE9" s="217"/>
      <c r="RWF9" s="217"/>
      <c r="RWG9" s="217"/>
      <c r="RWH9" s="217"/>
      <c r="RWI9" s="217"/>
      <c r="RWJ9" s="217"/>
      <c r="RWK9" s="217"/>
      <c r="RWL9" s="217"/>
      <c r="RWM9" s="217"/>
      <c r="RWN9" s="217"/>
      <c r="RWO9" s="217"/>
      <c r="RWP9" s="217"/>
      <c r="RWQ9" s="217"/>
      <c r="RWR9" s="217"/>
      <c r="RWS9" s="217"/>
      <c r="RWT9" s="217"/>
      <c r="RWU9" s="217"/>
      <c r="RWV9" s="217"/>
      <c r="RWW9" s="217"/>
      <c r="RWX9" s="217"/>
      <c r="RWY9" s="217"/>
      <c r="RWZ9" s="217"/>
      <c r="RXA9" s="217"/>
      <c r="RXB9" s="217"/>
      <c r="RXC9" s="217"/>
      <c r="RXD9" s="217"/>
      <c r="RXE9" s="217"/>
      <c r="RXF9" s="217"/>
      <c r="RXG9" s="217"/>
      <c r="RXH9" s="217"/>
      <c r="RXI9" s="217"/>
      <c r="RXJ9" s="217"/>
      <c r="RXK9" s="217"/>
      <c r="RXL9" s="217"/>
      <c r="RXM9" s="217"/>
      <c r="RXN9" s="217"/>
      <c r="RXO9" s="217"/>
      <c r="RXP9" s="217"/>
      <c r="RXQ9" s="217"/>
      <c r="RXR9" s="217"/>
      <c r="RXS9" s="217"/>
      <c r="RXT9" s="217"/>
      <c r="RXU9" s="217"/>
      <c r="RXV9" s="217"/>
      <c r="RXW9" s="217"/>
      <c r="RXX9" s="217"/>
      <c r="RXY9" s="217"/>
      <c r="RXZ9" s="217"/>
      <c r="RYA9" s="217"/>
      <c r="RYB9" s="217"/>
      <c r="RYC9" s="217"/>
      <c r="RYD9" s="217"/>
      <c r="RYE9" s="217"/>
      <c r="RYF9" s="217"/>
      <c r="RYG9" s="217"/>
      <c r="RYH9" s="217"/>
      <c r="RYI9" s="217"/>
      <c r="RYJ9" s="217"/>
      <c r="RYK9" s="217"/>
      <c r="RYL9" s="217"/>
      <c r="RYM9" s="217"/>
      <c r="RYN9" s="217"/>
      <c r="RYO9" s="217"/>
      <c r="RYP9" s="217"/>
      <c r="RYQ9" s="217"/>
      <c r="RYR9" s="217"/>
      <c r="RYS9" s="217"/>
      <c r="RYT9" s="217"/>
      <c r="RYU9" s="217"/>
      <c r="RYV9" s="217"/>
      <c r="RYW9" s="217"/>
      <c r="RYX9" s="217"/>
      <c r="RYY9" s="217"/>
      <c r="RYZ9" s="217"/>
      <c r="RZA9" s="217"/>
      <c r="RZB9" s="217"/>
      <c r="RZC9" s="217"/>
      <c r="RZD9" s="217"/>
      <c r="RZE9" s="217"/>
      <c r="RZF9" s="217"/>
      <c r="RZG9" s="217"/>
      <c r="RZH9" s="217"/>
      <c r="RZI9" s="217"/>
      <c r="RZJ9" s="217"/>
      <c r="RZK9" s="217"/>
      <c r="RZL9" s="217"/>
      <c r="RZM9" s="217"/>
      <c r="RZN9" s="217"/>
      <c r="RZO9" s="217"/>
      <c r="RZP9" s="217"/>
      <c r="RZQ9" s="217"/>
      <c r="RZR9" s="217"/>
      <c r="RZS9" s="217"/>
      <c r="RZT9" s="217"/>
      <c r="RZU9" s="217"/>
      <c r="RZV9" s="217"/>
      <c r="RZW9" s="217"/>
      <c r="RZX9" s="217"/>
      <c r="RZY9" s="217"/>
      <c r="RZZ9" s="217"/>
      <c r="SAA9" s="217"/>
      <c r="SAB9" s="217"/>
      <c r="SAC9" s="217"/>
      <c r="SAD9" s="217"/>
      <c r="SAE9" s="217"/>
      <c r="SAF9" s="217"/>
      <c r="SAG9" s="217"/>
      <c r="SAH9" s="217"/>
      <c r="SAI9" s="217"/>
      <c r="SAJ9" s="217"/>
      <c r="SAK9" s="217"/>
      <c r="SAL9" s="217"/>
      <c r="SAM9" s="217"/>
      <c r="SAN9" s="217"/>
      <c r="SAO9" s="217"/>
      <c r="SAP9" s="217"/>
      <c r="SAQ9" s="217"/>
      <c r="SAR9" s="217"/>
      <c r="SAS9" s="217"/>
      <c r="SAT9" s="217"/>
      <c r="SAU9" s="217"/>
      <c r="SAV9" s="217"/>
      <c r="SAW9" s="217"/>
      <c r="SAX9" s="217"/>
      <c r="SAY9" s="217"/>
      <c r="SAZ9" s="217"/>
      <c r="SBA9" s="217"/>
      <c r="SBB9" s="217"/>
      <c r="SBC9" s="217"/>
      <c r="SBD9" s="217"/>
      <c r="SBE9" s="217"/>
      <c r="SBF9" s="217"/>
      <c r="SBG9" s="217"/>
      <c r="SBH9" s="217"/>
      <c r="SBI9" s="217"/>
      <c r="SBJ9" s="217"/>
      <c r="SBK9" s="217"/>
      <c r="SBL9" s="217"/>
      <c r="SBM9" s="217"/>
      <c r="SBN9" s="217"/>
      <c r="SBO9" s="217"/>
      <c r="SBP9" s="217"/>
      <c r="SBQ9" s="217"/>
      <c r="SBR9" s="217"/>
      <c r="SBS9" s="217"/>
      <c r="SBT9" s="217"/>
      <c r="SBU9" s="217"/>
      <c r="SBV9" s="217"/>
      <c r="SBW9" s="217"/>
      <c r="SBX9" s="217"/>
      <c r="SBY9" s="217"/>
      <c r="SBZ9" s="217"/>
      <c r="SCA9" s="217"/>
      <c r="SCB9" s="217"/>
      <c r="SCC9" s="217"/>
      <c r="SCD9" s="217"/>
      <c r="SCE9" s="217"/>
      <c r="SCF9" s="217"/>
      <c r="SCG9" s="217"/>
      <c r="SCH9" s="217"/>
      <c r="SCI9" s="217"/>
      <c r="SCJ9" s="217"/>
      <c r="SCK9" s="217"/>
      <c r="SCL9" s="217"/>
      <c r="SCM9" s="217"/>
      <c r="SCN9" s="217"/>
      <c r="SCO9" s="217"/>
      <c r="SCP9" s="217"/>
      <c r="SCQ9" s="217"/>
      <c r="SCR9" s="217"/>
      <c r="SCS9" s="217"/>
      <c r="SCT9" s="217"/>
      <c r="SCU9" s="217"/>
      <c r="SCV9" s="217"/>
      <c r="SCW9" s="217"/>
      <c r="SCX9" s="217"/>
      <c r="SCY9" s="217"/>
      <c r="SCZ9" s="217"/>
      <c r="SDA9" s="217"/>
      <c r="SDB9" s="217"/>
      <c r="SDC9" s="217"/>
      <c r="SDD9" s="217"/>
      <c r="SDE9" s="217"/>
      <c r="SDF9" s="217"/>
      <c r="SDG9" s="217"/>
      <c r="SDH9" s="217"/>
      <c r="SDI9" s="217"/>
      <c r="SDJ9" s="217"/>
      <c r="SDK9" s="217"/>
      <c r="SDL9" s="217"/>
      <c r="SDM9" s="217"/>
      <c r="SDN9" s="217"/>
      <c r="SDO9" s="217"/>
      <c r="SDP9" s="217"/>
      <c r="SDQ9" s="217"/>
      <c r="SDR9" s="217"/>
      <c r="SDS9" s="217"/>
      <c r="SDT9" s="217"/>
      <c r="SDU9" s="217"/>
      <c r="SDV9" s="217"/>
      <c r="SDW9" s="217"/>
      <c r="SDX9" s="217"/>
      <c r="SDY9" s="217"/>
      <c r="SDZ9" s="217"/>
      <c r="SEA9" s="217"/>
      <c r="SEB9" s="217"/>
      <c r="SEC9" s="217"/>
      <c r="SED9" s="217"/>
      <c r="SEE9" s="217"/>
      <c r="SEF9" s="217"/>
      <c r="SEG9" s="217"/>
      <c r="SEH9" s="217"/>
      <c r="SEI9" s="217"/>
      <c r="SEJ9" s="217"/>
      <c r="SEK9" s="217"/>
      <c r="SEL9" s="217"/>
      <c r="SEM9" s="217"/>
      <c r="SEN9" s="217"/>
      <c r="SEO9" s="217"/>
      <c r="SEP9" s="217"/>
      <c r="SEQ9" s="217"/>
      <c r="SER9" s="217"/>
      <c r="SES9" s="217"/>
      <c r="SET9" s="217"/>
      <c r="SEU9" s="217"/>
      <c r="SEV9" s="217"/>
      <c r="SEW9" s="217"/>
      <c r="SEX9" s="217"/>
      <c r="SEY9" s="217"/>
      <c r="SEZ9" s="217"/>
      <c r="SFA9" s="217"/>
      <c r="SFB9" s="217"/>
      <c r="SFC9" s="217"/>
      <c r="SFD9" s="217"/>
      <c r="SFE9" s="217"/>
      <c r="SFF9" s="217"/>
      <c r="SFG9" s="217"/>
      <c r="SFH9" s="217"/>
      <c r="SFI9" s="217"/>
      <c r="SFJ9" s="217"/>
      <c r="SFK9" s="217"/>
      <c r="SFL9" s="217"/>
      <c r="SFM9" s="217"/>
      <c r="SFN9" s="217"/>
      <c r="SFO9" s="217"/>
      <c r="SFP9" s="217"/>
      <c r="SFQ9" s="217"/>
      <c r="SFR9" s="217"/>
      <c r="SFS9" s="217"/>
      <c r="SFT9" s="217"/>
      <c r="SFU9" s="217"/>
      <c r="SFV9" s="217"/>
      <c r="SFW9" s="217"/>
      <c r="SFX9" s="217"/>
      <c r="SFY9" s="217"/>
      <c r="SFZ9" s="217"/>
      <c r="SGA9" s="217"/>
      <c r="SGB9" s="217"/>
      <c r="SGC9" s="217"/>
      <c r="SGD9" s="217"/>
      <c r="SGE9" s="217"/>
      <c r="SGF9" s="217"/>
      <c r="SGG9" s="217"/>
      <c r="SGH9" s="217"/>
      <c r="SGI9" s="217"/>
      <c r="SGJ9" s="217"/>
      <c r="SGK9" s="217"/>
      <c r="SGL9" s="217"/>
      <c r="SGM9" s="217"/>
      <c r="SGN9" s="217"/>
      <c r="SGO9" s="217"/>
      <c r="SGP9" s="217"/>
      <c r="SGQ9" s="217"/>
      <c r="SGR9" s="217"/>
      <c r="SGS9" s="217"/>
      <c r="SGT9" s="217"/>
      <c r="SGU9" s="217"/>
      <c r="SGV9" s="217"/>
      <c r="SGW9" s="217"/>
      <c r="SGX9" s="217"/>
      <c r="SGY9" s="217"/>
      <c r="SGZ9" s="217"/>
      <c r="SHA9" s="217"/>
      <c r="SHB9" s="217"/>
      <c r="SHC9" s="217"/>
      <c r="SHD9" s="217"/>
      <c r="SHE9" s="217"/>
      <c r="SHF9" s="217"/>
      <c r="SHG9" s="217"/>
      <c r="SHH9" s="217"/>
      <c r="SHI9" s="217"/>
      <c r="SHJ9" s="217"/>
      <c r="SHK9" s="217"/>
      <c r="SHL9" s="217"/>
      <c r="SHM9" s="217"/>
      <c r="SHN9" s="217"/>
      <c r="SHO9" s="217"/>
      <c r="SHP9" s="217"/>
      <c r="SHQ9" s="217"/>
      <c r="SHR9" s="217"/>
      <c r="SHS9" s="217"/>
      <c r="SHT9" s="217"/>
      <c r="SHU9" s="217"/>
      <c r="SHV9" s="217"/>
      <c r="SHW9" s="217"/>
      <c r="SHX9" s="217"/>
      <c r="SHY9" s="217"/>
      <c r="SHZ9" s="217"/>
      <c r="SIA9" s="217"/>
      <c r="SIB9" s="217"/>
      <c r="SIC9" s="217"/>
      <c r="SID9" s="217"/>
      <c r="SIE9" s="217"/>
      <c r="SIF9" s="217"/>
      <c r="SIG9" s="217"/>
      <c r="SIH9" s="217"/>
      <c r="SII9" s="217"/>
      <c r="SIJ9" s="217"/>
      <c r="SIK9" s="217"/>
      <c r="SIL9" s="217"/>
      <c r="SIM9" s="217"/>
      <c r="SIN9" s="217"/>
      <c r="SIO9" s="217"/>
      <c r="SIP9" s="217"/>
      <c r="SIQ9" s="217"/>
      <c r="SIR9" s="217"/>
      <c r="SIS9" s="217"/>
      <c r="SIT9" s="217"/>
      <c r="SIU9" s="217"/>
      <c r="SIV9" s="217"/>
      <c r="SIW9" s="217"/>
      <c r="SIX9" s="217"/>
      <c r="SIY9" s="217"/>
      <c r="SIZ9" s="217"/>
      <c r="SJA9" s="217"/>
      <c r="SJB9" s="217"/>
      <c r="SJC9" s="217"/>
      <c r="SJD9" s="217"/>
      <c r="SJE9" s="217"/>
      <c r="SJF9" s="217"/>
      <c r="SJG9" s="217"/>
      <c r="SJH9" s="217"/>
      <c r="SJI9" s="217"/>
      <c r="SJJ9" s="217"/>
      <c r="SJK9" s="217"/>
      <c r="SJL9" s="217"/>
      <c r="SJM9" s="217"/>
      <c r="SJN9" s="217"/>
      <c r="SJO9" s="217"/>
      <c r="SJP9" s="217"/>
      <c r="SJQ9" s="217"/>
      <c r="SJR9" s="217"/>
      <c r="SJS9" s="217"/>
      <c r="SJT9" s="217"/>
      <c r="SJU9" s="217"/>
      <c r="SJV9" s="217"/>
      <c r="SJW9" s="217"/>
      <c r="SJX9" s="217"/>
      <c r="SJY9" s="217"/>
      <c r="SJZ9" s="217"/>
      <c r="SKA9" s="217"/>
      <c r="SKB9" s="217"/>
      <c r="SKC9" s="217"/>
      <c r="SKD9" s="217"/>
      <c r="SKE9" s="217"/>
      <c r="SKF9" s="217"/>
      <c r="SKG9" s="217"/>
      <c r="SKH9" s="217"/>
      <c r="SKI9" s="217"/>
      <c r="SKJ9" s="217"/>
      <c r="SKK9" s="217"/>
      <c r="SKL9" s="217"/>
      <c r="SKM9" s="217"/>
      <c r="SKN9" s="217"/>
      <c r="SKO9" s="217"/>
      <c r="SKP9" s="217"/>
      <c r="SKQ9" s="217"/>
      <c r="SKR9" s="217"/>
      <c r="SKS9" s="217"/>
      <c r="SKT9" s="217"/>
      <c r="SKU9" s="217"/>
      <c r="SKV9" s="217"/>
      <c r="SKW9" s="217"/>
      <c r="SKX9" s="217"/>
      <c r="SKY9" s="217"/>
      <c r="SKZ9" s="217"/>
      <c r="SLA9" s="217"/>
      <c r="SLB9" s="217"/>
      <c r="SLC9" s="217"/>
      <c r="SLD9" s="217"/>
      <c r="SLE9" s="217"/>
      <c r="SLF9" s="217"/>
      <c r="SLG9" s="217"/>
      <c r="SLH9" s="217"/>
      <c r="SLI9" s="217"/>
      <c r="SLJ9" s="217"/>
      <c r="SLK9" s="217"/>
      <c r="SLL9" s="217"/>
      <c r="SLM9" s="217"/>
      <c r="SLN9" s="217"/>
      <c r="SLO9" s="217"/>
      <c r="SLP9" s="217"/>
      <c r="SLQ9" s="217"/>
      <c r="SLR9" s="217"/>
      <c r="SLS9" s="217"/>
      <c r="SLT9" s="217"/>
      <c r="SLU9" s="217"/>
      <c r="SLV9" s="217"/>
      <c r="SLW9" s="217"/>
      <c r="SLX9" s="217"/>
      <c r="SLY9" s="217"/>
      <c r="SLZ9" s="217"/>
      <c r="SMA9" s="217"/>
      <c r="SMB9" s="217"/>
      <c r="SMC9" s="217"/>
      <c r="SMD9" s="217"/>
      <c r="SME9" s="217"/>
      <c r="SMF9" s="217"/>
      <c r="SMG9" s="217"/>
      <c r="SMH9" s="217"/>
      <c r="SMI9" s="217"/>
      <c r="SMJ9" s="217"/>
      <c r="SMK9" s="217"/>
      <c r="SML9" s="217"/>
      <c r="SMM9" s="217"/>
      <c r="SMN9" s="217"/>
      <c r="SMO9" s="217"/>
      <c r="SMP9" s="217"/>
      <c r="SMQ9" s="217"/>
      <c r="SMR9" s="217"/>
      <c r="SMS9" s="217"/>
      <c r="SMT9" s="217"/>
      <c r="SMU9" s="217"/>
      <c r="SMV9" s="217"/>
      <c r="SMW9" s="217"/>
      <c r="SMX9" s="217"/>
      <c r="SMY9" s="217"/>
      <c r="SMZ9" s="217"/>
      <c r="SNA9" s="217"/>
      <c r="SNB9" s="217"/>
      <c r="SNC9" s="217"/>
      <c r="SND9" s="217"/>
      <c r="SNE9" s="217"/>
      <c r="SNF9" s="217"/>
      <c r="SNG9" s="217"/>
      <c r="SNH9" s="217"/>
      <c r="SNI9" s="217"/>
      <c r="SNJ9" s="217"/>
      <c r="SNK9" s="217"/>
      <c r="SNL9" s="217"/>
      <c r="SNM9" s="217"/>
      <c r="SNN9" s="217"/>
      <c r="SNO9" s="217"/>
      <c r="SNP9" s="217"/>
      <c r="SNQ9" s="217"/>
      <c r="SNR9" s="217"/>
      <c r="SNS9" s="217"/>
      <c r="SNT9" s="217"/>
      <c r="SNU9" s="217"/>
      <c r="SNV9" s="217"/>
      <c r="SNW9" s="217"/>
      <c r="SNX9" s="217"/>
      <c r="SNY9" s="217"/>
      <c r="SNZ9" s="217"/>
      <c r="SOA9" s="217"/>
      <c r="SOB9" s="217"/>
      <c r="SOC9" s="217"/>
      <c r="SOD9" s="217"/>
      <c r="SOE9" s="217"/>
      <c r="SOF9" s="217"/>
      <c r="SOG9" s="217"/>
      <c r="SOH9" s="217"/>
      <c r="SOI9" s="217"/>
      <c r="SOJ9" s="217"/>
      <c r="SOK9" s="217"/>
      <c r="SOL9" s="217"/>
      <c r="SOM9" s="217"/>
      <c r="SON9" s="217"/>
      <c r="SOO9" s="217"/>
      <c r="SOP9" s="217"/>
      <c r="SOQ9" s="217"/>
      <c r="SOR9" s="217"/>
      <c r="SOS9" s="217"/>
      <c r="SOT9" s="217"/>
      <c r="SOU9" s="217"/>
      <c r="SOV9" s="217"/>
      <c r="SOW9" s="217"/>
      <c r="SOX9" s="217"/>
      <c r="SOY9" s="217"/>
      <c r="SOZ9" s="217"/>
      <c r="SPA9" s="217"/>
      <c r="SPB9" s="217"/>
      <c r="SPC9" s="217"/>
      <c r="SPD9" s="217"/>
      <c r="SPE9" s="217"/>
      <c r="SPF9" s="217"/>
      <c r="SPG9" s="217"/>
      <c r="SPH9" s="217"/>
      <c r="SPI9" s="217"/>
      <c r="SPJ9" s="217"/>
      <c r="SPK9" s="217"/>
      <c r="SPL9" s="217"/>
      <c r="SPM9" s="217"/>
      <c r="SPN9" s="217"/>
      <c r="SPO9" s="217"/>
      <c r="SPP9" s="217"/>
      <c r="SPQ9" s="217"/>
      <c r="SPR9" s="217"/>
      <c r="SPS9" s="217"/>
      <c r="SPT9" s="217"/>
      <c r="SPU9" s="217"/>
      <c r="SPV9" s="217"/>
      <c r="SPW9" s="217"/>
      <c r="SPX9" s="217"/>
      <c r="SPY9" s="217"/>
      <c r="SPZ9" s="217"/>
      <c r="SQA9" s="217"/>
      <c r="SQB9" s="217"/>
      <c r="SQC9" s="217"/>
      <c r="SQD9" s="217"/>
      <c r="SQE9" s="217"/>
      <c r="SQF9" s="217"/>
      <c r="SQG9" s="217"/>
      <c r="SQH9" s="217"/>
      <c r="SQI9" s="217"/>
      <c r="SQJ9" s="217"/>
      <c r="SQK9" s="217"/>
      <c r="SQL9" s="217"/>
      <c r="SQM9" s="217"/>
      <c r="SQN9" s="217"/>
      <c r="SQO9" s="217"/>
      <c r="SQP9" s="217"/>
      <c r="SQQ9" s="217"/>
      <c r="SQR9" s="217"/>
      <c r="SQS9" s="217"/>
      <c r="SQT9" s="217"/>
      <c r="SQU9" s="217"/>
      <c r="SQV9" s="217"/>
      <c r="SQW9" s="217"/>
      <c r="SQX9" s="217"/>
      <c r="SQY9" s="217"/>
      <c r="SQZ9" s="217"/>
      <c r="SRA9" s="217"/>
      <c r="SRB9" s="217"/>
      <c r="SRC9" s="217"/>
      <c r="SRD9" s="217"/>
      <c r="SRE9" s="217"/>
      <c r="SRF9" s="217"/>
      <c r="SRG9" s="217"/>
      <c r="SRH9" s="217"/>
      <c r="SRI9" s="217"/>
      <c r="SRJ9" s="217"/>
      <c r="SRK9" s="217"/>
      <c r="SRL9" s="217"/>
      <c r="SRM9" s="217"/>
      <c r="SRN9" s="217"/>
      <c r="SRO9" s="217"/>
      <c r="SRP9" s="217"/>
      <c r="SRQ9" s="217"/>
      <c r="SRR9" s="217"/>
      <c r="SRS9" s="217"/>
      <c r="SRT9" s="217"/>
      <c r="SRU9" s="217"/>
      <c r="SRV9" s="217"/>
      <c r="SRW9" s="217"/>
      <c r="SRX9" s="217"/>
      <c r="SRY9" s="217"/>
      <c r="SRZ9" s="217"/>
      <c r="SSA9" s="217"/>
      <c r="SSB9" s="217"/>
      <c r="SSC9" s="217"/>
      <c r="SSD9" s="217"/>
      <c r="SSE9" s="217"/>
      <c r="SSF9" s="217"/>
      <c r="SSG9" s="217"/>
      <c r="SSH9" s="217"/>
      <c r="SSI9" s="217"/>
      <c r="SSJ9" s="217"/>
      <c r="SSK9" s="217"/>
      <c r="SSL9" s="217"/>
      <c r="SSM9" s="217"/>
      <c r="SSN9" s="217"/>
      <c r="SSO9" s="217"/>
      <c r="SSP9" s="217"/>
      <c r="SSQ9" s="217"/>
      <c r="SSR9" s="217"/>
      <c r="SSS9" s="217"/>
      <c r="SST9" s="217"/>
      <c r="SSU9" s="217"/>
      <c r="SSV9" s="217"/>
      <c r="SSW9" s="217"/>
      <c r="SSX9" s="217"/>
      <c r="SSY9" s="217"/>
      <c r="SSZ9" s="217"/>
      <c r="STA9" s="217"/>
      <c r="STB9" s="217"/>
      <c r="STC9" s="217"/>
      <c r="STD9" s="217"/>
      <c r="STE9" s="217"/>
      <c r="STF9" s="217"/>
      <c r="STG9" s="217"/>
      <c r="STH9" s="217"/>
      <c r="STI9" s="217"/>
      <c r="STJ9" s="217"/>
      <c r="STK9" s="217"/>
      <c r="STL9" s="217"/>
      <c r="STM9" s="217"/>
      <c r="STN9" s="217"/>
      <c r="STO9" s="217"/>
      <c r="STP9" s="217"/>
      <c r="STQ9" s="217"/>
      <c r="STR9" s="217"/>
      <c r="STS9" s="217"/>
      <c r="STT9" s="217"/>
      <c r="STU9" s="217"/>
      <c r="STV9" s="217"/>
      <c r="STW9" s="217"/>
      <c r="STX9" s="217"/>
      <c r="STY9" s="217"/>
      <c r="STZ9" s="217"/>
      <c r="SUA9" s="217"/>
      <c r="SUB9" s="217"/>
      <c r="SUC9" s="217"/>
      <c r="SUD9" s="217"/>
      <c r="SUE9" s="217"/>
      <c r="SUF9" s="217"/>
      <c r="SUG9" s="217"/>
      <c r="SUH9" s="217"/>
      <c r="SUI9" s="217"/>
      <c r="SUJ9" s="217"/>
      <c r="SUK9" s="217"/>
      <c r="SUL9" s="217"/>
      <c r="SUM9" s="217"/>
      <c r="SUN9" s="217"/>
      <c r="SUO9" s="217"/>
      <c r="SUP9" s="217"/>
      <c r="SUQ9" s="217"/>
      <c r="SUR9" s="217"/>
      <c r="SUS9" s="217"/>
      <c r="SUT9" s="217"/>
      <c r="SUU9" s="217"/>
      <c r="SUV9" s="217"/>
      <c r="SUW9" s="217"/>
      <c r="SUX9" s="217"/>
      <c r="SUY9" s="217"/>
      <c r="SUZ9" s="217"/>
      <c r="SVA9" s="217"/>
      <c r="SVB9" s="217"/>
      <c r="SVC9" s="217"/>
      <c r="SVD9" s="217"/>
      <c r="SVE9" s="217"/>
      <c r="SVF9" s="217"/>
      <c r="SVG9" s="217"/>
      <c r="SVH9" s="217"/>
      <c r="SVI9" s="217"/>
      <c r="SVJ9" s="217"/>
      <c r="SVK9" s="217"/>
      <c r="SVL9" s="217"/>
      <c r="SVM9" s="217"/>
      <c r="SVN9" s="217"/>
      <c r="SVO9" s="217"/>
      <c r="SVP9" s="217"/>
      <c r="SVQ9" s="217"/>
      <c r="SVR9" s="217"/>
      <c r="SVS9" s="217"/>
      <c r="SVT9" s="217"/>
      <c r="SVU9" s="217"/>
      <c r="SVV9" s="217"/>
      <c r="SVW9" s="217"/>
      <c r="SVX9" s="217"/>
      <c r="SVY9" s="217"/>
      <c r="SVZ9" s="217"/>
      <c r="SWA9" s="217"/>
      <c r="SWB9" s="217"/>
      <c r="SWC9" s="217"/>
      <c r="SWD9" s="217"/>
      <c r="SWE9" s="217"/>
      <c r="SWF9" s="217"/>
      <c r="SWG9" s="217"/>
      <c r="SWH9" s="217"/>
      <c r="SWI9" s="217"/>
      <c r="SWJ9" s="217"/>
      <c r="SWK9" s="217"/>
      <c r="SWL9" s="217"/>
      <c r="SWM9" s="217"/>
      <c r="SWN9" s="217"/>
      <c r="SWO9" s="217"/>
      <c r="SWP9" s="217"/>
      <c r="SWQ9" s="217"/>
      <c r="SWR9" s="217"/>
      <c r="SWS9" s="217"/>
      <c r="SWT9" s="217"/>
      <c r="SWU9" s="217"/>
      <c r="SWV9" s="217"/>
      <c r="SWW9" s="217"/>
      <c r="SWX9" s="217"/>
      <c r="SWY9" s="217"/>
      <c r="SWZ9" s="217"/>
      <c r="SXA9" s="217"/>
      <c r="SXB9" s="217"/>
      <c r="SXC9" s="217"/>
      <c r="SXD9" s="217"/>
      <c r="SXE9" s="217"/>
      <c r="SXF9" s="217"/>
      <c r="SXG9" s="217"/>
      <c r="SXH9" s="217"/>
      <c r="SXI9" s="217"/>
      <c r="SXJ9" s="217"/>
      <c r="SXK9" s="217"/>
      <c r="SXL9" s="217"/>
      <c r="SXM9" s="217"/>
      <c r="SXN9" s="217"/>
      <c r="SXO9" s="217"/>
      <c r="SXP9" s="217"/>
      <c r="SXQ9" s="217"/>
      <c r="SXR9" s="217"/>
      <c r="SXS9" s="217"/>
      <c r="SXT9" s="217"/>
      <c r="SXU9" s="217"/>
      <c r="SXV9" s="217"/>
      <c r="SXW9" s="217"/>
      <c r="SXX9" s="217"/>
      <c r="SXY9" s="217"/>
      <c r="SXZ9" s="217"/>
      <c r="SYA9" s="217"/>
      <c r="SYB9" s="217"/>
      <c r="SYC9" s="217"/>
      <c r="SYD9" s="217"/>
      <c r="SYE9" s="217"/>
      <c r="SYF9" s="217"/>
      <c r="SYG9" s="217"/>
      <c r="SYH9" s="217"/>
      <c r="SYI9" s="217"/>
      <c r="SYJ9" s="217"/>
      <c r="SYK9" s="217"/>
      <c r="SYL9" s="217"/>
      <c r="SYM9" s="217"/>
      <c r="SYN9" s="217"/>
      <c r="SYO9" s="217"/>
      <c r="SYP9" s="217"/>
      <c r="SYQ9" s="217"/>
      <c r="SYR9" s="217"/>
      <c r="SYS9" s="217"/>
      <c r="SYT9" s="217"/>
      <c r="SYU9" s="217"/>
      <c r="SYV9" s="217"/>
      <c r="SYW9" s="217"/>
      <c r="SYX9" s="217"/>
      <c r="SYY9" s="217"/>
      <c r="SYZ9" s="217"/>
      <c r="SZA9" s="217"/>
      <c r="SZB9" s="217"/>
      <c r="SZC9" s="217"/>
      <c r="SZD9" s="217"/>
      <c r="SZE9" s="217"/>
      <c r="SZF9" s="217"/>
      <c r="SZG9" s="217"/>
      <c r="SZH9" s="217"/>
      <c r="SZI9" s="217"/>
      <c r="SZJ9" s="217"/>
      <c r="SZK9" s="217"/>
      <c r="SZL9" s="217"/>
      <c r="SZM9" s="217"/>
      <c r="SZN9" s="217"/>
      <c r="SZO9" s="217"/>
      <c r="SZP9" s="217"/>
      <c r="SZQ9" s="217"/>
      <c r="SZR9" s="217"/>
      <c r="SZS9" s="217"/>
      <c r="SZT9" s="217"/>
      <c r="SZU9" s="217"/>
      <c r="SZV9" s="217"/>
      <c r="SZW9" s="217"/>
      <c r="SZX9" s="217"/>
      <c r="SZY9" s="217"/>
      <c r="SZZ9" s="217"/>
      <c r="TAA9" s="217"/>
      <c r="TAB9" s="217"/>
      <c r="TAC9" s="217"/>
      <c r="TAD9" s="217"/>
      <c r="TAE9" s="217"/>
      <c r="TAF9" s="217"/>
      <c r="TAG9" s="217"/>
      <c r="TAH9" s="217"/>
      <c r="TAI9" s="217"/>
      <c r="TAJ9" s="217"/>
      <c r="TAK9" s="217"/>
      <c r="TAL9" s="217"/>
      <c r="TAM9" s="217"/>
      <c r="TAN9" s="217"/>
      <c r="TAO9" s="217"/>
      <c r="TAP9" s="217"/>
      <c r="TAQ9" s="217"/>
      <c r="TAR9" s="217"/>
      <c r="TAS9" s="217"/>
      <c r="TAT9" s="217"/>
      <c r="TAU9" s="217"/>
      <c r="TAV9" s="217"/>
      <c r="TAW9" s="217"/>
      <c r="TAX9" s="217"/>
      <c r="TAY9" s="217"/>
      <c r="TAZ9" s="217"/>
      <c r="TBA9" s="217"/>
      <c r="TBB9" s="217"/>
      <c r="TBC9" s="217"/>
      <c r="TBD9" s="217"/>
      <c r="TBE9" s="217"/>
      <c r="TBF9" s="217"/>
      <c r="TBG9" s="217"/>
      <c r="TBH9" s="217"/>
      <c r="TBI9" s="217"/>
      <c r="TBJ9" s="217"/>
      <c r="TBK9" s="217"/>
      <c r="TBL9" s="217"/>
      <c r="TBM9" s="217"/>
      <c r="TBN9" s="217"/>
      <c r="TBO9" s="217"/>
      <c r="TBP9" s="217"/>
      <c r="TBQ9" s="217"/>
      <c r="TBR9" s="217"/>
      <c r="TBS9" s="217"/>
      <c r="TBT9" s="217"/>
      <c r="TBU9" s="217"/>
      <c r="TBV9" s="217"/>
      <c r="TBW9" s="217"/>
      <c r="TBX9" s="217"/>
      <c r="TBY9" s="217"/>
      <c r="TBZ9" s="217"/>
      <c r="TCA9" s="217"/>
      <c r="TCB9" s="217"/>
      <c r="TCC9" s="217"/>
      <c r="TCD9" s="217"/>
      <c r="TCE9" s="217"/>
      <c r="TCF9" s="217"/>
      <c r="TCG9" s="217"/>
      <c r="TCH9" s="217"/>
      <c r="TCI9" s="217"/>
      <c r="TCJ9" s="217"/>
      <c r="TCK9" s="217"/>
      <c r="TCL9" s="217"/>
      <c r="TCM9" s="217"/>
      <c r="TCN9" s="217"/>
      <c r="TCO9" s="217"/>
      <c r="TCP9" s="217"/>
      <c r="TCQ9" s="217"/>
      <c r="TCR9" s="217"/>
      <c r="TCS9" s="217"/>
      <c r="TCT9" s="217"/>
      <c r="TCU9" s="217"/>
      <c r="TCV9" s="217"/>
      <c r="TCW9" s="217"/>
      <c r="TCX9" s="217"/>
      <c r="TCY9" s="217"/>
      <c r="TCZ9" s="217"/>
      <c r="TDA9" s="217"/>
      <c r="TDB9" s="217"/>
      <c r="TDC9" s="217"/>
      <c r="TDD9" s="217"/>
      <c r="TDE9" s="217"/>
      <c r="TDF9" s="217"/>
      <c r="TDG9" s="217"/>
      <c r="TDH9" s="217"/>
      <c r="TDI9" s="217"/>
      <c r="TDJ9" s="217"/>
      <c r="TDK9" s="217"/>
      <c r="TDL9" s="217"/>
      <c r="TDM9" s="217"/>
      <c r="TDN9" s="217"/>
      <c r="TDO9" s="217"/>
      <c r="TDP9" s="217"/>
      <c r="TDQ9" s="217"/>
      <c r="TDR9" s="217"/>
      <c r="TDS9" s="217"/>
      <c r="TDT9" s="217"/>
      <c r="TDU9" s="217"/>
      <c r="TDV9" s="217"/>
      <c r="TDW9" s="217"/>
      <c r="TDX9" s="217"/>
      <c r="TDY9" s="217"/>
      <c r="TDZ9" s="217"/>
      <c r="TEA9" s="217"/>
      <c r="TEB9" s="217"/>
      <c r="TEC9" s="217"/>
      <c r="TED9" s="217"/>
      <c r="TEE9" s="217"/>
      <c r="TEF9" s="217"/>
      <c r="TEG9" s="217"/>
      <c r="TEH9" s="217"/>
      <c r="TEI9" s="217"/>
      <c r="TEJ9" s="217"/>
      <c r="TEK9" s="217"/>
      <c r="TEL9" s="217"/>
      <c r="TEM9" s="217"/>
      <c r="TEN9" s="217"/>
      <c r="TEO9" s="217"/>
      <c r="TEP9" s="217"/>
      <c r="TEQ9" s="217"/>
      <c r="TER9" s="217"/>
      <c r="TES9" s="217"/>
      <c r="TET9" s="217"/>
      <c r="TEU9" s="217"/>
      <c r="TEV9" s="217"/>
      <c r="TEW9" s="217"/>
      <c r="TEX9" s="217"/>
      <c r="TEY9" s="217"/>
      <c r="TEZ9" s="217"/>
      <c r="TFA9" s="217"/>
      <c r="TFB9" s="217"/>
      <c r="TFC9" s="217"/>
      <c r="TFD9" s="217"/>
      <c r="TFE9" s="217"/>
      <c r="TFF9" s="217"/>
      <c r="TFG9" s="217"/>
      <c r="TFH9" s="217"/>
      <c r="TFI9" s="217"/>
      <c r="TFJ9" s="217"/>
      <c r="TFK9" s="217"/>
      <c r="TFL9" s="217"/>
      <c r="TFM9" s="217"/>
      <c r="TFN9" s="217"/>
      <c r="TFO9" s="217"/>
      <c r="TFP9" s="217"/>
      <c r="TFQ9" s="217"/>
      <c r="TFR9" s="217"/>
      <c r="TFS9" s="217"/>
      <c r="TFT9" s="217"/>
      <c r="TFU9" s="217"/>
      <c r="TFV9" s="217"/>
      <c r="TFW9" s="217"/>
      <c r="TFX9" s="217"/>
      <c r="TFY9" s="217"/>
      <c r="TFZ9" s="217"/>
      <c r="TGA9" s="217"/>
      <c r="TGB9" s="217"/>
      <c r="TGC9" s="217"/>
      <c r="TGD9" s="217"/>
      <c r="TGE9" s="217"/>
      <c r="TGF9" s="217"/>
      <c r="TGG9" s="217"/>
      <c r="TGH9" s="217"/>
      <c r="TGI9" s="217"/>
      <c r="TGJ9" s="217"/>
      <c r="TGK9" s="217"/>
      <c r="TGL9" s="217"/>
      <c r="TGM9" s="217"/>
      <c r="TGN9" s="217"/>
      <c r="TGO9" s="217"/>
      <c r="TGP9" s="217"/>
      <c r="TGQ9" s="217"/>
      <c r="TGR9" s="217"/>
      <c r="TGS9" s="217"/>
      <c r="TGT9" s="217"/>
      <c r="TGU9" s="217"/>
      <c r="TGV9" s="217"/>
      <c r="TGW9" s="217"/>
      <c r="TGX9" s="217"/>
      <c r="TGY9" s="217"/>
      <c r="TGZ9" s="217"/>
      <c r="THA9" s="217"/>
      <c r="THB9" s="217"/>
      <c r="THC9" s="217"/>
      <c r="THD9" s="217"/>
      <c r="THE9" s="217"/>
      <c r="THF9" s="217"/>
      <c r="THG9" s="217"/>
      <c r="THH9" s="217"/>
      <c r="THI9" s="217"/>
      <c r="THJ9" s="217"/>
      <c r="THK9" s="217"/>
      <c r="THL9" s="217"/>
      <c r="THM9" s="217"/>
      <c r="THN9" s="217"/>
      <c r="THO9" s="217"/>
      <c r="THP9" s="217"/>
      <c r="THQ9" s="217"/>
      <c r="THR9" s="217"/>
      <c r="THS9" s="217"/>
      <c r="THT9" s="217"/>
      <c r="THU9" s="217"/>
      <c r="THV9" s="217"/>
      <c r="THW9" s="217"/>
      <c r="THX9" s="217"/>
      <c r="THY9" s="217"/>
      <c r="THZ9" s="217"/>
      <c r="TIA9" s="217"/>
      <c r="TIB9" s="217"/>
      <c r="TIC9" s="217"/>
      <c r="TID9" s="217"/>
      <c r="TIE9" s="217"/>
      <c r="TIF9" s="217"/>
      <c r="TIG9" s="217"/>
      <c r="TIH9" s="217"/>
      <c r="TII9" s="217"/>
      <c r="TIJ9" s="217"/>
      <c r="TIK9" s="217"/>
      <c r="TIL9" s="217"/>
      <c r="TIM9" s="217"/>
      <c r="TIN9" s="217"/>
      <c r="TIO9" s="217"/>
      <c r="TIP9" s="217"/>
      <c r="TIQ9" s="217"/>
      <c r="TIR9" s="217"/>
      <c r="TIS9" s="217"/>
      <c r="TIT9" s="217"/>
      <c r="TIU9" s="217"/>
      <c r="TIV9" s="217"/>
      <c r="TIW9" s="217"/>
      <c r="TIX9" s="217"/>
      <c r="TIY9" s="217"/>
      <c r="TIZ9" s="217"/>
      <c r="TJA9" s="217"/>
      <c r="TJB9" s="217"/>
      <c r="TJC9" s="217"/>
      <c r="TJD9" s="217"/>
      <c r="TJE9" s="217"/>
      <c r="TJF9" s="217"/>
      <c r="TJG9" s="217"/>
      <c r="TJH9" s="217"/>
      <c r="TJI9" s="217"/>
      <c r="TJJ9" s="217"/>
      <c r="TJK9" s="217"/>
      <c r="TJL9" s="217"/>
      <c r="TJM9" s="217"/>
      <c r="TJN9" s="217"/>
      <c r="TJO9" s="217"/>
      <c r="TJP9" s="217"/>
      <c r="TJQ9" s="217"/>
      <c r="TJR9" s="217"/>
      <c r="TJS9" s="217"/>
      <c r="TJT9" s="217"/>
      <c r="TJU9" s="217"/>
      <c r="TJV9" s="217"/>
      <c r="TJW9" s="217"/>
      <c r="TJX9" s="217"/>
      <c r="TJY9" s="217"/>
      <c r="TJZ9" s="217"/>
      <c r="TKA9" s="217"/>
      <c r="TKB9" s="217"/>
      <c r="TKC9" s="217"/>
      <c r="TKD9" s="217"/>
      <c r="TKE9" s="217"/>
      <c r="TKF9" s="217"/>
      <c r="TKG9" s="217"/>
      <c r="TKH9" s="217"/>
      <c r="TKI9" s="217"/>
      <c r="TKJ9" s="217"/>
      <c r="TKK9" s="217"/>
      <c r="TKL9" s="217"/>
      <c r="TKM9" s="217"/>
      <c r="TKN9" s="217"/>
      <c r="TKO9" s="217"/>
      <c r="TKP9" s="217"/>
      <c r="TKQ9" s="217"/>
      <c r="TKR9" s="217"/>
      <c r="TKS9" s="217"/>
      <c r="TKT9" s="217"/>
      <c r="TKU9" s="217"/>
      <c r="TKV9" s="217"/>
      <c r="TKW9" s="217"/>
      <c r="TKX9" s="217"/>
      <c r="TKY9" s="217"/>
      <c r="TKZ9" s="217"/>
      <c r="TLA9" s="217"/>
      <c r="TLB9" s="217"/>
      <c r="TLC9" s="217"/>
      <c r="TLD9" s="217"/>
      <c r="TLE9" s="217"/>
      <c r="TLF9" s="217"/>
      <c r="TLG9" s="217"/>
      <c r="TLH9" s="217"/>
      <c r="TLI9" s="217"/>
      <c r="TLJ9" s="217"/>
      <c r="TLK9" s="217"/>
      <c r="TLL9" s="217"/>
      <c r="TLM9" s="217"/>
      <c r="TLN9" s="217"/>
      <c r="TLO9" s="217"/>
      <c r="TLP9" s="217"/>
      <c r="TLQ9" s="217"/>
      <c r="TLR9" s="217"/>
      <c r="TLS9" s="217"/>
      <c r="TLT9" s="217"/>
      <c r="TLU9" s="217"/>
      <c r="TLV9" s="217"/>
      <c r="TLW9" s="217"/>
      <c r="TLX9" s="217"/>
      <c r="TLY9" s="217"/>
      <c r="TLZ9" s="217"/>
      <c r="TMA9" s="217"/>
      <c r="TMB9" s="217"/>
      <c r="TMC9" s="217"/>
      <c r="TMD9" s="217"/>
      <c r="TME9" s="217"/>
      <c r="TMF9" s="217"/>
      <c r="TMG9" s="217"/>
      <c r="TMH9" s="217"/>
      <c r="TMI9" s="217"/>
      <c r="TMJ9" s="217"/>
      <c r="TMK9" s="217"/>
      <c r="TML9" s="217"/>
      <c r="TMM9" s="217"/>
      <c r="TMN9" s="217"/>
      <c r="TMO9" s="217"/>
      <c r="TMP9" s="217"/>
      <c r="TMQ9" s="217"/>
      <c r="TMR9" s="217"/>
      <c r="TMS9" s="217"/>
      <c r="TMT9" s="217"/>
      <c r="TMU9" s="217"/>
      <c r="TMV9" s="217"/>
      <c r="TMW9" s="217"/>
      <c r="TMX9" s="217"/>
      <c r="TMY9" s="217"/>
      <c r="TMZ9" s="217"/>
      <c r="TNA9" s="217"/>
      <c r="TNB9" s="217"/>
      <c r="TNC9" s="217"/>
      <c r="TND9" s="217"/>
      <c r="TNE9" s="217"/>
      <c r="TNF9" s="217"/>
      <c r="TNG9" s="217"/>
      <c r="TNH9" s="217"/>
      <c r="TNI9" s="217"/>
      <c r="TNJ9" s="217"/>
      <c r="TNK9" s="217"/>
      <c r="TNL9" s="217"/>
      <c r="TNM9" s="217"/>
      <c r="TNN9" s="217"/>
      <c r="TNO9" s="217"/>
      <c r="TNP9" s="217"/>
      <c r="TNQ9" s="217"/>
      <c r="TNR9" s="217"/>
      <c r="TNS9" s="217"/>
      <c r="TNT9" s="217"/>
      <c r="TNU9" s="217"/>
      <c r="TNV9" s="217"/>
      <c r="TNW9" s="217"/>
      <c r="TNX9" s="217"/>
      <c r="TNY9" s="217"/>
      <c r="TNZ9" s="217"/>
      <c r="TOA9" s="217"/>
      <c r="TOB9" s="217"/>
      <c r="TOC9" s="217"/>
      <c r="TOD9" s="217"/>
      <c r="TOE9" s="217"/>
      <c r="TOF9" s="217"/>
      <c r="TOG9" s="217"/>
      <c r="TOH9" s="217"/>
      <c r="TOI9" s="217"/>
      <c r="TOJ9" s="217"/>
      <c r="TOK9" s="217"/>
      <c r="TOL9" s="217"/>
      <c r="TOM9" s="217"/>
      <c r="TON9" s="217"/>
      <c r="TOO9" s="217"/>
      <c r="TOP9" s="217"/>
      <c r="TOQ9" s="217"/>
      <c r="TOR9" s="217"/>
      <c r="TOS9" s="217"/>
      <c r="TOT9" s="217"/>
      <c r="TOU9" s="217"/>
      <c r="TOV9" s="217"/>
      <c r="TOW9" s="217"/>
      <c r="TOX9" s="217"/>
      <c r="TOY9" s="217"/>
      <c r="TOZ9" s="217"/>
      <c r="TPA9" s="217"/>
      <c r="TPB9" s="217"/>
      <c r="TPC9" s="217"/>
      <c r="TPD9" s="217"/>
      <c r="TPE9" s="217"/>
      <c r="TPF9" s="217"/>
      <c r="TPG9" s="217"/>
      <c r="TPH9" s="217"/>
      <c r="TPI9" s="217"/>
      <c r="TPJ9" s="217"/>
      <c r="TPK9" s="217"/>
      <c r="TPL9" s="217"/>
      <c r="TPM9" s="217"/>
      <c r="TPN9" s="217"/>
      <c r="TPO9" s="217"/>
      <c r="TPP9" s="217"/>
      <c r="TPQ9" s="217"/>
      <c r="TPR9" s="217"/>
      <c r="TPS9" s="217"/>
      <c r="TPT9" s="217"/>
      <c r="TPU9" s="217"/>
      <c r="TPV9" s="217"/>
      <c r="TPW9" s="217"/>
      <c r="TPX9" s="217"/>
      <c r="TPY9" s="217"/>
      <c r="TPZ9" s="217"/>
      <c r="TQA9" s="217"/>
      <c r="TQB9" s="217"/>
      <c r="TQC9" s="217"/>
      <c r="TQD9" s="217"/>
      <c r="TQE9" s="217"/>
      <c r="TQF9" s="217"/>
      <c r="TQG9" s="217"/>
      <c r="TQH9" s="217"/>
      <c r="TQI9" s="217"/>
      <c r="TQJ9" s="217"/>
      <c r="TQK9" s="217"/>
      <c r="TQL9" s="217"/>
      <c r="TQM9" s="217"/>
      <c r="TQN9" s="217"/>
      <c r="TQO9" s="217"/>
      <c r="TQP9" s="217"/>
      <c r="TQQ9" s="217"/>
      <c r="TQR9" s="217"/>
      <c r="TQS9" s="217"/>
      <c r="TQT9" s="217"/>
      <c r="TQU9" s="217"/>
      <c r="TQV9" s="217"/>
      <c r="TQW9" s="217"/>
      <c r="TQX9" s="217"/>
      <c r="TQY9" s="217"/>
      <c r="TQZ9" s="217"/>
      <c r="TRA9" s="217"/>
      <c r="TRB9" s="217"/>
      <c r="TRC9" s="217"/>
      <c r="TRD9" s="217"/>
      <c r="TRE9" s="217"/>
      <c r="TRF9" s="217"/>
      <c r="TRG9" s="217"/>
      <c r="TRH9" s="217"/>
      <c r="TRI9" s="217"/>
      <c r="TRJ9" s="217"/>
      <c r="TRK9" s="217"/>
      <c r="TRL9" s="217"/>
      <c r="TRM9" s="217"/>
      <c r="TRN9" s="217"/>
      <c r="TRO9" s="217"/>
      <c r="TRP9" s="217"/>
      <c r="TRQ9" s="217"/>
      <c r="TRR9" s="217"/>
      <c r="TRS9" s="217"/>
      <c r="TRT9" s="217"/>
      <c r="TRU9" s="217"/>
      <c r="TRV9" s="217"/>
      <c r="TRW9" s="217"/>
      <c r="TRX9" s="217"/>
      <c r="TRY9" s="217"/>
      <c r="TRZ9" s="217"/>
      <c r="TSA9" s="217"/>
      <c r="TSB9" s="217"/>
      <c r="TSC9" s="217"/>
      <c r="TSD9" s="217"/>
      <c r="TSE9" s="217"/>
      <c r="TSF9" s="217"/>
      <c r="TSG9" s="217"/>
      <c r="TSH9" s="217"/>
      <c r="TSI9" s="217"/>
      <c r="TSJ9" s="217"/>
      <c r="TSK9" s="217"/>
      <c r="TSL9" s="217"/>
      <c r="TSM9" s="217"/>
      <c r="TSN9" s="217"/>
      <c r="TSO9" s="217"/>
      <c r="TSP9" s="217"/>
      <c r="TSQ9" s="217"/>
      <c r="TSR9" s="217"/>
      <c r="TSS9" s="217"/>
      <c r="TST9" s="217"/>
      <c r="TSU9" s="217"/>
      <c r="TSV9" s="217"/>
      <c r="TSW9" s="217"/>
      <c r="TSX9" s="217"/>
      <c r="TSY9" s="217"/>
      <c r="TSZ9" s="217"/>
      <c r="TTA9" s="217"/>
      <c r="TTB9" s="217"/>
      <c r="TTC9" s="217"/>
      <c r="TTD9" s="217"/>
      <c r="TTE9" s="217"/>
      <c r="TTF9" s="217"/>
      <c r="TTG9" s="217"/>
      <c r="TTH9" s="217"/>
      <c r="TTI9" s="217"/>
      <c r="TTJ9" s="217"/>
      <c r="TTK9" s="217"/>
      <c r="TTL9" s="217"/>
      <c r="TTM9" s="217"/>
      <c r="TTN9" s="217"/>
      <c r="TTO9" s="217"/>
      <c r="TTP9" s="217"/>
      <c r="TTQ9" s="217"/>
      <c r="TTR9" s="217"/>
      <c r="TTS9" s="217"/>
      <c r="TTT9" s="217"/>
      <c r="TTU9" s="217"/>
      <c r="TTV9" s="217"/>
      <c r="TTW9" s="217"/>
      <c r="TTX9" s="217"/>
      <c r="TTY9" s="217"/>
      <c r="TTZ9" s="217"/>
      <c r="TUA9" s="217"/>
      <c r="TUB9" s="217"/>
      <c r="TUC9" s="217"/>
      <c r="TUD9" s="217"/>
      <c r="TUE9" s="217"/>
      <c r="TUF9" s="217"/>
      <c r="TUG9" s="217"/>
      <c r="TUH9" s="217"/>
      <c r="TUI9" s="217"/>
      <c r="TUJ9" s="217"/>
      <c r="TUK9" s="217"/>
      <c r="TUL9" s="217"/>
      <c r="TUM9" s="217"/>
      <c r="TUN9" s="217"/>
      <c r="TUO9" s="217"/>
      <c r="TUP9" s="217"/>
      <c r="TUQ9" s="217"/>
      <c r="TUR9" s="217"/>
      <c r="TUS9" s="217"/>
      <c r="TUT9" s="217"/>
      <c r="TUU9" s="217"/>
      <c r="TUV9" s="217"/>
      <c r="TUW9" s="217"/>
      <c r="TUX9" s="217"/>
      <c r="TUY9" s="217"/>
      <c r="TUZ9" s="217"/>
      <c r="TVA9" s="217"/>
      <c r="TVB9" s="217"/>
      <c r="TVC9" s="217"/>
      <c r="TVD9" s="217"/>
      <c r="TVE9" s="217"/>
      <c r="TVF9" s="217"/>
      <c r="TVG9" s="217"/>
      <c r="TVH9" s="217"/>
      <c r="TVI9" s="217"/>
      <c r="TVJ9" s="217"/>
      <c r="TVK9" s="217"/>
      <c r="TVL9" s="217"/>
      <c r="TVM9" s="217"/>
      <c r="TVN9" s="217"/>
      <c r="TVO9" s="217"/>
      <c r="TVP9" s="217"/>
      <c r="TVQ9" s="217"/>
      <c r="TVR9" s="217"/>
      <c r="TVS9" s="217"/>
      <c r="TVT9" s="217"/>
      <c r="TVU9" s="217"/>
      <c r="TVV9" s="217"/>
      <c r="TVW9" s="217"/>
      <c r="TVX9" s="217"/>
      <c r="TVY9" s="217"/>
      <c r="TVZ9" s="217"/>
      <c r="TWA9" s="217"/>
      <c r="TWB9" s="217"/>
      <c r="TWC9" s="217"/>
      <c r="TWD9" s="217"/>
      <c r="TWE9" s="217"/>
      <c r="TWF9" s="217"/>
      <c r="TWG9" s="217"/>
      <c r="TWH9" s="217"/>
      <c r="TWI9" s="217"/>
      <c r="TWJ9" s="217"/>
      <c r="TWK9" s="217"/>
      <c r="TWL9" s="217"/>
      <c r="TWM9" s="217"/>
      <c r="TWN9" s="217"/>
      <c r="TWO9" s="217"/>
      <c r="TWP9" s="217"/>
      <c r="TWQ9" s="217"/>
      <c r="TWR9" s="217"/>
      <c r="TWS9" s="217"/>
      <c r="TWT9" s="217"/>
      <c r="TWU9" s="217"/>
      <c r="TWV9" s="217"/>
      <c r="TWW9" s="217"/>
      <c r="TWX9" s="217"/>
      <c r="TWY9" s="217"/>
      <c r="TWZ9" s="217"/>
      <c r="TXA9" s="217"/>
      <c r="TXB9" s="217"/>
      <c r="TXC9" s="217"/>
      <c r="TXD9" s="217"/>
      <c r="TXE9" s="217"/>
      <c r="TXF9" s="217"/>
      <c r="TXG9" s="217"/>
      <c r="TXH9" s="217"/>
      <c r="TXI9" s="217"/>
      <c r="TXJ9" s="217"/>
      <c r="TXK9" s="217"/>
      <c r="TXL9" s="217"/>
      <c r="TXM9" s="217"/>
      <c r="TXN9" s="217"/>
      <c r="TXO9" s="217"/>
      <c r="TXP9" s="217"/>
      <c r="TXQ9" s="217"/>
      <c r="TXR9" s="217"/>
      <c r="TXS9" s="217"/>
      <c r="TXT9" s="217"/>
      <c r="TXU9" s="217"/>
      <c r="TXV9" s="217"/>
      <c r="TXW9" s="217"/>
      <c r="TXX9" s="217"/>
      <c r="TXY9" s="217"/>
      <c r="TXZ9" s="217"/>
      <c r="TYA9" s="217"/>
      <c r="TYB9" s="217"/>
      <c r="TYC9" s="217"/>
      <c r="TYD9" s="217"/>
      <c r="TYE9" s="217"/>
      <c r="TYF9" s="217"/>
      <c r="TYG9" s="217"/>
      <c r="TYH9" s="217"/>
      <c r="TYI9" s="217"/>
      <c r="TYJ9" s="217"/>
      <c r="TYK9" s="217"/>
      <c r="TYL9" s="217"/>
      <c r="TYM9" s="217"/>
      <c r="TYN9" s="217"/>
      <c r="TYO9" s="217"/>
      <c r="TYP9" s="217"/>
      <c r="TYQ9" s="217"/>
      <c r="TYR9" s="217"/>
      <c r="TYS9" s="217"/>
      <c r="TYT9" s="217"/>
      <c r="TYU9" s="217"/>
      <c r="TYV9" s="217"/>
      <c r="TYW9" s="217"/>
      <c r="TYX9" s="217"/>
      <c r="TYY9" s="217"/>
      <c r="TYZ9" s="217"/>
      <c r="TZA9" s="217"/>
      <c r="TZB9" s="217"/>
      <c r="TZC9" s="217"/>
      <c r="TZD9" s="217"/>
      <c r="TZE9" s="217"/>
      <c r="TZF9" s="217"/>
      <c r="TZG9" s="217"/>
      <c r="TZH9" s="217"/>
      <c r="TZI9" s="217"/>
      <c r="TZJ9" s="217"/>
      <c r="TZK9" s="217"/>
      <c r="TZL9" s="217"/>
      <c r="TZM9" s="217"/>
      <c r="TZN9" s="217"/>
      <c r="TZO9" s="217"/>
      <c r="TZP9" s="217"/>
      <c r="TZQ9" s="217"/>
      <c r="TZR9" s="217"/>
      <c r="TZS9" s="217"/>
      <c r="TZT9" s="217"/>
      <c r="TZU9" s="217"/>
      <c r="TZV9" s="217"/>
      <c r="TZW9" s="217"/>
      <c r="TZX9" s="217"/>
      <c r="TZY9" s="217"/>
      <c r="TZZ9" s="217"/>
      <c r="UAA9" s="217"/>
      <c r="UAB9" s="217"/>
      <c r="UAC9" s="217"/>
      <c r="UAD9" s="217"/>
      <c r="UAE9" s="217"/>
      <c r="UAF9" s="217"/>
      <c r="UAG9" s="217"/>
      <c r="UAH9" s="217"/>
      <c r="UAI9" s="217"/>
      <c r="UAJ9" s="217"/>
      <c r="UAK9" s="217"/>
      <c r="UAL9" s="217"/>
      <c r="UAM9" s="217"/>
      <c r="UAN9" s="217"/>
      <c r="UAO9" s="217"/>
      <c r="UAP9" s="217"/>
      <c r="UAQ9" s="217"/>
      <c r="UAR9" s="217"/>
      <c r="UAS9" s="217"/>
      <c r="UAT9" s="217"/>
      <c r="UAU9" s="217"/>
      <c r="UAV9" s="217"/>
      <c r="UAW9" s="217"/>
      <c r="UAX9" s="217"/>
      <c r="UAY9" s="217"/>
      <c r="UAZ9" s="217"/>
      <c r="UBA9" s="217"/>
      <c r="UBB9" s="217"/>
      <c r="UBC9" s="217"/>
      <c r="UBD9" s="217"/>
      <c r="UBE9" s="217"/>
      <c r="UBF9" s="217"/>
      <c r="UBG9" s="217"/>
      <c r="UBH9" s="217"/>
      <c r="UBI9" s="217"/>
      <c r="UBJ9" s="217"/>
      <c r="UBK9" s="217"/>
      <c r="UBL9" s="217"/>
      <c r="UBM9" s="217"/>
      <c r="UBN9" s="217"/>
      <c r="UBO9" s="217"/>
      <c r="UBP9" s="217"/>
      <c r="UBQ9" s="217"/>
      <c r="UBR9" s="217"/>
      <c r="UBS9" s="217"/>
      <c r="UBT9" s="217"/>
      <c r="UBU9" s="217"/>
      <c r="UBV9" s="217"/>
      <c r="UBW9" s="217"/>
      <c r="UBX9" s="217"/>
      <c r="UBY9" s="217"/>
      <c r="UBZ9" s="217"/>
      <c r="UCA9" s="217"/>
      <c r="UCB9" s="217"/>
      <c r="UCC9" s="217"/>
      <c r="UCD9" s="217"/>
      <c r="UCE9" s="217"/>
      <c r="UCF9" s="217"/>
      <c r="UCG9" s="217"/>
      <c r="UCH9" s="217"/>
      <c r="UCI9" s="217"/>
      <c r="UCJ9" s="217"/>
      <c r="UCK9" s="217"/>
      <c r="UCL9" s="217"/>
      <c r="UCM9" s="217"/>
      <c r="UCN9" s="217"/>
      <c r="UCO9" s="217"/>
      <c r="UCP9" s="217"/>
      <c r="UCQ9" s="217"/>
      <c r="UCR9" s="217"/>
      <c r="UCS9" s="217"/>
      <c r="UCT9" s="217"/>
      <c r="UCU9" s="217"/>
      <c r="UCV9" s="217"/>
      <c r="UCW9" s="217"/>
      <c r="UCX9" s="217"/>
      <c r="UCY9" s="217"/>
      <c r="UCZ9" s="217"/>
      <c r="UDA9" s="217"/>
      <c r="UDB9" s="217"/>
      <c r="UDC9" s="217"/>
      <c r="UDD9" s="217"/>
      <c r="UDE9" s="217"/>
      <c r="UDF9" s="217"/>
      <c r="UDG9" s="217"/>
      <c r="UDH9" s="217"/>
      <c r="UDI9" s="217"/>
      <c r="UDJ9" s="217"/>
      <c r="UDK9" s="217"/>
      <c r="UDL9" s="217"/>
      <c r="UDM9" s="217"/>
      <c r="UDN9" s="217"/>
      <c r="UDO9" s="217"/>
      <c r="UDP9" s="217"/>
      <c r="UDQ9" s="217"/>
      <c r="UDR9" s="217"/>
      <c r="UDS9" s="217"/>
      <c r="UDT9" s="217"/>
      <c r="UDU9" s="217"/>
      <c r="UDV9" s="217"/>
      <c r="UDW9" s="217"/>
      <c r="UDX9" s="217"/>
      <c r="UDY9" s="217"/>
      <c r="UDZ9" s="217"/>
      <c r="UEA9" s="217"/>
      <c r="UEB9" s="217"/>
      <c r="UEC9" s="217"/>
      <c r="UED9" s="217"/>
      <c r="UEE9" s="217"/>
      <c r="UEF9" s="217"/>
      <c r="UEG9" s="217"/>
      <c r="UEH9" s="217"/>
      <c r="UEI9" s="217"/>
      <c r="UEJ9" s="217"/>
      <c r="UEK9" s="217"/>
      <c r="UEL9" s="217"/>
      <c r="UEM9" s="217"/>
      <c r="UEN9" s="217"/>
      <c r="UEO9" s="217"/>
      <c r="UEP9" s="217"/>
      <c r="UEQ9" s="217"/>
      <c r="UER9" s="217"/>
      <c r="UES9" s="217"/>
      <c r="UET9" s="217"/>
      <c r="UEU9" s="217"/>
      <c r="UEV9" s="217"/>
      <c r="UEW9" s="217"/>
      <c r="UEX9" s="217"/>
      <c r="UEY9" s="217"/>
      <c r="UEZ9" s="217"/>
      <c r="UFA9" s="217"/>
      <c r="UFB9" s="217"/>
      <c r="UFC9" s="217"/>
      <c r="UFD9" s="217"/>
      <c r="UFE9" s="217"/>
      <c r="UFF9" s="217"/>
      <c r="UFG9" s="217"/>
      <c r="UFH9" s="217"/>
      <c r="UFI9" s="217"/>
      <c r="UFJ9" s="217"/>
      <c r="UFK9" s="217"/>
      <c r="UFL9" s="217"/>
      <c r="UFM9" s="217"/>
      <c r="UFN9" s="217"/>
      <c r="UFO9" s="217"/>
      <c r="UFP9" s="217"/>
      <c r="UFQ9" s="217"/>
      <c r="UFR9" s="217"/>
      <c r="UFS9" s="217"/>
      <c r="UFT9" s="217"/>
      <c r="UFU9" s="217"/>
      <c r="UFV9" s="217"/>
      <c r="UFW9" s="217"/>
      <c r="UFX9" s="217"/>
      <c r="UFY9" s="217"/>
      <c r="UFZ9" s="217"/>
      <c r="UGA9" s="217"/>
      <c r="UGB9" s="217"/>
      <c r="UGC9" s="217"/>
      <c r="UGD9" s="217"/>
      <c r="UGE9" s="217"/>
      <c r="UGF9" s="217"/>
      <c r="UGG9" s="217"/>
      <c r="UGH9" s="217"/>
      <c r="UGI9" s="217"/>
      <c r="UGJ9" s="217"/>
      <c r="UGK9" s="217"/>
      <c r="UGL9" s="217"/>
      <c r="UGM9" s="217"/>
      <c r="UGN9" s="217"/>
      <c r="UGO9" s="217"/>
      <c r="UGP9" s="217"/>
      <c r="UGQ9" s="217"/>
      <c r="UGR9" s="217"/>
      <c r="UGS9" s="217"/>
      <c r="UGT9" s="217"/>
      <c r="UGU9" s="217"/>
      <c r="UGV9" s="217"/>
      <c r="UGW9" s="217"/>
      <c r="UGX9" s="217"/>
      <c r="UGY9" s="217"/>
      <c r="UGZ9" s="217"/>
      <c r="UHA9" s="217"/>
      <c r="UHB9" s="217"/>
      <c r="UHC9" s="217"/>
      <c r="UHD9" s="217"/>
      <c r="UHE9" s="217"/>
      <c r="UHF9" s="217"/>
      <c r="UHG9" s="217"/>
      <c r="UHH9" s="217"/>
      <c r="UHI9" s="217"/>
      <c r="UHJ9" s="217"/>
      <c r="UHK9" s="217"/>
      <c r="UHL9" s="217"/>
      <c r="UHM9" s="217"/>
      <c r="UHN9" s="217"/>
      <c r="UHO9" s="217"/>
      <c r="UHP9" s="217"/>
      <c r="UHQ9" s="217"/>
      <c r="UHR9" s="217"/>
      <c r="UHS9" s="217"/>
      <c r="UHT9" s="217"/>
      <c r="UHU9" s="217"/>
      <c r="UHV9" s="217"/>
      <c r="UHW9" s="217"/>
      <c r="UHX9" s="217"/>
      <c r="UHY9" s="217"/>
      <c r="UHZ9" s="217"/>
      <c r="UIA9" s="217"/>
      <c r="UIB9" s="217"/>
      <c r="UIC9" s="217"/>
      <c r="UID9" s="217"/>
      <c r="UIE9" s="217"/>
      <c r="UIF9" s="217"/>
      <c r="UIG9" s="217"/>
      <c r="UIH9" s="217"/>
      <c r="UII9" s="217"/>
      <c r="UIJ9" s="217"/>
      <c r="UIK9" s="217"/>
      <c r="UIL9" s="217"/>
      <c r="UIM9" s="217"/>
      <c r="UIN9" s="217"/>
      <c r="UIO9" s="217"/>
      <c r="UIP9" s="217"/>
      <c r="UIQ9" s="217"/>
      <c r="UIR9" s="217"/>
      <c r="UIS9" s="217"/>
      <c r="UIT9" s="217"/>
      <c r="UIU9" s="217"/>
      <c r="UIV9" s="217"/>
      <c r="UIW9" s="217"/>
      <c r="UIX9" s="217"/>
      <c r="UIY9" s="217"/>
      <c r="UIZ9" s="217"/>
      <c r="UJA9" s="217"/>
      <c r="UJB9" s="217"/>
      <c r="UJC9" s="217"/>
      <c r="UJD9" s="217"/>
      <c r="UJE9" s="217"/>
      <c r="UJF9" s="217"/>
      <c r="UJG9" s="217"/>
      <c r="UJH9" s="217"/>
      <c r="UJI9" s="217"/>
      <c r="UJJ9" s="217"/>
      <c r="UJK9" s="217"/>
      <c r="UJL9" s="217"/>
      <c r="UJM9" s="217"/>
      <c r="UJN9" s="217"/>
      <c r="UJO9" s="217"/>
      <c r="UJP9" s="217"/>
      <c r="UJQ9" s="217"/>
      <c r="UJR9" s="217"/>
      <c r="UJS9" s="217"/>
      <c r="UJT9" s="217"/>
      <c r="UJU9" s="217"/>
      <c r="UJV9" s="217"/>
      <c r="UJW9" s="217"/>
      <c r="UJX9" s="217"/>
      <c r="UJY9" s="217"/>
      <c r="UJZ9" s="217"/>
      <c r="UKA9" s="217"/>
      <c r="UKB9" s="217"/>
      <c r="UKC9" s="217"/>
      <c r="UKD9" s="217"/>
      <c r="UKE9" s="217"/>
      <c r="UKF9" s="217"/>
      <c r="UKG9" s="217"/>
      <c r="UKH9" s="217"/>
      <c r="UKI9" s="217"/>
      <c r="UKJ9" s="217"/>
      <c r="UKK9" s="217"/>
      <c r="UKL9" s="217"/>
      <c r="UKM9" s="217"/>
      <c r="UKN9" s="217"/>
      <c r="UKO9" s="217"/>
      <c r="UKP9" s="217"/>
      <c r="UKQ9" s="217"/>
      <c r="UKR9" s="217"/>
      <c r="UKS9" s="217"/>
      <c r="UKT9" s="217"/>
      <c r="UKU9" s="217"/>
      <c r="UKV9" s="217"/>
      <c r="UKW9" s="217"/>
      <c r="UKX9" s="217"/>
      <c r="UKY9" s="217"/>
      <c r="UKZ9" s="217"/>
      <c r="ULA9" s="217"/>
      <c r="ULB9" s="217"/>
      <c r="ULC9" s="217"/>
      <c r="ULD9" s="217"/>
      <c r="ULE9" s="217"/>
      <c r="ULF9" s="217"/>
      <c r="ULG9" s="217"/>
      <c r="ULH9" s="217"/>
      <c r="ULI9" s="217"/>
      <c r="ULJ9" s="217"/>
      <c r="ULK9" s="217"/>
      <c r="ULL9" s="217"/>
      <c r="ULM9" s="217"/>
      <c r="ULN9" s="217"/>
      <c r="ULO9" s="217"/>
      <c r="ULP9" s="217"/>
      <c r="ULQ9" s="217"/>
      <c r="ULR9" s="217"/>
      <c r="ULS9" s="217"/>
      <c r="ULT9" s="217"/>
      <c r="ULU9" s="217"/>
      <c r="ULV9" s="217"/>
      <c r="ULW9" s="217"/>
      <c r="ULX9" s="217"/>
      <c r="ULY9" s="217"/>
      <c r="ULZ9" s="217"/>
      <c r="UMA9" s="217"/>
      <c r="UMB9" s="217"/>
      <c r="UMC9" s="217"/>
      <c r="UMD9" s="217"/>
      <c r="UME9" s="217"/>
      <c r="UMF9" s="217"/>
      <c r="UMG9" s="217"/>
      <c r="UMH9" s="217"/>
      <c r="UMI9" s="217"/>
      <c r="UMJ9" s="217"/>
      <c r="UMK9" s="217"/>
      <c r="UML9" s="217"/>
      <c r="UMM9" s="217"/>
      <c r="UMN9" s="217"/>
      <c r="UMO9" s="217"/>
      <c r="UMP9" s="217"/>
      <c r="UMQ9" s="217"/>
      <c r="UMR9" s="217"/>
      <c r="UMS9" s="217"/>
      <c r="UMT9" s="217"/>
      <c r="UMU9" s="217"/>
      <c r="UMV9" s="217"/>
      <c r="UMW9" s="217"/>
      <c r="UMX9" s="217"/>
      <c r="UMY9" s="217"/>
      <c r="UMZ9" s="217"/>
      <c r="UNA9" s="217"/>
      <c r="UNB9" s="217"/>
      <c r="UNC9" s="217"/>
      <c r="UND9" s="217"/>
      <c r="UNE9" s="217"/>
      <c r="UNF9" s="217"/>
      <c r="UNG9" s="217"/>
      <c r="UNH9" s="217"/>
      <c r="UNI9" s="217"/>
      <c r="UNJ9" s="217"/>
      <c r="UNK9" s="217"/>
      <c r="UNL9" s="217"/>
      <c r="UNM9" s="217"/>
      <c r="UNN9" s="217"/>
      <c r="UNO9" s="217"/>
      <c r="UNP9" s="217"/>
      <c r="UNQ9" s="217"/>
      <c r="UNR9" s="217"/>
      <c r="UNS9" s="217"/>
      <c r="UNT9" s="217"/>
      <c r="UNU9" s="217"/>
      <c r="UNV9" s="217"/>
      <c r="UNW9" s="217"/>
      <c r="UNX9" s="217"/>
      <c r="UNY9" s="217"/>
      <c r="UNZ9" s="217"/>
      <c r="UOA9" s="217"/>
      <c r="UOB9" s="217"/>
      <c r="UOC9" s="217"/>
      <c r="UOD9" s="217"/>
      <c r="UOE9" s="217"/>
      <c r="UOF9" s="217"/>
      <c r="UOG9" s="217"/>
      <c r="UOH9" s="217"/>
      <c r="UOI9" s="217"/>
      <c r="UOJ9" s="217"/>
      <c r="UOK9" s="217"/>
      <c r="UOL9" s="217"/>
      <c r="UOM9" s="217"/>
      <c r="UON9" s="217"/>
      <c r="UOO9" s="217"/>
      <c r="UOP9" s="217"/>
      <c r="UOQ9" s="217"/>
      <c r="UOR9" s="217"/>
      <c r="UOS9" s="217"/>
      <c r="UOT9" s="217"/>
      <c r="UOU9" s="217"/>
      <c r="UOV9" s="217"/>
      <c r="UOW9" s="217"/>
      <c r="UOX9" s="217"/>
      <c r="UOY9" s="217"/>
      <c r="UOZ9" s="217"/>
      <c r="UPA9" s="217"/>
      <c r="UPB9" s="217"/>
      <c r="UPC9" s="217"/>
      <c r="UPD9" s="217"/>
      <c r="UPE9" s="217"/>
      <c r="UPF9" s="217"/>
      <c r="UPG9" s="217"/>
      <c r="UPH9" s="217"/>
      <c r="UPI9" s="217"/>
      <c r="UPJ9" s="217"/>
      <c r="UPK9" s="217"/>
      <c r="UPL9" s="217"/>
      <c r="UPM9" s="217"/>
      <c r="UPN9" s="217"/>
      <c r="UPO9" s="217"/>
      <c r="UPP9" s="217"/>
      <c r="UPQ9" s="217"/>
      <c r="UPR9" s="217"/>
      <c r="UPS9" s="217"/>
      <c r="UPT9" s="217"/>
      <c r="UPU9" s="217"/>
      <c r="UPV9" s="217"/>
      <c r="UPW9" s="217"/>
      <c r="UPX9" s="217"/>
      <c r="UPY9" s="217"/>
      <c r="UPZ9" s="217"/>
      <c r="UQA9" s="217"/>
      <c r="UQB9" s="217"/>
      <c r="UQC9" s="217"/>
      <c r="UQD9" s="217"/>
      <c r="UQE9" s="217"/>
      <c r="UQF9" s="217"/>
      <c r="UQG9" s="217"/>
      <c r="UQH9" s="217"/>
      <c r="UQI9" s="217"/>
      <c r="UQJ9" s="217"/>
      <c r="UQK9" s="217"/>
      <c r="UQL9" s="217"/>
      <c r="UQM9" s="217"/>
      <c r="UQN9" s="217"/>
      <c r="UQO9" s="217"/>
      <c r="UQP9" s="217"/>
      <c r="UQQ9" s="217"/>
      <c r="UQR9" s="217"/>
      <c r="UQS9" s="217"/>
      <c r="UQT9" s="217"/>
      <c r="UQU9" s="217"/>
      <c r="UQV9" s="217"/>
      <c r="UQW9" s="217"/>
      <c r="UQX9" s="217"/>
      <c r="UQY9" s="217"/>
      <c r="UQZ9" s="217"/>
      <c r="URA9" s="217"/>
      <c r="URB9" s="217"/>
      <c r="URC9" s="217"/>
      <c r="URD9" s="217"/>
      <c r="URE9" s="217"/>
      <c r="URF9" s="217"/>
      <c r="URG9" s="217"/>
      <c r="URH9" s="217"/>
      <c r="URI9" s="217"/>
      <c r="URJ9" s="217"/>
      <c r="URK9" s="217"/>
      <c r="URL9" s="217"/>
      <c r="URM9" s="217"/>
      <c r="URN9" s="217"/>
      <c r="URO9" s="217"/>
      <c r="URP9" s="217"/>
      <c r="URQ9" s="217"/>
      <c r="URR9" s="217"/>
      <c r="URS9" s="217"/>
      <c r="URT9" s="217"/>
      <c r="URU9" s="217"/>
      <c r="URV9" s="217"/>
      <c r="URW9" s="217"/>
      <c r="URX9" s="217"/>
      <c r="URY9" s="217"/>
      <c r="URZ9" s="217"/>
      <c r="USA9" s="217"/>
      <c r="USB9" s="217"/>
      <c r="USC9" s="217"/>
      <c r="USD9" s="217"/>
      <c r="USE9" s="217"/>
      <c r="USF9" s="217"/>
      <c r="USG9" s="217"/>
      <c r="USH9" s="217"/>
      <c r="USI9" s="217"/>
      <c r="USJ9" s="217"/>
      <c r="USK9" s="217"/>
      <c r="USL9" s="217"/>
      <c r="USM9" s="217"/>
      <c r="USN9" s="217"/>
      <c r="USO9" s="217"/>
      <c r="USP9" s="217"/>
      <c r="USQ9" s="217"/>
      <c r="USR9" s="217"/>
      <c r="USS9" s="217"/>
      <c r="UST9" s="217"/>
      <c r="USU9" s="217"/>
      <c r="USV9" s="217"/>
      <c r="USW9" s="217"/>
      <c r="USX9" s="217"/>
      <c r="USY9" s="217"/>
      <c r="USZ9" s="217"/>
      <c r="UTA9" s="217"/>
      <c r="UTB9" s="217"/>
      <c r="UTC9" s="217"/>
      <c r="UTD9" s="217"/>
      <c r="UTE9" s="217"/>
      <c r="UTF9" s="217"/>
      <c r="UTG9" s="217"/>
      <c r="UTH9" s="217"/>
      <c r="UTI9" s="217"/>
      <c r="UTJ9" s="217"/>
      <c r="UTK9" s="217"/>
      <c r="UTL9" s="217"/>
      <c r="UTM9" s="217"/>
      <c r="UTN9" s="217"/>
      <c r="UTO9" s="217"/>
      <c r="UTP9" s="217"/>
      <c r="UTQ9" s="217"/>
      <c r="UTR9" s="217"/>
      <c r="UTS9" s="217"/>
      <c r="UTT9" s="217"/>
      <c r="UTU9" s="217"/>
      <c r="UTV9" s="217"/>
      <c r="UTW9" s="217"/>
      <c r="UTX9" s="217"/>
      <c r="UTY9" s="217"/>
      <c r="UTZ9" s="217"/>
      <c r="UUA9" s="217"/>
      <c r="UUB9" s="217"/>
      <c r="UUC9" s="217"/>
      <c r="UUD9" s="217"/>
      <c r="UUE9" s="217"/>
      <c r="UUF9" s="217"/>
      <c r="UUG9" s="217"/>
      <c r="UUH9" s="217"/>
      <c r="UUI9" s="217"/>
      <c r="UUJ9" s="217"/>
      <c r="UUK9" s="217"/>
      <c r="UUL9" s="217"/>
      <c r="UUM9" s="217"/>
      <c r="UUN9" s="217"/>
      <c r="UUO9" s="217"/>
      <c r="UUP9" s="217"/>
      <c r="UUQ9" s="217"/>
      <c r="UUR9" s="217"/>
      <c r="UUS9" s="217"/>
      <c r="UUT9" s="217"/>
      <c r="UUU9" s="217"/>
      <c r="UUV9" s="217"/>
      <c r="UUW9" s="217"/>
      <c r="UUX9" s="217"/>
      <c r="UUY9" s="217"/>
      <c r="UUZ9" s="217"/>
      <c r="UVA9" s="217"/>
      <c r="UVB9" s="217"/>
      <c r="UVC9" s="217"/>
      <c r="UVD9" s="217"/>
      <c r="UVE9" s="217"/>
      <c r="UVF9" s="217"/>
      <c r="UVG9" s="217"/>
      <c r="UVH9" s="217"/>
      <c r="UVI9" s="217"/>
      <c r="UVJ9" s="217"/>
      <c r="UVK9" s="217"/>
      <c r="UVL9" s="217"/>
      <c r="UVM9" s="217"/>
      <c r="UVN9" s="217"/>
      <c r="UVO9" s="217"/>
      <c r="UVP9" s="217"/>
      <c r="UVQ9" s="217"/>
      <c r="UVR9" s="217"/>
      <c r="UVS9" s="217"/>
      <c r="UVT9" s="217"/>
      <c r="UVU9" s="217"/>
      <c r="UVV9" s="217"/>
      <c r="UVW9" s="217"/>
      <c r="UVX9" s="217"/>
      <c r="UVY9" s="217"/>
      <c r="UVZ9" s="217"/>
      <c r="UWA9" s="217"/>
      <c r="UWB9" s="217"/>
      <c r="UWC9" s="217"/>
      <c r="UWD9" s="217"/>
      <c r="UWE9" s="217"/>
      <c r="UWF9" s="217"/>
      <c r="UWG9" s="217"/>
      <c r="UWH9" s="217"/>
      <c r="UWI9" s="217"/>
      <c r="UWJ9" s="217"/>
      <c r="UWK9" s="217"/>
      <c r="UWL9" s="217"/>
      <c r="UWM9" s="217"/>
      <c r="UWN9" s="217"/>
      <c r="UWO9" s="217"/>
      <c r="UWP9" s="217"/>
      <c r="UWQ9" s="217"/>
      <c r="UWR9" s="217"/>
      <c r="UWS9" s="217"/>
      <c r="UWT9" s="217"/>
      <c r="UWU9" s="217"/>
      <c r="UWV9" s="217"/>
      <c r="UWW9" s="217"/>
      <c r="UWX9" s="217"/>
      <c r="UWY9" s="217"/>
      <c r="UWZ9" s="217"/>
      <c r="UXA9" s="217"/>
      <c r="UXB9" s="217"/>
      <c r="UXC9" s="217"/>
      <c r="UXD9" s="217"/>
      <c r="UXE9" s="217"/>
      <c r="UXF9" s="217"/>
      <c r="UXG9" s="217"/>
      <c r="UXH9" s="217"/>
      <c r="UXI9" s="217"/>
      <c r="UXJ9" s="217"/>
      <c r="UXK9" s="217"/>
      <c r="UXL9" s="217"/>
      <c r="UXM9" s="217"/>
      <c r="UXN9" s="217"/>
      <c r="UXO9" s="217"/>
      <c r="UXP9" s="217"/>
      <c r="UXQ9" s="217"/>
      <c r="UXR9" s="217"/>
      <c r="UXS9" s="217"/>
      <c r="UXT9" s="217"/>
      <c r="UXU9" s="217"/>
      <c r="UXV9" s="217"/>
      <c r="UXW9" s="217"/>
      <c r="UXX9" s="217"/>
      <c r="UXY9" s="217"/>
      <c r="UXZ9" s="217"/>
      <c r="UYA9" s="217"/>
      <c r="UYB9" s="217"/>
      <c r="UYC9" s="217"/>
      <c r="UYD9" s="217"/>
      <c r="UYE9" s="217"/>
      <c r="UYF9" s="217"/>
      <c r="UYG9" s="217"/>
      <c r="UYH9" s="217"/>
      <c r="UYI9" s="217"/>
      <c r="UYJ9" s="217"/>
      <c r="UYK9" s="217"/>
      <c r="UYL9" s="217"/>
      <c r="UYM9" s="217"/>
      <c r="UYN9" s="217"/>
      <c r="UYO9" s="217"/>
      <c r="UYP9" s="217"/>
      <c r="UYQ9" s="217"/>
      <c r="UYR9" s="217"/>
      <c r="UYS9" s="217"/>
      <c r="UYT9" s="217"/>
      <c r="UYU9" s="217"/>
      <c r="UYV9" s="217"/>
      <c r="UYW9" s="217"/>
      <c r="UYX9" s="217"/>
      <c r="UYY9" s="217"/>
      <c r="UYZ9" s="217"/>
      <c r="UZA9" s="217"/>
      <c r="UZB9" s="217"/>
      <c r="UZC9" s="217"/>
      <c r="UZD9" s="217"/>
      <c r="UZE9" s="217"/>
      <c r="UZF9" s="217"/>
      <c r="UZG9" s="217"/>
      <c r="UZH9" s="217"/>
      <c r="UZI9" s="217"/>
      <c r="UZJ9" s="217"/>
      <c r="UZK9" s="217"/>
      <c r="UZL9" s="217"/>
      <c r="UZM9" s="217"/>
      <c r="UZN9" s="217"/>
      <c r="UZO9" s="217"/>
      <c r="UZP9" s="217"/>
      <c r="UZQ9" s="217"/>
      <c r="UZR9" s="217"/>
      <c r="UZS9" s="217"/>
      <c r="UZT9" s="217"/>
      <c r="UZU9" s="217"/>
      <c r="UZV9" s="217"/>
      <c r="UZW9" s="217"/>
      <c r="UZX9" s="217"/>
      <c r="UZY9" s="217"/>
      <c r="UZZ9" s="217"/>
      <c r="VAA9" s="217"/>
      <c r="VAB9" s="217"/>
      <c r="VAC9" s="217"/>
      <c r="VAD9" s="217"/>
      <c r="VAE9" s="217"/>
      <c r="VAF9" s="217"/>
      <c r="VAG9" s="217"/>
      <c r="VAH9" s="217"/>
      <c r="VAI9" s="217"/>
      <c r="VAJ9" s="217"/>
      <c r="VAK9" s="217"/>
      <c r="VAL9" s="217"/>
      <c r="VAM9" s="217"/>
      <c r="VAN9" s="217"/>
      <c r="VAO9" s="217"/>
      <c r="VAP9" s="217"/>
      <c r="VAQ9" s="217"/>
      <c r="VAR9" s="217"/>
      <c r="VAS9" s="217"/>
      <c r="VAT9" s="217"/>
      <c r="VAU9" s="217"/>
      <c r="VAV9" s="217"/>
      <c r="VAW9" s="217"/>
      <c r="VAX9" s="217"/>
      <c r="VAY9" s="217"/>
      <c r="VAZ9" s="217"/>
      <c r="VBA9" s="217"/>
      <c r="VBB9" s="217"/>
      <c r="VBC9" s="217"/>
      <c r="VBD9" s="217"/>
      <c r="VBE9" s="217"/>
      <c r="VBF9" s="217"/>
      <c r="VBG9" s="217"/>
      <c r="VBH9" s="217"/>
      <c r="VBI9" s="217"/>
      <c r="VBJ9" s="217"/>
      <c r="VBK9" s="217"/>
      <c r="VBL9" s="217"/>
      <c r="VBM9" s="217"/>
      <c r="VBN9" s="217"/>
      <c r="VBO9" s="217"/>
      <c r="VBP9" s="217"/>
      <c r="VBQ9" s="217"/>
      <c r="VBR9" s="217"/>
      <c r="VBS9" s="217"/>
      <c r="VBT9" s="217"/>
      <c r="VBU9" s="217"/>
      <c r="VBV9" s="217"/>
      <c r="VBW9" s="217"/>
      <c r="VBX9" s="217"/>
      <c r="VBY9" s="217"/>
      <c r="VBZ9" s="217"/>
      <c r="VCA9" s="217"/>
      <c r="VCB9" s="217"/>
      <c r="VCC9" s="217"/>
      <c r="VCD9" s="217"/>
      <c r="VCE9" s="217"/>
      <c r="VCF9" s="217"/>
      <c r="VCG9" s="217"/>
      <c r="VCH9" s="217"/>
      <c r="VCI9" s="217"/>
      <c r="VCJ9" s="217"/>
      <c r="VCK9" s="217"/>
      <c r="VCL9" s="217"/>
      <c r="VCM9" s="217"/>
      <c r="VCN9" s="217"/>
      <c r="VCO9" s="217"/>
      <c r="VCP9" s="217"/>
      <c r="VCQ9" s="217"/>
      <c r="VCR9" s="217"/>
      <c r="VCS9" s="217"/>
      <c r="VCT9" s="217"/>
      <c r="VCU9" s="217"/>
      <c r="VCV9" s="217"/>
      <c r="VCW9" s="217"/>
      <c r="VCX9" s="217"/>
      <c r="VCY9" s="217"/>
      <c r="VCZ9" s="217"/>
      <c r="VDA9" s="217"/>
      <c r="VDB9" s="217"/>
      <c r="VDC9" s="217"/>
      <c r="VDD9" s="217"/>
      <c r="VDE9" s="217"/>
      <c r="VDF9" s="217"/>
      <c r="VDG9" s="217"/>
      <c r="VDH9" s="217"/>
      <c r="VDI9" s="217"/>
      <c r="VDJ9" s="217"/>
      <c r="VDK9" s="217"/>
      <c r="VDL9" s="217"/>
      <c r="VDM9" s="217"/>
      <c r="VDN9" s="217"/>
      <c r="VDO9" s="217"/>
      <c r="VDP9" s="217"/>
      <c r="VDQ9" s="217"/>
      <c r="VDR9" s="217"/>
      <c r="VDS9" s="217"/>
      <c r="VDT9" s="217"/>
      <c r="VDU9" s="217"/>
      <c r="VDV9" s="217"/>
      <c r="VDW9" s="217"/>
      <c r="VDX9" s="217"/>
      <c r="VDY9" s="217"/>
      <c r="VDZ9" s="217"/>
      <c r="VEA9" s="217"/>
      <c r="VEB9" s="217"/>
      <c r="VEC9" s="217"/>
      <c r="VED9" s="217"/>
      <c r="VEE9" s="217"/>
      <c r="VEF9" s="217"/>
      <c r="VEG9" s="217"/>
      <c r="VEH9" s="217"/>
      <c r="VEI9" s="217"/>
      <c r="VEJ9" s="217"/>
      <c r="VEK9" s="217"/>
      <c r="VEL9" s="217"/>
      <c r="VEM9" s="217"/>
      <c r="VEN9" s="217"/>
      <c r="VEO9" s="217"/>
      <c r="VEP9" s="217"/>
      <c r="VEQ9" s="217"/>
      <c r="VER9" s="217"/>
      <c r="VES9" s="217"/>
      <c r="VET9" s="217"/>
      <c r="VEU9" s="217"/>
      <c r="VEV9" s="217"/>
      <c r="VEW9" s="217"/>
      <c r="VEX9" s="217"/>
      <c r="VEY9" s="217"/>
      <c r="VEZ9" s="217"/>
      <c r="VFA9" s="217"/>
      <c r="VFB9" s="217"/>
      <c r="VFC9" s="217"/>
      <c r="VFD9" s="217"/>
      <c r="VFE9" s="217"/>
      <c r="VFF9" s="217"/>
      <c r="VFG9" s="217"/>
      <c r="VFH9" s="217"/>
      <c r="VFI9" s="217"/>
      <c r="VFJ9" s="217"/>
      <c r="VFK9" s="217"/>
      <c r="VFL9" s="217"/>
      <c r="VFM9" s="217"/>
      <c r="VFN9" s="217"/>
      <c r="VFO9" s="217"/>
      <c r="VFP9" s="217"/>
      <c r="VFQ9" s="217"/>
      <c r="VFR9" s="217"/>
      <c r="VFS9" s="217"/>
      <c r="VFT9" s="217"/>
      <c r="VFU9" s="217"/>
      <c r="VFV9" s="217"/>
      <c r="VFW9" s="217"/>
      <c r="VFX9" s="217"/>
      <c r="VFY9" s="217"/>
      <c r="VFZ9" s="217"/>
      <c r="VGA9" s="217"/>
      <c r="VGB9" s="217"/>
      <c r="VGC9" s="217"/>
      <c r="VGD9" s="217"/>
      <c r="VGE9" s="217"/>
      <c r="VGF9" s="217"/>
      <c r="VGG9" s="217"/>
      <c r="VGH9" s="217"/>
      <c r="VGI9" s="217"/>
      <c r="VGJ9" s="217"/>
      <c r="VGK9" s="217"/>
      <c r="VGL9" s="217"/>
      <c r="VGM9" s="217"/>
      <c r="VGN9" s="217"/>
      <c r="VGO9" s="217"/>
      <c r="VGP9" s="217"/>
      <c r="VGQ9" s="217"/>
      <c r="VGR9" s="217"/>
      <c r="VGS9" s="217"/>
      <c r="VGT9" s="217"/>
      <c r="VGU9" s="217"/>
      <c r="VGV9" s="217"/>
      <c r="VGW9" s="217"/>
      <c r="VGX9" s="217"/>
      <c r="VGY9" s="217"/>
      <c r="VGZ9" s="217"/>
      <c r="VHA9" s="217"/>
      <c r="VHB9" s="217"/>
      <c r="VHC9" s="217"/>
      <c r="VHD9" s="217"/>
      <c r="VHE9" s="217"/>
      <c r="VHF9" s="217"/>
      <c r="VHG9" s="217"/>
      <c r="VHH9" s="217"/>
      <c r="VHI9" s="217"/>
      <c r="VHJ9" s="217"/>
      <c r="VHK9" s="217"/>
      <c r="VHL9" s="217"/>
      <c r="VHM9" s="217"/>
      <c r="VHN9" s="217"/>
      <c r="VHO9" s="217"/>
      <c r="VHP9" s="217"/>
      <c r="VHQ9" s="217"/>
      <c r="VHR9" s="217"/>
      <c r="VHS9" s="217"/>
      <c r="VHT9" s="217"/>
      <c r="VHU9" s="217"/>
      <c r="VHV9" s="217"/>
      <c r="VHW9" s="217"/>
      <c r="VHX9" s="217"/>
      <c r="VHY9" s="217"/>
      <c r="VHZ9" s="217"/>
      <c r="VIA9" s="217"/>
      <c r="VIB9" s="217"/>
      <c r="VIC9" s="217"/>
      <c r="VID9" s="217"/>
      <c r="VIE9" s="217"/>
      <c r="VIF9" s="217"/>
      <c r="VIG9" s="217"/>
      <c r="VIH9" s="217"/>
      <c r="VII9" s="217"/>
      <c r="VIJ9" s="217"/>
      <c r="VIK9" s="217"/>
      <c r="VIL9" s="217"/>
      <c r="VIM9" s="217"/>
      <c r="VIN9" s="217"/>
      <c r="VIO9" s="217"/>
      <c r="VIP9" s="217"/>
      <c r="VIQ9" s="217"/>
      <c r="VIR9" s="217"/>
      <c r="VIS9" s="217"/>
      <c r="VIT9" s="217"/>
      <c r="VIU9" s="217"/>
      <c r="VIV9" s="217"/>
      <c r="VIW9" s="217"/>
      <c r="VIX9" s="217"/>
      <c r="VIY9" s="217"/>
      <c r="VIZ9" s="217"/>
      <c r="VJA9" s="217"/>
      <c r="VJB9" s="217"/>
      <c r="VJC9" s="217"/>
      <c r="VJD9" s="217"/>
      <c r="VJE9" s="217"/>
      <c r="VJF9" s="217"/>
      <c r="VJG9" s="217"/>
      <c r="VJH9" s="217"/>
      <c r="VJI9" s="217"/>
      <c r="VJJ9" s="217"/>
      <c r="VJK9" s="217"/>
      <c r="VJL9" s="217"/>
      <c r="VJM9" s="217"/>
      <c r="VJN9" s="217"/>
      <c r="VJO9" s="217"/>
      <c r="VJP9" s="217"/>
      <c r="VJQ9" s="217"/>
      <c r="VJR9" s="217"/>
      <c r="VJS9" s="217"/>
      <c r="VJT9" s="217"/>
      <c r="VJU9" s="217"/>
      <c r="VJV9" s="217"/>
      <c r="VJW9" s="217"/>
      <c r="VJX9" s="217"/>
      <c r="VJY9" s="217"/>
      <c r="VJZ9" s="217"/>
      <c r="VKA9" s="217"/>
      <c r="VKB9" s="217"/>
      <c r="VKC9" s="217"/>
      <c r="VKD9" s="217"/>
      <c r="VKE9" s="217"/>
      <c r="VKF9" s="217"/>
      <c r="VKG9" s="217"/>
      <c r="VKH9" s="217"/>
      <c r="VKI9" s="217"/>
      <c r="VKJ9" s="217"/>
      <c r="VKK9" s="217"/>
      <c r="VKL9" s="217"/>
      <c r="VKM9" s="217"/>
      <c r="VKN9" s="217"/>
      <c r="VKO9" s="217"/>
      <c r="VKP9" s="217"/>
      <c r="VKQ9" s="217"/>
      <c r="VKR9" s="217"/>
      <c r="VKS9" s="217"/>
      <c r="VKT9" s="217"/>
      <c r="VKU9" s="217"/>
      <c r="VKV9" s="217"/>
      <c r="VKW9" s="217"/>
      <c r="VKX9" s="217"/>
      <c r="VKY9" s="217"/>
      <c r="VKZ9" s="217"/>
      <c r="VLA9" s="217"/>
      <c r="VLB9" s="217"/>
      <c r="VLC9" s="217"/>
      <c r="VLD9" s="217"/>
      <c r="VLE9" s="217"/>
      <c r="VLF9" s="217"/>
      <c r="VLG9" s="217"/>
      <c r="VLH9" s="217"/>
      <c r="VLI9" s="217"/>
      <c r="VLJ9" s="217"/>
      <c r="VLK9" s="217"/>
      <c r="VLL9" s="217"/>
      <c r="VLM9" s="217"/>
      <c r="VLN9" s="217"/>
      <c r="VLO9" s="217"/>
      <c r="VLP9" s="217"/>
      <c r="VLQ9" s="217"/>
      <c r="VLR9" s="217"/>
      <c r="VLS9" s="217"/>
      <c r="VLT9" s="217"/>
      <c r="VLU9" s="217"/>
      <c r="VLV9" s="217"/>
      <c r="VLW9" s="217"/>
      <c r="VLX9" s="217"/>
      <c r="VLY9" s="217"/>
      <c r="VLZ9" s="217"/>
      <c r="VMA9" s="217"/>
      <c r="VMB9" s="217"/>
      <c r="VMC9" s="217"/>
      <c r="VMD9" s="217"/>
      <c r="VME9" s="217"/>
      <c r="VMF9" s="217"/>
      <c r="VMG9" s="217"/>
      <c r="VMH9" s="217"/>
      <c r="VMI9" s="217"/>
      <c r="VMJ9" s="217"/>
      <c r="VMK9" s="217"/>
      <c r="VML9" s="217"/>
      <c r="VMM9" s="217"/>
      <c r="VMN9" s="217"/>
      <c r="VMO9" s="217"/>
      <c r="VMP9" s="217"/>
      <c r="VMQ9" s="217"/>
      <c r="VMR9" s="217"/>
      <c r="VMS9" s="217"/>
      <c r="VMT9" s="217"/>
      <c r="VMU9" s="217"/>
      <c r="VMV9" s="217"/>
      <c r="VMW9" s="217"/>
      <c r="VMX9" s="217"/>
      <c r="VMY9" s="217"/>
      <c r="VMZ9" s="217"/>
      <c r="VNA9" s="217"/>
      <c r="VNB9" s="217"/>
      <c r="VNC9" s="217"/>
      <c r="VND9" s="217"/>
      <c r="VNE9" s="217"/>
      <c r="VNF9" s="217"/>
      <c r="VNG9" s="217"/>
      <c r="VNH9" s="217"/>
      <c r="VNI9" s="217"/>
      <c r="VNJ9" s="217"/>
      <c r="VNK9" s="217"/>
      <c r="VNL9" s="217"/>
      <c r="VNM9" s="217"/>
      <c r="VNN9" s="217"/>
      <c r="VNO9" s="217"/>
      <c r="VNP9" s="217"/>
      <c r="VNQ9" s="217"/>
      <c r="VNR9" s="217"/>
      <c r="VNS9" s="217"/>
      <c r="VNT9" s="217"/>
      <c r="VNU9" s="217"/>
      <c r="VNV9" s="217"/>
      <c r="VNW9" s="217"/>
      <c r="VNX9" s="217"/>
      <c r="VNY9" s="217"/>
      <c r="VNZ9" s="217"/>
      <c r="VOA9" s="217"/>
      <c r="VOB9" s="217"/>
      <c r="VOC9" s="217"/>
      <c r="VOD9" s="217"/>
      <c r="VOE9" s="217"/>
      <c r="VOF9" s="217"/>
      <c r="VOG9" s="217"/>
      <c r="VOH9" s="217"/>
      <c r="VOI9" s="217"/>
      <c r="VOJ9" s="217"/>
      <c r="VOK9" s="217"/>
      <c r="VOL9" s="217"/>
      <c r="VOM9" s="217"/>
      <c r="VON9" s="217"/>
      <c r="VOO9" s="217"/>
      <c r="VOP9" s="217"/>
      <c r="VOQ9" s="217"/>
      <c r="VOR9" s="217"/>
      <c r="VOS9" s="217"/>
      <c r="VOT9" s="217"/>
      <c r="VOU9" s="217"/>
      <c r="VOV9" s="217"/>
      <c r="VOW9" s="217"/>
      <c r="VOX9" s="217"/>
      <c r="VOY9" s="217"/>
      <c r="VOZ9" s="217"/>
      <c r="VPA9" s="217"/>
      <c r="VPB9" s="217"/>
      <c r="VPC9" s="217"/>
      <c r="VPD9" s="217"/>
      <c r="VPE9" s="217"/>
      <c r="VPF9" s="217"/>
      <c r="VPG9" s="217"/>
      <c r="VPH9" s="217"/>
      <c r="VPI9" s="217"/>
      <c r="VPJ9" s="217"/>
      <c r="VPK9" s="217"/>
      <c r="VPL9" s="217"/>
      <c r="VPM9" s="217"/>
      <c r="VPN9" s="217"/>
      <c r="VPO9" s="217"/>
      <c r="VPP9" s="217"/>
      <c r="VPQ9" s="217"/>
      <c r="VPR9" s="217"/>
      <c r="VPS9" s="217"/>
      <c r="VPT9" s="217"/>
      <c r="VPU9" s="217"/>
      <c r="VPV9" s="217"/>
      <c r="VPW9" s="217"/>
      <c r="VPX9" s="217"/>
      <c r="VPY9" s="217"/>
      <c r="VPZ9" s="217"/>
      <c r="VQA9" s="217"/>
      <c r="VQB9" s="217"/>
      <c r="VQC9" s="217"/>
      <c r="VQD9" s="217"/>
      <c r="VQE9" s="217"/>
      <c r="VQF9" s="217"/>
      <c r="VQG9" s="217"/>
      <c r="VQH9" s="217"/>
      <c r="VQI9" s="217"/>
      <c r="VQJ9" s="217"/>
      <c r="VQK9" s="217"/>
      <c r="VQL9" s="217"/>
      <c r="VQM9" s="217"/>
      <c r="VQN9" s="217"/>
      <c r="VQO9" s="217"/>
      <c r="VQP9" s="217"/>
      <c r="VQQ9" s="217"/>
      <c r="VQR9" s="217"/>
      <c r="VQS9" s="217"/>
      <c r="VQT9" s="217"/>
      <c r="VQU9" s="217"/>
      <c r="VQV9" s="217"/>
      <c r="VQW9" s="217"/>
      <c r="VQX9" s="217"/>
      <c r="VQY9" s="217"/>
      <c r="VQZ9" s="217"/>
      <c r="VRA9" s="217"/>
      <c r="VRB9" s="217"/>
      <c r="VRC9" s="217"/>
      <c r="VRD9" s="217"/>
      <c r="VRE9" s="217"/>
      <c r="VRF9" s="217"/>
      <c r="VRG9" s="217"/>
      <c r="VRH9" s="217"/>
      <c r="VRI9" s="217"/>
      <c r="VRJ9" s="217"/>
      <c r="VRK9" s="217"/>
      <c r="VRL9" s="217"/>
      <c r="VRM9" s="217"/>
      <c r="VRN9" s="217"/>
      <c r="VRO9" s="217"/>
      <c r="VRP9" s="217"/>
      <c r="VRQ9" s="217"/>
      <c r="VRR9" s="217"/>
      <c r="VRS9" s="217"/>
      <c r="VRT9" s="217"/>
      <c r="VRU9" s="217"/>
      <c r="VRV9" s="217"/>
      <c r="VRW9" s="217"/>
      <c r="VRX9" s="217"/>
      <c r="VRY9" s="217"/>
      <c r="VRZ9" s="217"/>
      <c r="VSA9" s="217"/>
      <c r="VSB9" s="217"/>
      <c r="VSC9" s="217"/>
      <c r="VSD9" s="217"/>
      <c r="VSE9" s="217"/>
      <c r="VSF9" s="217"/>
      <c r="VSG9" s="217"/>
      <c r="VSH9" s="217"/>
      <c r="VSI9" s="217"/>
      <c r="VSJ9" s="217"/>
      <c r="VSK9" s="217"/>
      <c r="VSL9" s="217"/>
      <c r="VSM9" s="217"/>
      <c r="VSN9" s="217"/>
      <c r="VSO9" s="217"/>
      <c r="VSP9" s="217"/>
      <c r="VSQ9" s="217"/>
      <c r="VSR9" s="217"/>
      <c r="VSS9" s="217"/>
      <c r="VST9" s="217"/>
      <c r="VSU9" s="217"/>
      <c r="VSV9" s="217"/>
      <c r="VSW9" s="217"/>
      <c r="VSX9" s="217"/>
      <c r="VSY9" s="217"/>
      <c r="VSZ9" s="217"/>
      <c r="VTA9" s="217"/>
      <c r="VTB9" s="217"/>
      <c r="VTC9" s="217"/>
      <c r="VTD9" s="217"/>
      <c r="VTE9" s="217"/>
      <c r="VTF9" s="217"/>
      <c r="VTG9" s="217"/>
      <c r="VTH9" s="217"/>
      <c r="VTI9" s="217"/>
      <c r="VTJ9" s="217"/>
      <c r="VTK9" s="217"/>
      <c r="VTL9" s="217"/>
      <c r="VTM9" s="217"/>
      <c r="VTN9" s="217"/>
      <c r="VTO9" s="217"/>
      <c r="VTP9" s="217"/>
      <c r="VTQ9" s="217"/>
      <c r="VTR9" s="217"/>
      <c r="VTS9" s="217"/>
      <c r="VTT9" s="217"/>
      <c r="VTU9" s="217"/>
      <c r="VTV9" s="217"/>
      <c r="VTW9" s="217"/>
      <c r="VTX9" s="217"/>
      <c r="VTY9" s="217"/>
      <c r="VTZ9" s="217"/>
      <c r="VUA9" s="217"/>
      <c r="VUB9" s="217"/>
      <c r="VUC9" s="217"/>
      <c r="VUD9" s="217"/>
      <c r="VUE9" s="217"/>
      <c r="VUF9" s="217"/>
      <c r="VUG9" s="217"/>
      <c r="VUH9" s="217"/>
      <c r="VUI9" s="217"/>
      <c r="VUJ9" s="217"/>
      <c r="VUK9" s="217"/>
      <c r="VUL9" s="217"/>
      <c r="VUM9" s="217"/>
      <c r="VUN9" s="217"/>
      <c r="VUO9" s="217"/>
      <c r="VUP9" s="217"/>
      <c r="VUQ9" s="217"/>
      <c r="VUR9" s="217"/>
      <c r="VUS9" s="217"/>
      <c r="VUT9" s="217"/>
      <c r="VUU9" s="217"/>
      <c r="VUV9" s="217"/>
      <c r="VUW9" s="217"/>
      <c r="VUX9" s="217"/>
      <c r="VUY9" s="217"/>
      <c r="VUZ9" s="217"/>
      <c r="VVA9" s="217"/>
      <c r="VVB9" s="217"/>
      <c r="VVC9" s="217"/>
      <c r="VVD9" s="217"/>
      <c r="VVE9" s="217"/>
      <c r="VVF9" s="217"/>
      <c r="VVG9" s="217"/>
      <c r="VVH9" s="217"/>
      <c r="VVI9" s="217"/>
      <c r="VVJ9" s="217"/>
      <c r="VVK9" s="217"/>
      <c r="VVL9" s="217"/>
      <c r="VVM9" s="217"/>
      <c r="VVN9" s="217"/>
      <c r="VVO9" s="217"/>
      <c r="VVP9" s="217"/>
      <c r="VVQ9" s="217"/>
      <c r="VVR9" s="217"/>
      <c r="VVS9" s="217"/>
      <c r="VVT9" s="217"/>
      <c r="VVU9" s="217"/>
      <c r="VVV9" s="217"/>
      <c r="VVW9" s="217"/>
      <c r="VVX9" s="217"/>
      <c r="VVY9" s="217"/>
      <c r="VVZ9" s="217"/>
      <c r="VWA9" s="217"/>
      <c r="VWB9" s="217"/>
      <c r="VWC9" s="217"/>
      <c r="VWD9" s="217"/>
      <c r="VWE9" s="217"/>
      <c r="VWF9" s="217"/>
      <c r="VWG9" s="217"/>
      <c r="VWH9" s="217"/>
      <c r="VWI9" s="217"/>
      <c r="VWJ9" s="217"/>
      <c r="VWK9" s="217"/>
      <c r="VWL9" s="217"/>
      <c r="VWM9" s="217"/>
      <c r="VWN9" s="217"/>
      <c r="VWO9" s="217"/>
      <c r="VWP9" s="217"/>
      <c r="VWQ9" s="217"/>
      <c r="VWR9" s="217"/>
      <c r="VWS9" s="217"/>
      <c r="VWT9" s="217"/>
      <c r="VWU9" s="217"/>
      <c r="VWV9" s="217"/>
      <c r="VWW9" s="217"/>
      <c r="VWX9" s="217"/>
      <c r="VWY9" s="217"/>
      <c r="VWZ9" s="217"/>
      <c r="VXA9" s="217"/>
      <c r="VXB9" s="217"/>
      <c r="VXC9" s="217"/>
      <c r="VXD9" s="217"/>
      <c r="VXE9" s="217"/>
      <c r="VXF9" s="217"/>
      <c r="VXG9" s="217"/>
      <c r="VXH9" s="217"/>
      <c r="VXI9" s="217"/>
      <c r="VXJ9" s="217"/>
      <c r="VXK9" s="217"/>
      <c r="VXL9" s="217"/>
      <c r="VXM9" s="217"/>
      <c r="VXN9" s="217"/>
      <c r="VXO9" s="217"/>
      <c r="VXP9" s="217"/>
      <c r="VXQ9" s="217"/>
      <c r="VXR9" s="217"/>
      <c r="VXS9" s="217"/>
      <c r="VXT9" s="217"/>
      <c r="VXU9" s="217"/>
      <c r="VXV9" s="217"/>
      <c r="VXW9" s="217"/>
      <c r="VXX9" s="217"/>
      <c r="VXY9" s="217"/>
      <c r="VXZ9" s="217"/>
      <c r="VYA9" s="217"/>
      <c r="VYB9" s="217"/>
      <c r="VYC9" s="217"/>
      <c r="VYD9" s="217"/>
      <c r="VYE9" s="217"/>
      <c r="VYF9" s="217"/>
      <c r="VYG9" s="217"/>
      <c r="VYH9" s="217"/>
      <c r="VYI9" s="217"/>
      <c r="VYJ9" s="217"/>
      <c r="VYK9" s="217"/>
      <c r="VYL9" s="217"/>
      <c r="VYM9" s="217"/>
      <c r="VYN9" s="217"/>
      <c r="VYO9" s="217"/>
      <c r="VYP9" s="217"/>
      <c r="VYQ9" s="217"/>
      <c r="VYR9" s="217"/>
      <c r="VYS9" s="217"/>
      <c r="VYT9" s="217"/>
      <c r="VYU9" s="217"/>
      <c r="VYV9" s="217"/>
      <c r="VYW9" s="217"/>
      <c r="VYX9" s="217"/>
      <c r="VYY9" s="217"/>
      <c r="VYZ9" s="217"/>
      <c r="VZA9" s="217"/>
      <c r="VZB9" s="217"/>
      <c r="VZC9" s="217"/>
      <c r="VZD9" s="217"/>
      <c r="VZE9" s="217"/>
      <c r="VZF9" s="217"/>
      <c r="VZG9" s="217"/>
      <c r="VZH9" s="217"/>
      <c r="VZI9" s="217"/>
      <c r="VZJ9" s="217"/>
      <c r="VZK9" s="217"/>
      <c r="VZL9" s="217"/>
      <c r="VZM9" s="217"/>
      <c r="VZN9" s="217"/>
      <c r="VZO9" s="217"/>
      <c r="VZP9" s="217"/>
      <c r="VZQ9" s="217"/>
      <c r="VZR9" s="217"/>
      <c r="VZS9" s="217"/>
      <c r="VZT9" s="217"/>
      <c r="VZU9" s="217"/>
      <c r="VZV9" s="217"/>
      <c r="VZW9" s="217"/>
      <c r="VZX9" s="217"/>
      <c r="VZY9" s="217"/>
      <c r="VZZ9" s="217"/>
      <c r="WAA9" s="217"/>
      <c r="WAB9" s="217"/>
      <c r="WAC9" s="217"/>
      <c r="WAD9" s="217"/>
      <c r="WAE9" s="217"/>
      <c r="WAF9" s="217"/>
      <c r="WAG9" s="217"/>
      <c r="WAH9" s="217"/>
      <c r="WAI9" s="217"/>
      <c r="WAJ9" s="217"/>
      <c r="WAK9" s="217"/>
      <c r="WAL9" s="217"/>
      <c r="WAM9" s="217"/>
      <c r="WAN9" s="217"/>
      <c r="WAO9" s="217"/>
      <c r="WAP9" s="217"/>
      <c r="WAQ9" s="217"/>
      <c r="WAR9" s="217"/>
      <c r="WAS9" s="217"/>
      <c r="WAT9" s="217"/>
      <c r="WAU9" s="217"/>
      <c r="WAV9" s="217"/>
      <c r="WAW9" s="217"/>
      <c r="WAX9" s="217"/>
      <c r="WAY9" s="217"/>
      <c r="WAZ9" s="217"/>
      <c r="WBA9" s="217"/>
      <c r="WBB9" s="217"/>
      <c r="WBC9" s="217"/>
      <c r="WBD9" s="217"/>
      <c r="WBE9" s="217"/>
      <c r="WBF9" s="217"/>
      <c r="WBG9" s="217"/>
      <c r="WBH9" s="217"/>
      <c r="WBI9" s="217"/>
      <c r="WBJ9" s="217"/>
      <c r="WBK9" s="217"/>
      <c r="WBL9" s="217"/>
      <c r="WBM9" s="217"/>
      <c r="WBN9" s="217"/>
      <c r="WBO9" s="217"/>
      <c r="WBP9" s="217"/>
      <c r="WBQ9" s="217"/>
      <c r="WBR9" s="217"/>
      <c r="WBS9" s="217"/>
      <c r="WBT9" s="217"/>
      <c r="WBU9" s="217"/>
      <c r="WBV9" s="217"/>
      <c r="WBW9" s="217"/>
      <c r="WBX9" s="217"/>
      <c r="WBY9" s="217"/>
      <c r="WBZ9" s="217"/>
      <c r="WCA9" s="217"/>
      <c r="WCB9" s="217"/>
      <c r="WCC9" s="217"/>
      <c r="WCD9" s="217"/>
      <c r="WCE9" s="217"/>
      <c r="WCF9" s="217"/>
      <c r="WCG9" s="217"/>
      <c r="WCH9" s="217"/>
      <c r="WCI9" s="217"/>
      <c r="WCJ9" s="217"/>
      <c r="WCK9" s="217"/>
      <c r="WCL9" s="217"/>
      <c r="WCM9" s="217"/>
      <c r="WCN9" s="217"/>
      <c r="WCO9" s="217"/>
      <c r="WCP9" s="217"/>
      <c r="WCQ9" s="217"/>
      <c r="WCR9" s="217"/>
      <c r="WCS9" s="217"/>
      <c r="WCT9" s="217"/>
      <c r="WCU9" s="217"/>
      <c r="WCV9" s="217"/>
      <c r="WCW9" s="217"/>
      <c r="WCX9" s="217"/>
      <c r="WCY9" s="217"/>
      <c r="WCZ9" s="217"/>
      <c r="WDA9" s="217"/>
      <c r="WDB9" s="217"/>
      <c r="WDC9" s="217"/>
      <c r="WDD9" s="217"/>
      <c r="WDE9" s="217"/>
      <c r="WDF9" s="217"/>
      <c r="WDG9" s="217"/>
      <c r="WDH9" s="217"/>
      <c r="WDI9" s="217"/>
      <c r="WDJ9" s="217"/>
      <c r="WDK9" s="217"/>
      <c r="WDL9" s="217"/>
      <c r="WDM9" s="217"/>
      <c r="WDN9" s="217"/>
      <c r="WDO9" s="217"/>
      <c r="WDP9" s="217"/>
      <c r="WDQ9" s="217"/>
      <c r="WDR9" s="217"/>
      <c r="WDS9" s="217"/>
      <c r="WDT9" s="217"/>
      <c r="WDU9" s="217"/>
      <c r="WDV9" s="217"/>
      <c r="WDW9" s="217"/>
      <c r="WDX9" s="217"/>
      <c r="WDY9" s="217"/>
      <c r="WDZ9" s="217"/>
      <c r="WEA9" s="217"/>
      <c r="WEB9" s="217"/>
      <c r="WEC9" s="217"/>
      <c r="WED9" s="217"/>
      <c r="WEE9" s="217"/>
      <c r="WEF9" s="217"/>
      <c r="WEG9" s="217"/>
      <c r="WEH9" s="217"/>
      <c r="WEI9" s="217"/>
      <c r="WEJ9" s="217"/>
      <c r="WEK9" s="217"/>
      <c r="WEL9" s="217"/>
      <c r="WEM9" s="217"/>
      <c r="WEN9" s="217"/>
      <c r="WEO9" s="217"/>
      <c r="WEP9" s="217"/>
      <c r="WEQ9" s="217"/>
      <c r="WER9" s="217"/>
      <c r="WES9" s="217"/>
      <c r="WET9" s="217"/>
      <c r="WEU9" s="217"/>
      <c r="WEV9" s="217"/>
      <c r="WEW9" s="217"/>
      <c r="WEX9" s="217"/>
      <c r="WEY9" s="217"/>
      <c r="WEZ9" s="217"/>
      <c r="WFA9" s="217"/>
      <c r="WFB9" s="217"/>
      <c r="WFC9" s="217"/>
      <c r="WFD9" s="217"/>
      <c r="WFE9" s="217"/>
      <c r="WFF9" s="217"/>
      <c r="WFG9" s="217"/>
      <c r="WFH9" s="217"/>
      <c r="WFI9" s="217"/>
      <c r="WFJ9" s="217"/>
      <c r="WFK9" s="217"/>
      <c r="WFL9" s="217"/>
      <c r="WFM9" s="217"/>
      <c r="WFN9" s="217"/>
      <c r="WFO9" s="217"/>
      <c r="WFP9" s="217"/>
      <c r="WFQ9" s="217"/>
      <c r="WFR9" s="217"/>
      <c r="WFS9" s="217"/>
      <c r="WFT9" s="217"/>
      <c r="WFU9" s="217"/>
      <c r="WFV9" s="217"/>
      <c r="WFW9" s="217"/>
      <c r="WFX9" s="217"/>
      <c r="WFY9" s="217"/>
      <c r="WFZ9" s="217"/>
      <c r="WGA9" s="217"/>
      <c r="WGB9" s="217"/>
      <c r="WGC9" s="217"/>
      <c r="WGD9" s="217"/>
      <c r="WGE9" s="217"/>
      <c r="WGF9" s="217"/>
      <c r="WGG9" s="217"/>
      <c r="WGH9" s="217"/>
      <c r="WGI9" s="217"/>
      <c r="WGJ9" s="217"/>
      <c r="WGK9" s="217"/>
      <c r="WGL9" s="217"/>
      <c r="WGM9" s="217"/>
      <c r="WGN9" s="217"/>
      <c r="WGO9" s="217"/>
      <c r="WGP9" s="217"/>
      <c r="WGQ9" s="217"/>
      <c r="WGR9" s="217"/>
      <c r="WGS9" s="217"/>
      <c r="WGT9" s="217"/>
      <c r="WGU9" s="217"/>
      <c r="WGV9" s="217"/>
      <c r="WGW9" s="217"/>
      <c r="WGX9" s="217"/>
      <c r="WGY9" s="217"/>
      <c r="WGZ9" s="217"/>
      <c r="WHA9" s="217"/>
      <c r="WHB9" s="217"/>
      <c r="WHC9" s="217"/>
      <c r="WHD9" s="217"/>
      <c r="WHE9" s="217"/>
      <c r="WHF9" s="217"/>
      <c r="WHG9" s="217"/>
      <c r="WHH9" s="217"/>
      <c r="WHI9" s="217"/>
      <c r="WHJ9" s="217"/>
      <c r="WHK9" s="217"/>
      <c r="WHL9" s="217"/>
      <c r="WHM9" s="217"/>
      <c r="WHN9" s="217"/>
      <c r="WHO9" s="217"/>
      <c r="WHP9" s="217"/>
      <c r="WHQ9" s="217"/>
      <c r="WHR9" s="217"/>
      <c r="WHS9" s="217"/>
      <c r="WHT9" s="217"/>
      <c r="WHU9" s="217"/>
      <c r="WHV9" s="217"/>
      <c r="WHW9" s="217"/>
      <c r="WHX9" s="217"/>
      <c r="WHY9" s="217"/>
      <c r="WHZ9" s="217"/>
      <c r="WIA9" s="217"/>
      <c r="WIB9" s="217"/>
      <c r="WIC9" s="217"/>
      <c r="WID9" s="217"/>
      <c r="WIE9" s="217"/>
      <c r="WIF9" s="217"/>
      <c r="WIG9" s="217"/>
      <c r="WIH9" s="217"/>
      <c r="WII9" s="217"/>
      <c r="WIJ9" s="217"/>
      <c r="WIK9" s="217"/>
      <c r="WIL9" s="217"/>
      <c r="WIM9" s="217"/>
      <c r="WIN9" s="217"/>
      <c r="WIO9" s="217"/>
      <c r="WIP9" s="217"/>
      <c r="WIQ9" s="217"/>
      <c r="WIR9" s="217"/>
      <c r="WIS9" s="217"/>
      <c r="WIT9" s="217"/>
      <c r="WIU9" s="217"/>
      <c r="WIV9" s="217"/>
      <c r="WIW9" s="217"/>
      <c r="WIX9" s="217"/>
      <c r="WIY9" s="217"/>
      <c r="WIZ9" s="217"/>
      <c r="WJA9" s="217"/>
      <c r="WJB9" s="217"/>
      <c r="WJC9" s="217"/>
      <c r="WJD9" s="217"/>
      <c r="WJE9" s="217"/>
      <c r="WJF9" s="217"/>
      <c r="WJG9" s="217"/>
      <c r="WJH9" s="217"/>
      <c r="WJI9" s="217"/>
      <c r="WJJ9" s="217"/>
      <c r="WJK9" s="217"/>
      <c r="WJL9" s="217"/>
      <c r="WJM9" s="217"/>
      <c r="WJN9" s="217"/>
      <c r="WJO9" s="217"/>
      <c r="WJP9" s="217"/>
      <c r="WJQ9" s="217"/>
      <c r="WJR9" s="217"/>
      <c r="WJS9" s="217"/>
      <c r="WJT9" s="217"/>
      <c r="WJU9" s="217"/>
      <c r="WJV9" s="217"/>
      <c r="WJW9" s="217"/>
      <c r="WJX9" s="217"/>
      <c r="WJY9" s="217"/>
      <c r="WJZ9" s="217"/>
      <c r="WKA9" s="217"/>
      <c r="WKB9" s="217"/>
      <c r="WKC9" s="217"/>
      <c r="WKD9" s="217"/>
      <c r="WKE9" s="217"/>
      <c r="WKF9" s="217"/>
      <c r="WKG9" s="217"/>
      <c r="WKH9" s="217"/>
      <c r="WKI9" s="217"/>
      <c r="WKJ9" s="217"/>
      <c r="WKK9" s="217"/>
      <c r="WKL9" s="217"/>
      <c r="WKM9" s="217"/>
      <c r="WKN9" s="217"/>
      <c r="WKO9" s="217"/>
      <c r="WKP9" s="217"/>
      <c r="WKQ9" s="217"/>
      <c r="WKR9" s="217"/>
      <c r="WKS9" s="217"/>
      <c r="WKT9" s="217"/>
      <c r="WKU9" s="217"/>
      <c r="WKV9" s="217"/>
      <c r="WKW9" s="217"/>
      <c r="WKX9" s="217"/>
      <c r="WKY9" s="217"/>
      <c r="WKZ9" s="217"/>
      <c r="WLA9" s="217"/>
      <c r="WLB9" s="217"/>
      <c r="WLC9" s="217"/>
      <c r="WLD9" s="217"/>
      <c r="WLE9" s="217"/>
      <c r="WLF9" s="217"/>
      <c r="WLG9" s="217"/>
      <c r="WLH9" s="217"/>
      <c r="WLI9" s="217"/>
      <c r="WLJ9" s="217"/>
      <c r="WLK9" s="217"/>
      <c r="WLL9" s="217"/>
      <c r="WLM9" s="217"/>
      <c r="WLN9" s="217"/>
      <c r="WLO9" s="217"/>
      <c r="WLP9" s="217"/>
      <c r="WLQ9" s="217"/>
      <c r="WLR9" s="217"/>
      <c r="WLS9" s="217"/>
      <c r="WLT9" s="217"/>
      <c r="WLU9" s="217"/>
      <c r="WLV9" s="217"/>
      <c r="WLW9" s="217"/>
      <c r="WLX9" s="217"/>
      <c r="WLY9" s="217"/>
      <c r="WLZ9" s="217"/>
      <c r="WMA9" s="217"/>
      <c r="WMB9" s="217"/>
      <c r="WMC9" s="217"/>
      <c r="WMD9" s="217"/>
      <c r="WME9" s="217"/>
      <c r="WMF9" s="217"/>
      <c r="WMG9" s="217"/>
      <c r="WMH9" s="217"/>
      <c r="WMI9" s="217"/>
      <c r="WMJ9" s="217"/>
      <c r="WMK9" s="217"/>
      <c r="WML9" s="217"/>
      <c r="WMM9" s="217"/>
      <c r="WMN9" s="217"/>
      <c r="WMO9" s="217"/>
      <c r="WMP9" s="217"/>
      <c r="WMQ9" s="217"/>
      <c r="WMR9" s="217"/>
      <c r="WMS9" s="217"/>
      <c r="WMT9" s="217"/>
      <c r="WMU9" s="217"/>
      <c r="WMV9" s="217"/>
      <c r="WMW9" s="217"/>
      <c r="WMX9" s="217"/>
      <c r="WMY9" s="217"/>
      <c r="WMZ9" s="217"/>
      <c r="WNA9" s="217"/>
      <c r="WNB9" s="217"/>
      <c r="WNC9" s="217"/>
      <c r="WND9" s="217"/>
      <c r="WNE9" s="217"/>
      <c r="WNF9" s="217"/>
      <c r="WNG9" s="217"/>
      <c r="WNH9" s="217"/>
      <c r="WNI9" s="217"/>
      <c r="WNJ9" s="217"/>
      <c r="WNK9" s="217"/>
      <c r="WNL9" s="217"/>
      <c r="WNM9" s="217"/>
      <c r="WNN9" s="217"/>
      <c r="WNO9" s="217"/>
      <c r="WNP9" s="217"/>
      <c r="WNQ9" s="217"/>
      <c r="WNR9" s="217"/>
      <c r="WNS9" s="217"/>
      <c r="WNT9" s="217"/>
      <c r="WNU9" s="217"/>
      <c r="WNV9" s="217"/>
      <c r="WNW9" s="217"/>
      <c r="WNX9" s="217"/>
      <c r="WNY9" s="217"/>
      <c r="WNZ9" s="217"/>
      <c r="WOA9" s="217"/>
      <c r="WOB9" s="217"/>
      <c r="WOC9" s="217"/>
      <c r="WOD9" s="217"/>
      <c r="WOE9" s="217"/>
      <c r="WOF9" s="217"/>
      <c r="WOG9" s="217"/>
      <c r="WOH9" s="217"/>
      <c r="WOI9" s="217"/>
      <c r="WOJ9" s="217"/>
      <c r="WOK9" s="217"/>
      <c r="WOL9" s="217"/>
      <c r="WOM9" s="217"/>
      <c r="WON9" s="217"/>
      <c r="WOO9" s="217"/>
      <c r="WOP9" s="217"/>
      <c r="WOQ9" s="217"/>
      <c r="WOR9" s="217"/>
      <c r="WOS9" s="217"/>
      <c r="WOT9" s="217"/>
      <c r="WOU9" s="217"/>
      <c r="WOV9" s="217"/>
      <c r="WOW9" s="217"/>
      <c r="WOX9" s="217"/>
      <c r="WOY9" s="217"/>
      <c r="WOZ9" s="217"/>
      <c r="WPA9" s="217"/>
      <c r="WPB9" s="217"/>
      <c r="WPC9" s="217"/>
      <c r="WPD9" s="217"/>
      <c r="WPE9" s="217"/>
      <c r="WPF9" s="217"/>
      <c r="WPG9" s="217"/>
      <c r="WPH9" s="217"/>
      <c r="WPI9" s="217"/>
      <c r="WPJ9" s="217"/>
      <c r="WPK9" s="217"/>
      <c r="WPL9" s="217"/>
      <c r="WPM9" s="217"/>
      <c r="WPN9" s="217"/>
      <c r="WPO9" s="217"/>
      <c r="WPP9" s="217"/>
      <c r="WPQ9" s="217"/>
      <c r="WPR9" s="217"/>
      <c r="WPS9" s="217"/>
      <c r="WPT9" s="217"/>
      <c r="WPU9" s="217"/>
      <c r="WPV9" s="217"/>
      <c r="WPW9" s="217"/>
      <c r="WPX9" s="217"/>
      <c r="WPY9" s="217"/>
      <c r="WPZ9" s="217"/>
      <c r="WQA9" s="217"/>
      <c r="WQB9" s="217"/>
      <c r="WQC9" s="217"/>
      <c r="WQD9" s="217"/>
      <c r="WQE9" s="217"/>
      <c r="WQF9" s="217"/>
      <c r="WQG9" s="217"/>
      <c r="WQH9" s="217"/>
      <c r="WQI9" s="217"/>
      <c r="WQJ9" s="217"/>
      <c r="WQK9" s="217"/>
      <c r="WQL9" s="217"/>
      <c r="WQM9" s="217"/>
      <c r="WQN9" s="217"/>
      <c r="WQO9" s="217"/>
      <c r="WQP9" s="217"/>
      <c r="WQQ9" s="217"/>
      <c r="WQR9" s="217"/>
      <c r="WQS9" s="217"/>
      <c r="WQT9" s="217"/>
      <c r="WQU9" s="217"/>
      <c r="WQV9" s="217"/>
      <c r="WQW9" s="217"/>
      <c r="WQX9" s="217"/>
      <c r="WQY9" s="217"/>
      <c r="WQZ9" s="217"/>
      <c r="WRA9" s="217"/>
      <c r="WRB9" s="217"/>
      <c r="WRC9" s="217"/>
      <c r="WRD9" s="217"/>
      <c r="WRE9" s="217"/>
      <c r="WRF9" s="217"/>
      <c r="WRG9" s="217"/>
      <c r="WRH9" s="217"/>
      <c r="WRI9" s="217"/>
      <c r="WRJ9" s="217"/>
      <c r="WRK9" s="217"/>
      <c r="WRL9" s="217"/>
      <c r="WRM9" s="217"/>
      <c r="WRN9" s="217"/>
      <c r="WRO9" s="217"/>
      <c r="WRP9" s="217"/>
      <c r="WRQ9" s="217"/>
      <c r="WRR9" s="217"/>
      <c r="WRS9" s="217"/>
      <c r="WRT9" s="217"/>
      <c r="WRU9" s="217"/>
      <c r="WRV9" s="217"/>
      <c r="WRW9" s="217"/>
      <c r="WRX9" s="217"/>
      <c r="WRY9" s="217"/>
      <c r="WRZ9" s="217"/>
      <c r="WSA9" s="217"/>
      <c r="WSB9" s="217"/>
      <c r="WSC9" s="217"/>
      <c r="WSD9" s="217"/>
      <c r="WSE9" s="217"/>
      <c r="WSF9" s="217"/>
      <c r="WSG9" s="217"/>
      <c r="WSH9" s="217"/>
      <c r="WSI9" s="217"/>
      <c r="WSJ9" s="217"/>
      <c r="WSK9" s="217"/>
      <c r="WSL9" s="217"/>
      <c r="WSM9" s="217"/>
      <c r="WSN9" s="217"/>
      <c r="WSO9" s="217"/>
      <c r="WSP9" s="217"/>
      <c r="WSQ9" s="217"/>
      <c r="WSR9" s="217"/>
      <c r="WSS9" s="217"/>
      <c r="WST9" s="217"/>
      <c r="WSU9" s="217"/>
      <c r="WSV9" s="217"/>
      <c r="WSW9" s="217"/>
      <c r="WSX9" s="217"/>
      <c r="WSY9" s="217"/>
      <c r="WSZ9" s="217"/>
      <c r="WTA9" s="217"/>
      <c r="WTB9" s="217"/>
      <c r="WTC9" s="217"/>
      <c r="WTD9" s="217"/>
      <c r="WTE9" s="217"/>
      <c r="WTF9" s="217"/>
      <c r="WTG9" s="217"/>
      <c r="WTH9" s="217"/>
      <c r="WTI9" s="217"/>
      <c r="WTJ9" s="217"/>
      <c r="WTK9" s="217"/>
      <c r="WTL9" s="217"/>
      <c r="WTM9" s="217"/>
      <c r="WTN9" s="217"/>
      <c r="WTO9" s="217"/>
      <c r="WTP9" s="217"/>
      <c r="WTQ9" s="217"/>
      <c r="WTR9" s="217"/>
      <c r="WTS9" s="217"/>
      <c r="WTT9" s="217"/>
      <c r="WTU9" s="217"/>
      <c r="WTV9" s="217"/>
      <c r="WTW9" s="217"/>
      <c r="WTX9" s="217"/>
      <c r="WTY9" s="217"/>
      <c r="WTZ9" s="217"/>
      <c r="WUA9" s="217"/>
      <c r="WUB9" s="217"/>
      <c r="WUC9" s="217"/>
      <c r="WUD9" s="217"/>
      <c r="WUE9" s="217"/>
      <c r="WUF9" s="217"/>
      <c r="WUG9" s="217"/>
      <c r="WUH9" s="217"/>
      <c r="WUI9" s="217"/>
      <c r="WUJ9" s="217"/>
      <c r="WUK9" s="217"/>
      <c r="WUL9" s="217"/>
      <c r="WUM9" s="217"/>
      <c r="WUN9" s="217"/>
      <c r="WUO9" s="217"/>
      <c r="WUP9" s="217"/>
      <c r="WUQ9" s="217"/>
      <c r="WUR9" s="217"/>
      <c r="WUS9" s="217"/>
      <c r="WUT9" s="217"/>
      <c r="WUU9" s="217"/>
      <c r="WUV9" s="217"/>
      <c r="WUW9" s="217"/>
      <c r="WUX9" s="217"/>
      <c r="WUY9" s="217"/>
      <c r="WUZ9" s="217"/>
      <c r="WVA9" s="217"/>
      <c r="WVB9" s="217"/>
      <c r="WVC9" s="217"/>
      <c r="WVD9" s="217"/>
      <c r="WVE9" s="217"/>
      <c r="WVF9" s="217"/>
      <c r="WVG9" s="217"/>
      <c r="WVH9" s="217"/>
      <c r="WVI9" s="217"/>
      <c r="WVJ9" s="217"/>
      <c r="WVK9" s="217"/>
      <c r="WVL9" s="217"/>
      <c r="WVM9" s="217"/>
      <c r="WVN9" s="217"/>
      <c r="WVO9" s="217"/>
      <c r="WVP9" s="217"/>
      <c r="WVQ9" s="217"/>
      <c r="WVR9" s="217"/>
      <c r="WVS9" s="217"/>
      <c r="WVT9" s="217"/>
      <c r="WVU9" s="217"/>
      <c r="WVV9" s="217"/>
      <c r="WVW9" s="217"/>
      <c r="WVX9" s="217"/>
      <c r="WVY9" s="217"/>
      <c r="WVZ9" s="217"/>
      <c r="WWA9" s="217"/>
      <c r="WWB9" s="217"/>
      <c r="WWC9" s="217"/>
      <c r="WWD9" s="217"/>
      <c r="WWE9" s="217"/>
      <c r="WWF9" s="217"/>
      <c r="WWG9" s="217"/>
      <c r="WWH9" s="217"/>
      <c r="WWI9" s="217"/>
      <c r="WWJ9" s="217"/>
      <c r="WWK9" s="217"/>
      <c r="WWL9" s="217"/>
      <c r="WWM9" s="217"/>
      <c r="WWN9" s="217"/>
      <c r="WWO9" s="217"/>
      <c r="WWP9" s="217"/>
      <c r="WWQ9" s="217"/>
      <c r="WWR9" s="217"/>
      <c r="WWS9" s="217"/>
      <c r="WWT9" s="217"/>
      <c r="WWU9" s="217"/>
      <c r="WWV9" s="217"/>
      <c r="WWW9" s="217"/>
      <c r="WWX9" s="217"/>
      <c r="WWY9" s="217"/>
      <c r="WWZ9" s="217"/>
      <c r="WXA9" s="217"/>
      <c r="WXB9" s="217"/>
      <c r="WXC9" s="217"/>
      <c r="WXD9" s="217"/>
      <c r="WXE9" s="217"/>
      <c r="WXF9" s="217"/>
      <c r="WXG9" s="217"/>
      <c r="WXH9" s="217"/>
      <c r="WXI9" s="217"/>
      <c r="WXJ9" s="217"/>
      <c r="WXK9" s="217"/>
      <c r="WXL9" s="217"/>
      <c r="WXM9" s="217"/>
      <c r="WXN9" s="217"/>
      <c r="WXO9" s="217"/>
      <c r="WXP9" s="217"/>
      <c r="WXQ9" s="217"/>
      <c r="WXR9" s="217"/>
      <c r="WXS9" s="217"/>
      <c r="WXT9" s="217"/>
      <c r="WXU9" s="217"/>
      <c r="WXV9" s="217"/>
      <c r="WXW9" s="217"/>
      <c r="WXX9" s="217"/>
      <c r="WXY9" s="217"/>
      <c r="WXZ9" s="217"/>
      <c r="WYA9" s="217"/>
      <c r="WYB9" s="217"/>
      <c r="WYC9" s="217"/>
      <c r="WYD9" s="217"/>
      <c r="WYE9" s="217"/>
      <c r="WYF9" s="217"/>
      <c r="WYG9" s="217"/>
      <c r="WYH9" s="217"/>
      <c r="WYI9" s="217"/>
      <c r="WYJ9" s="217"/>
      <c r="WYK9" s="217"/>
      <c r="WYL9" s="217"/>
      <c r="WYM9" s="217"/>
      <c r="WYN9" s="217"/>
      <c r="WYO9" s="217"/>
      <c r="WYP9" s="217"/>
      <c r="WYQ9" s="217"/>
      <c r="WYR9" s="217"/>
      <c r="WYS9" s="217"/>
      <c r="WYT9" s="217"/>
      <c r="WYU9" s="217"/>
      <c r="WYV9" s="217"/>
      <c r="WYW9" s="217"/>
      <c r="WYX9" s="217"/>
      <c r="WYY9" s="217"/>
      <c r="WYZ9" s="217"/>
      <c r="WZA9" s="217"/>
      <c r="WZB9" s="217"/>
      <c r="WZC9" s="217"/>
      <c r="WZD9" s="217"/>
      <c r="WZE9" s="217"/>
      <c r="WZF9" s="217"/>
      <c r="WZG9" s="217"/>
      <c r="WZH9" s="217"/>
      <c r="WZI9" s="217"/>
      <c r="WZJ9" s="217"/>
      <c r="WZK9" s="217"/>
      <c r="WZL9" s="217"/>
      <c r="WZM9" s="217"/>
      <c r="WZN9" s="217"/>
      <c r="WZO9" s="217"/>
      <c r="WZP9" s="217"/>
      <c r="WZQ9" s="217"/>
      <c r="WZR9" s="217"/>
      <c r="WZS9" s="217"/>
      <c r="WZT9" s="217"/>
      <c r="WZU9" s="217"/>
      <c r="WZV9" s="217"/>
      <c r="WZW9" s="217"/>
      <c r="WZX9" s="217"/>
      <c r="WZY9" s="217"/>
      <c r="WZZ9" s="217"/>
      <c r="XAA9" s="217"/>
      <c r="XAB9" s="217"/>
      <c r="XAC9" s="217"/>
      <c r="XAD9" s="217"/>
      <c r="XAE9" s="217"/>
      <c r="XAF9" s="217"/>
      <c r="XAG9" s="217"/>
      <c r="XAH9" s="217"/>
      <c r="XAI9" s="217"/>
      <c r="XAJ9" s="217"/>
      <c r="XAK9" s="217"/>
      <c r="XAL9" s="217"/>
      <c r="XAM9" s="217"/>
      <c r="XAN9" s="217"/>
      <c r="XAO9" s="217"/>
      <c r="XAP9" s="217"/>
      <c r="XAQ9" s="217"/>
      <c r="XAR9" s="217"/>
      <c r="XAS9" s="217"/>
      <c r="XAT9" s="217"/>
      <c r="XAU9" s="217"/>
      <c r="XAV9" s="217"/>
      <c r="XAW9" s="217"/>
      <c r="XAX9" s="217"/>
      <c r="XAY9" s="217"/>
      <c r="XAZ9" s="217"/>
      <c r="XBA9" s="217"/>
      <c r="XBB9" s="217"/>
      <c r="XBC9" s="217"/>
      <c r="XBD9" s="217"/>
      <c r="XBE9" s="217"/>
      <c r="XBF9" s="217"/>
      <c r="XBG9" s="217"/>
      <c r="XBH9" s="217"/>
      <c r="XBI9" s="217"/>
      <c r="XBJ9" s="217"/>
      <c r="XBK9" s="217"/>
      <c r="XBL9" s="217"/>
      <c r="XBM9" s="217"/>
      <c r="XBN9" s="217"/>
      <c r="XBO9" s="217"/>
      <c r="XBP9" s="217"/>
      <c r="XBQ9" s="217"/>
      <c r="XBR9" s="217"/>
      <c r="XBS9" s="217"/>
      <c r="XBT9" s="217"/>
      <c r="XBU9" s="217"/>
      <c r="XBV9" s="217"/>
      <c r="XBW9" s="217"/>
      <c r="XBX9" s="217"/>
      <c r="XBY9" s="217"/>
      <c r="XBZ9" s="217"/>
      <c r="XCA9" s="217"/>
      <c r="XCB9" s="217"/>
      <c r="XCC9" s="217"/>
      <c r="XCD9" s="217"/>
      <c r="XCE9" s="217"/>
      <c r="XCF9" s="217"/>
      <c r="XCG9" s="217"/>
      <c r="XCH9" s="217"/>
      <c r="XCI9" s="217"/>
      <c r="XCJ9" s="217"/>
      <c r="XCK9" s="217"/>
      <c r="XCL9" s="217"/>
      <c r="XCM9" s="217"/>
      <c r="XCN9" s="217"/>
      <c r="XCO9" s="217"/>
      <c r="XCP9" s="217"/>
      <c r="XCQ9" s="217"/>
      <c r="XCR9" s="217"/>
      <c r="XCS9" s="217"/>
      <c r="XCT9" s="217"/>
      <c r="XCU9" s="217"/>
      <c r="XCV9" s="217"/>
      <c r="XCW9" s="217"/>
      <c r="XCX9" s="217"/>
      <c r="XCY9" s="217"/>
      <c r="XCZ9" s="217"/>
      <c r="XDA9" s="217"/>
      <c r="XDB9" s="217"/>
      <c r="XDC9" s="217"/>
      <c r="XDD9" s="217"/>
      <c r="XDE9" s="217"/>
      <c r="XDF9" s="217"/>
      <c r="XDG9" s="217"/>
      <c r="XDH9" s="217"/>
      <c r="XDI9" s="217"/>
      <c r="XDJ9" s="217"/>
      <c r="XDK9" s="217"/>
      <c r="XDL9" s="217"/>
      <c r="XDM9" s="217"/>
      <c r="XDN9" s="217"/>
      <c r="XDO9" s="217"/>
      <c r="XDP9" s="217"/>
      <c r="XDQ9" s="217"/>
      <c r="XDR9" s="217"/>
      <c r="XDS9" s="217"/>
      <c r="XDT9" s="217"/>
      <c r="XDU9" s="217"/>
      <c r="XDV9" s="217"/>
      <c r="XDW9" s="217"/>
      <c r="XDX9" s="217"/>
      <c r="XDY9" s="217"/>
      <c r="XDZ9" s="217"/>
      <c r="XEA9" s="217"/>
      <c r="XEB9" s="217"/>
      <c r="XEC9" s="217"/>
      <c r="XED9" s="217"/>
      <c r="XEE9" s="217"/>
      <c r="XEF9" s="217"/>
      <c r="XEG9" s="217"/>
      <c r="XEH9" s="217"/>
      <c r="XEI9" s="217"/>
      <c r="XEJ9" s="217"/>
      <c r="XEK9" s="217"/>
      <c r="XEL9" s="217"/>
      <c r="XEM9" s="217"/>
      <c r="XEN9" s="217"/>
      <c r="XEO9" s="217"/>
      <c r="XEP9" s="217"/>
      <c r="XEQ9" s="217"/>
      <c r="XER9" s="217"/>
      <c r="XES9" s="217"/>
      <c r="XET9" s="217"/>
      <c r="XEU9" s="217"/>
      <c r="XEV9" s="217"/>
    </row>
    <row r="10" spans="1:16376" ht="13" x14ac:dyDescent="0.3">
      <c r="A10" s="82"/>
      <c r="B10" s="154">
        <v>24005</v>
      </c>
      <c r="C10" s="118" t="s">
        <v>164</v>
      </c>
      <c r="D10" s="111" t="s">
        <v>2116</v>
      </c>
      <c r="E10" s="111"/>
      <c r="F10" s="119" t="s">
        <v>2057</v>
      </c>
      <c r="G10" s="111" t="s">
        <v>2117</v>
      </c>
      <c r="H10" s="70" t="s">
        <v>916</v>
      </c>
      <c r="I10" s="111" t="s">
        <v>9</v>
      </c>
      <c r="J10" s="111"/>
      <c r="K10" s="70"/>
      <c r="L10" s="74"/>
      <c r="M10" s="158" t="s">
        <v>6</v>
      </c>
      <c r="N10" s="118" t="s">
        <v>1965</v>
      </c>
      <c r="O10" s="113">
        <v>45379</v>
      </c>
      <c r="P10" s="209">
        <v>45432</v>
      </c>
      <c r="Q10" s="187">
        <v>45432</v>
      </c>
      <c r="R10" s="161" t="s">
        <v>6</v>
      </c>
      <c r="S10" s="113"/>
      <c r="T10" s="70"/>
      <c r="U10" s="70"/>
      <c r="V10" s="70"/>
      <c r="W10" s="114" t="s">
        <v>1894</v>
      </c>
      <c r="X10" s="194">
        <v>1278</v>
      </c>
      <c r="Y10" s="194"/>
      <c r="Z10" s="196">
        <v>1278</v>
      </c>
      <c r="AA10" s="148"/>
      <c r="AB10" s="70"/>
      <c r="AC10" s="70"/>
      <c r="AD10" s="165" t="s">
        <v>2221</v>
      </c>
      <c r="AE10" s="165" t="s">
        <v>2222</v>
      </c>
      <c r="AF10" s="114"/>
      <c r="AG10" s="114"/>
      <c r="AH10" s="114"/>
      <c r="AI10" s="114"/>
      <c r="AJ10" s="114"/>
      <c r="AK10" s="114"/>
      <c r="AL10" s="114"/>
      <c r="AM10" s="114"/>
    </row>
    <row r="11" spans="1:16376" ht="13" x14ac:dyDescent="0.3">
      <c r="A11" s="82"/>
      <c r="B11" s="154">
        <v>24014</v>
      </c>
      <c r="C11" s="118" t="s">
        <v>164</v>
      </c>
      <c r="D11" s="111" t="s">
        <v>2134</v>
      </c>
      <c r="E11" s="111" t="s">
        <v>2135</v>
      </c>
      <c r="F11" s="119" t="s">
        <v>2057</v>
      </c>
      <c r="G11" s="111" t="s">
        <v>2136</v>
      </c>
      <c r="H11" s="70" t="s">
        <v>1665</v>
      </c>
      <c r="I11" s="111" t="s">
        <v>87</v>
      </c>
      <c r="J11" s="111"/>
      <c r="K11" s="70"/>
      <c r="L11" s="74"/>
      <c r="M11" s="158" t="s">
        <v>6</v>
      </c>
      <c r="N11" s="118" t="s">
        <v>1965</v>
      </c>
      <c r="O11" s="113">
        <v>45392</v>
      </c>
      <c r="P11" s="117">
        <v>45475</v>
      </c>
      <c r="Q11" s="187">
        <v>45474</v>
      </c>
      <c r="R11" s="161" t="s">
        <v>6</v>
      </c>
      <c r="S11" s="113"/>
      <c r="T11" s="70"/>
      <c r="U11" s="70"/>
      <c r="V11" s="70"/>
      <c r="W11" s="114" t="s">
        <v>1894</v>
      </c>
      <c r="X11" s="194">
        <v>5139</v>
      </c>
      <c r="Y11" s="194"/>
      <c r="Z11" s="196">
        <v>5139</v>
      </c>
      <c r="AA11" s="148"/>
      <c r="AB11" s="70"/>
      <c r="AC11" s="70"/>
      <c r="AD11" s="165" t="s">
        <v>2223</v>
      </c>
      <c r="AE11" s="165" t="s">
        <v>2224</v>
      </c>
      <c r="AF11" s="114"/>
      <c r="AG11" s="114"/>
      <c r="AH11" s="114"/>
      <c r="AI11" s="114"/>
      <c r="AJ11" s="114"/>
      <c r="AK11" s="114"/>
      <c r="AL11" s="114"/>
      <c r="AM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  <c r="BP11" s="114"/>
      <c r="BQ11" s="114"/>
      <c r="BR11" s="114"/>
      <c r="BS11" s="114"/>
      <c r="BT11" s="114"/>
      <c r="BU11" s="114"/>
      <c r="BV11" s="114"/>
      <c r="BW11" s="114"/>
      <c r="BX11" s="114"/>
      <c r="BY11" s="114"/>
      <c r="BZ11" s="114"/>
      <c r="CA11" s="114"/>
      <c r="CB11" s="114"/>
      <c r="CC11" s="114"/>
      <c r="CD11" s="114"/>
      <c r="CE11" s="114"/>
      <c r="CF11" s="114"/>
      <c r="CG11" s="114"/>
      <c r="CH11" s="114"/>
      <c r="CI11" s="114"/>
      <c r="CJ11" s="114"/>
      <c r="CK11" s="114"/>
      <c r="CL11" s="114"/>
      <c r="CM11" s="114"/>
      <c r="CN11" s="114"/>
      <c r="CO11" s="114"/>
      <c r="CP11" s="114"/>
      <c r="CQ11" s="114"/>
      <c r="CR11" s="114"/>
      <c r="CS11" s="114"/>
      <c r="CT11" s="114"/>
      <c r="CU11" s="114"/>
      <c r="CV11" s="114"/>
      <c r="CW11" s="114"/>
      <c r="CX11" s="114"/>
      <c r="CY11" s="114"/>
      <c r="CZ11" s="114"/>
      <c r="DA11" s="114"/>
      <c r="DB11" s="114"/>
      <c r="DC11" s="114"/>
      <c r="DD11" s="114"/>
      <c r="DE11" s="114"/>
      <c r="DF11" s="114"/>
      <c r="DG11" s="114"/>
      <c r="DH11" s="114"/>
      <c r="DI11" s="114"/>
      <c r="DJ11" s="114"/>
      <c r="DK11" s="114"/>
      <c r="DL11" s="114"/>
      <c r="DM11" s="114"/>
      <c r="DN11" s="114"/>
      <c r="DO11" s="114"/>
      <c r="DP11" s="114"/>
      <c r="DQ11" s="114"/>
      <c r="DR11" s="114"/>
      <c r="DS11" s="114"/>
      <c r="DT11" s="114"/>
      <c r="DU11" s="114"/>
      <c r="DV11" s="114"/>
      <c r="DW11" s="114"/>
      <c r="DX11" s="114"/>
      <c r="DY11" s="114"/>
      <c r="DZ11" s="114"/>
      <c r="EA11" s="114"/>
      <c r="EB11" s="114"/>
      <c r="EC11" s="114"/>
      <c r="ED11" s="114"/>
      <c r="EE11" s="114"/>
      <c r="EF11" s="114"/>
      <c r="EG11" s="114"/>
      <c r="EH11" s="114"/>
      <c r="EI11" s="114"/>
      <c r="EJ11" s="114"/>
      <c r="EK11" s="114"/>
      <c r="EL11" s="114"/>
      <c r="EM11" s="114"/>
      <c r="EN11" s="114"/>
      <c r="EO11" s="114"/>
      <c r="EP11" s="114"/>
      <c r="EQ11" s="114"/>
      <c r="ER11" s="114"/>
      <c r="ES11" s="114"/>
      <c r="ET11" s="114"/>
      <c r="EU11" s="114"/>
      <c r="EV11" s="114"/>
      <c r="EW11" s="114"/>
      <c r="EX11" s="114"/>
      <c r="EY11" s="114"/>
      <c r="EZ11" s="114"/>
      <c r="FA11" s="114"/>
      <c r="FB11" s="114"/>
      <c r="FC11" s="114"/>
      <c r="FD11" s="114"/>
      <c r="FE11" s="114"/>
      <c r="FF11" s="114"/>
      <c r="FG11" s="114"/>
      <c r="FH11" s="114"/>
      <c r="FI11" s="114"/>
      <c r="FJ11" s="114"/>
      <c r="FK11" s="114"/>
      <c r="FL11" s="114"/>
      <c r="FM11" s="114"/>
      <c r="FN11" s="114"/>
      <c r="FO11" s="114"/>
      <c r="FP11" s="114"/>
      <c r="FQ11" s="114"/>
      <c r="FR11" s="114"/>
      <c r="FS11" s="114"/>
      <c r="FT11" s="114"/>
      <c r="FU11" s="114"/>
      <c r="FV11" s="114"/>
      <c r="FW11" s="114"/>
      <c r="FX11" s="114"/>
      <c r="FY11" s="114"/>
      <c r="FZ11" s="114"/>
      <c r="GA11" s="114"/>
      <c r="GB11" s="114"/>
      <c r="GC11" s="114"/>
      <c r="GD11" s="114"/>
      <c r="GE11" s="114"/>
      <c r="GF11" s="114"/>
      <c r="GG11" s="114"/>
      <c r="GH11" s="114"/>
      <c r="GI11" s="114"/>
      <c r="GJ11" s="114"/>
      <c r="GK11" s="114"/>
      <c r="GL11" s="114"/>
      <c r="GM11" s="114"/>
      <c r="GN11" s="114"/>
      <c r="GO11" s="114"/>
      <c r="GP11" s="114"/>
      <c r="GQ11" s="114"/>
      <c r="GR11" s="114"/>
      <c r="GS11" s="114"/>
      <c r="GT11" s="114"/>
      <c r="GU11" s="114"/>
      <c r="GV11" s="114"/>
      <c r="GW11" s="114"/>
      <c r="GX11" s="114"/>
      <c r="GY11" s="114"/>
      <c r="GZ11" s="114"/>
      <c r="HA11" s="114"/>
      <c r="HB11" s="114"/>
      <c r="HC11" s="114"/>
      <c r="HD11" s="114"/>
      <c r="HE11" s="114"/>
      <c r="HF11" s="114"/>
      <c r="HG11" s="114"/>
      <c r="HH11" s="114"/>
      <c r="HI11" s="114"/>
      <c r="HJ11" s="114"/>
      <c r="HK11" s="114"/>
      <c r="HL11" s="114"/>
      <c r="HM11" s="114"/>
      <c r="HN11" s="114"/>
      <c r="HO11" s="114"/>
      <c r="HP11" s="114"/>
      <c r="HQ11" s="114"/>
      <c r="HR11" s="114"/>
      <c r="HS11" s="114"/>
      <c r="HT11" s="114"/>
      <c r="HU11" s="114"/>
      <c r="HV11" s="114"/>
      <c r="HW11" s="114"/>
      <c r="HX11" s="114"/>
      <c r="HY11" s="114"/>
      <c r="HZ11" s="114"/>
      <c r="IA11" s="114"/>
      <c r="IB11" s="114"/>
      <c r="IC11" s="114"/>
      <c r="ID11" s="114"/>
      <c r="IE11" s="114"/>
      <c r="IF11" s="114"/>
      <c r="IG11" s="114"/>
      <c r="IH11" s="114"/>
      <c r="II11" s="114"/>
      <c r="IJ11" s="114"/>
      <c r="IK11" s="114"/>
      <c r="IL11" s="114"/>
      <c r="IM11" s="114"/>
      <c r="IN11" s="114"/>
      <c r="IO11" s="114"/>
      <c r="IP11" s="114"/>
      <c r="IQ11" s="114"/>
      <c r="IR11" s="114"/>
      <c r="IS11" s="114"/>
      <c r="IT11" s="114"/>
      <c r="IU11" s="114"/>
      <c r="IV11" s="114"/>
      <c r="IW11" s="114"/>
      <c r="IX11" s="114"/>
      <c r="IY11" s="114"/>
      <c r="IZ11" s="114"/>
      <c r="JA11" s="114"/>
      <c r="JB11" s="114"/>
      <c r="JC11" s="114"/>
      <c r="JD11" s="114"/>
      <c r="JE11" s="114"/>
      <c r="JF11" s="114"/>
      <c r="JG11" s="114"/>
      <c r="JH11" s="114"/>
      <c r="JI11" s="114"/>
      <c r="JJ11" s="114"/>
      <c r="JK11" s="114"/>
      <c r="JL11" s="114"/>
      <c r="JM11" s="114"/>
      <c r="JN11" s="114"/>
      <c r="JO11" s="114"/>
      <c r="JP11" s="114"/>
      <c r="JQ11" s="114"/>
      <c r="JR11" s="114"/>
      <c r="JS11" s="114"/>
      <c r="JT11" s="114"/>
      <c r="JU11" s="114"/>
      <c r="JV11" s="114"/>
      <c r="JW11" s="114"/>
      <c r="JX11" s="114"/>
      <c r="JY11" s="114"/>
      <c r="JZ11" s="114"/>
      <c r="KA11" s="114"/>
      <c r="KB11" s="114"/>
      <c r="KC11" s="114"/>
      <c r="KD11" s="114"/>
      <c r="KE11" s="114"/>
      <c r="KF11" s="114"/>
      <c r="KG11" s="114"/>
      <c r="KH11" s="114"/>
      <c r="KI11" s="114"/>
      <c r="KJ11" s="114"/>
      <c r="KK11" s="114"/>
      <c r="KL11" s="114"/>
      <c r="KM11" s="114"/>
      <c r="KN11" s="114"/>
      <c r="KO11" s="114"/>
      <c r="KP11" s="114"/>
      <c r="KQ11" s="114"/>
      <c r="KR11" s="114"/>
      <c r="KS11" s="114"/>
      <c r="KT11" s="114"/>
      <c r="KU11" s="114"/>
      <c r="KV11" s="114"/>
      <c r="KW11" s="114"/>
      <c r="KX11" s="114"/>
      <c r="KY11" s="114"/>
      <c r="KZ11" s="114"/>
      <c r="LA11" s="114"/>
      <c r="LB11" s="114"/>
      <c r="LC11" s="114"/>
      <c r="LD11" s="114"/>
      <c r="LE11" s="114"/>
      <c r="LF11" s="114"/>
      <c r="LG11" s="114"/>
      <c r="LH11" s="114"/>
      <c r="LI11" s="114"/>
      <c r="LJ11" s="114"/>
      <c r="LK11" s="114"/>
      <c r="LL11" s="114"/>
      <c r="LM11" s="114"/>
      <c r="LN11" s="114"/>
      <c r="LO11" s="114"/>
      <c r="LP11" s="114"/>
      <c r="LQ11" s="114"/>
      <c r="LR11" s="114"/>
      <c r="LS11" s="114"/>
      <c r="LT11" s="114"/>
      <c r="LU11" s="114"/>
      <c r="LV11" s="114"/>
      <c r="LW11" s="114"/>
      <c r="LX11" s="114"/>
      <c r="LY11" s="114"/>
      <c r="LZ11" s="114"/>
      <c r="MA11" s="114"/>
      <c r="MB11" s="114"/>
      <c r="MC11" s="114"/>
      <c r="MD11" s="114"/>
      <c r="ME11" s="114"/>
      <c r="MF11" s="114"/>
      <c r="MG11" s="114"/>
      <c r="MH11" s="114"/>
      <c r="MI11" s="114"/>
      <c r="MJ11" s="114"/>
      <c r="MK11" s="114"/>
      <c r="ML11" s="114"/>
      <c r="MM11" s="114"/>
      <c r="MN11" s="114"/>
      <c r="MO11" s="114"/>
      <c r="MP11" s="114"/>
      <c r="MQ11" s="114"/>
      <c r="MR11" s="114"/>
      <c r="MS11" s="114"/>
      <c r="MT11" s="114"/>
      <c r="MU11" s="114"/>
      <c r="MV11" s="114"/>
      <c r="MW11" s="114"/>
      <c r="MX11" s="114"/>
      <c r="MY11" s="114"/>
      <c r="MZ11" s="114"/>
      <c r="NA11" s="114"/>
      <c r="NB11" s="114"/>
      <c r="NC11" s="114"/>
      <c r="ND11" s="114"/>
      <c r="NE11" s="114"/>
      <c r="NF11" s="114"/>
      <c r="NG11" s="114"/>
      <c r="NH11" s="114"/>
      <c r="NI11" s="114"/>
      <c r="NJ11" s="114"/>
      <c r="NK11" s="114"/>
      <c r="NL11" s="114"/>
      <c r="NM11" s="114"/>
      <c r="NN11" s="114"/>
      <c r="NO11" s="114"/>
      <c r="NP11" s="114"/>
      <c r="NQ11" s="114"/>
      <c r="NR11" s="114"/>
      <c r="NS11" s="114"/>
      <c r="NT11" s="114"/>
      <c r="NU11" s="114"/>
      <c r="NV11" s="114"/>
      <c r="NW11" s="114"/>
      <c r="NX11" s="114"/>
      <c r="NY11" s="114"/>
      <c r="NZ11" s="114"/>
      <c r="OA11" s="114"/>
      <c r="OB11" s="114"/>
      <c r="OC11" s="114"/>
      <c r="OD11" s="114"/>
      <c r="OE11" s="114"/>
      <c r="OF11" s="114"/>
      <c r="OG11" s="114"/>
      <c r="OH11" s="114"/>
      <c r="OI11" s="114"/>
      <c r="OJ11" s="114"/>
      <c r="OK11" s="114"/>
      <c r="OL11" s="114"/>
      <c r="OM11" s="114"/>
      <c r="ON11" s="114"/>
      <c r="OO11" s="114"/>
      <c r="OP11" s="114"/>
      <c r="OQ11" s="114"/>
      <c r="OR11" s="114"/>
      <c r="OS11" s="114"/>
      <c r="OT11" s="114"/>
      <c r="OU11" s="114"/>
      <c r="OV11" s="114"/>
      <c r="OW11" s="114"/>
      <c r="OX11" s="114"/>
      <c r="OY11" s="114"/>
      <c r="OZ11" s="114"/>
      <c r="PA11" s="114"/>
      <c r="PB11" s="114"/>
      <c r="PC11" s="114"/>
      <c r="PD11" s="114"/>
      <c r="PE11" s="114"/>
      <c r="PF11" s="114"/>
      <c r="PG11" s="114"/>
      <c r="PH11" s="114"/>
      <c r="PI11" s="114"/>
      <c r="PJ11" s="114"/>
      <c r="PK11" s="114"/>
      <c r="PL11" s="114"/>
      <c r="PM11" s="114"/>
      <c r="PN11" s="114"/>
      <c r="PO11" s="114"/>
      <c r="PP11" s="114"/>
      <c r="PQ11" s="114"/>
      <c r="PR11" s="114"/>
      <c r="PS11" s="114"/>
      <c r="PT11" s="114"/>
      <c r="PU11" s="114"/>
      <c r="PV11" s="114"/>
      <c r="PW11" s="114"/>
      <c r="PX11" s="114"/>
      <c r="PY11" s="114"/>
      <c r="PZ11" s="114"/>
      <c r="QA11" s="114"/>
      <c r="QB11" s="114"/>
      <c r="QC11" s="114"/>
      <c r="QD11" s="114"/>
      <c r="QE11" s="114"/>
      <c r="QF11" s="114"/>
      <c r="QG11" s="114"/>
      <c r="QH11" s="114"/>
      <c r="QI11" s="114"/>
      <c r="QJ11" s="114"/>
      <c r="QK11" s="114"/>
      <c r="QL11" s="114"/>
      <c r="QM11" s="114"/>
      <c r="QN11" s="114"/>
      <c r="QO11" s="114"/>
      <c r="QP11" s="114"/>
      <c r="QQ11" s="114"/>
      <c r="QR11" s="114"/>
      <c r="QS11" s="114"/>
      <c r="QT11" s="114"/>
      <c r="QU11" s="114"/>
      <c r="QV11" s="114"/>
      <c r="QW11" s="114"/>
      <c r="QX11" s="114"/>
      <c r="QY11" s="114"/>
      <c r="QZ11" s="114"/>
      <c r="RA11" s="114"/>
      <c r="RB11" s="114"/>
      <c r="RC11" s="114"/>
      <c r="RD11" s="114"/>
      <c r="RE11" s="114"/>
      <c r="RF11" s="114"/>
      <c r="RG11" s="114"/>
      <c r="RH11" s="114"/>
      <c r="RI11" s="114"/>
      <c r="RJ11" s="114"/>
      <c r="RK11" s="114"/>
      <c r="RL11" s="114"/>
      <c r="RM11" s="114"/>
      <c r="RN11" s="114"/>
      <c r="RO11" s="114"/>
      <c r="RP11" s="114"/>
      <c r="RQ11" s="114"/>
      <c r="RR11" s="114"/>
      <c r="RS11" s="114"/>
      <c r="RT11" s="114"/>
      <c r="RU11" s="114"/>
      <c r="RV11" s="114"/>
      <c r="RW11" s="114"/>
      <c r="RX11" s="114"/>
      <c r="RY11" s="114"/>
      <c r="RZ11" s="114"/>
      <c r="SA11" s="114"/>
      <c r="SB11" s="114"/>
      <c r="SC11" s="114"/>
      <c r="SD11" s="114"/>
      <c r="SE11" s="114"/>
      <c r="SF11" s="114"/>
      <c r="SG11" s="114"/>
      <c r="SH11" s="114"/>
      <c r="SI11" s="114"/>
      <c r="SJ11" s="114"/>
      <c r="SK11" s="114"/>
      <c r="SL11" s="114"/>
      <c r="SM11" s="114"/>
      <c r="SN11" s="114"/>
      <c r="SO11" s="114"/>
      <c r="SP11" s="114"/>
      <c r="SQ11" s="114"/>
      <c r="SR11" s="114"/>
      <c r="SS11" s="114"/>
      <c r="ST11" s="114"/>
      <c r="SU11" s="114"/>
      <c r="SV11" s="114"/>
      <c r="SW11" s="114"/>
      <c r="SX11" s="114"/>
      <c r="SY11" s="114"/>
      <c r="SZ11" s="114"/>
      <c r="TA11" s="114"/>
      <c r="TB11" s="114"/>
      <c r="TC11" s="114"/>
      <c r="TD11" s="114"/>
      <c r="TE11" s="114"/>
      <c r="TF11" s="114"/>
      <c r="TG11" s="114"/>
      <c r="TH11" s="114"/>
      <c r="TI11" s="114"/>
      <c r="TJ11" s="114"/>
      <c r="TK11" s="114"/>
      <c r="TL11" s="114"/>
      <c r="TM11" s="114"/>
      <c r="TN11" s="114"/>
      <c r="TO11" s="114"/>
      <c r="TP11" s="114"/>
      <c r="TQ11" s="114"/>
      <c r="TR11" s="114"/>
      <c r="TS11" s="114"/>
      <c r="TT11" s="114"/>
      <c r="TU11" s="114"/>
      <c r="TV11" s="114"/>
      <c r="TW11" s="114"/>
      <c r="TX11" s="114"/>
      <c r="TY11" s="114"/>
      <c r="TZ11" s="114"/>
      <c r="UA11" s="114"/>
      <c r="UB11" s="114"/>
      <c r="UC11" s="114"/>
      <c r="UD11" s="114"/>
      <c r="UE11" s="114"/>
      <c r="UF11" s="114"/>
      <c r="UG11" s="114"/>
      <c r="UH11" s="114"/>
      <c r="UI11" s="114"/>
      <c r="UJ11" s="114"/>
      <c r="UK11" s="114"/>
      <c r="UL11" s="114"/>
      <c r="UM11" s="114"/>
      <c r="UN11" s="114"/>
      <c r="UO11" s="114"/>
      <c r="UP11" s="114"/>
      <c r="UQ11" s="114"/>
      <c r="UR11" s="114"/>
      <c r="US11" s="114"/>
      <c r="UT11" s="114"/>
      <c r="UU11" s="114"/>
      <c r="UV11" s="114"/>
      <c r="UW11" s="114"/>
      <c r="UX11" s="114"/>
      <c r="UY11" s="114"/>
      <c r="UZ11" s="114"/>
      <c r="VA11" s="114"/>
      <c r="VB11" s="114"/>
      <c r="VC11" s="114"/>
      <c r="VD11" s="114"/>
      <c r="VE11" s="114"/>
      <c r="VF11" s="114"/>
      <c r="VG11" s="114"/>
      <c r="VH11" s="114"/>
      <c r="VI11" s="114"/>
      <c r="VJ11" s="114"/>
      <c r="VK11" s="114"/>
      <c r="VL11" s="114"/>
      <c r="VM11" s="114"/>
      <c r="VN11" s="114"/>
      <c r="VO11" s="114"/>
      <c r="VP11" s="114"/>
      <c r="VQ11" s="114"/>
      <c r="VR11" s="114"/>
      <c r="VS11" s="114"/>
      <c r="VT11" s="114"/>
      <c r="VU11" s="114"/>
      <c r="VV11" s="114"/>
      <c r="VW11" s="114"/>
      <c r="VX11" s="114"/>
      <c r="VY11" s="114"/>
      <c r="VZ11" s="114"/>
      <c r="WA11" s="114"/>
      <c r="WB11" s="114"/>
      <c r="WC11" s="114"/>
      <c r="WD11" s="114"/>
      <c r="WE11" s="114"/>
      <c r="WF11" s="114"/>
      <c r="WG11" s="114"/>
      <c r="WH11" s="114"/>
      <c r="WI11" s="114"/>
      <c r="WJ11" s="114"/>
      <c r="WK11" s="114"/>
      <c r="WL11" s="114"/>
      <c r="WM11" s="114"/>
      <c r="WN11" s="114"/>
      <c r="WO11" s="114"/>
      <c r="WP11" s="114"/>
      <c r="WQ11" s="114"/>
      <c r="WR11" s="114"/>
      <c r="WS11" s="114"/>
      <c r="WT11" s="114"/>
      <c r="WU11" s="114"/>
      <c r="WV11" s="114"/>
      <c r="WW11" s="114"/>
      <c r="WX11" s="114"/>
      <c r="WY11" s="114"/>
      <c r="WZ11" s="114"/>
      <c r="XA11" s="114"/>
      <c r="XB11" s="114"/>
      <c r="XC11" s="114"/>
      <c r="XD11" s="114"/>
      <c r="XE11" s="114"/>
      <c r="XF11" s="114"/>
      <c r="XG11" s="114"/>
      <c r="XH11" s="114"/>
      <c r="XI11" s="114"/>
      <c r="XJ11" s="114"/>
      <c r="XK11" s="114"/>
      <c r="XL11" s="114"/>
      <c r="XM11" s="114"/>
      <c r="XN11" s="114"/>
      <c r="XO11" s="114"/>
      <c r="XP11" s="114"/>
      <c r="XQ11" s="114"/>
      <c r="XR11" s="114"/>
      <c r="XS11" s="114"/>
      <c r="XT11" s="114"/>
      <c r="XU11" s="114"/>
      <c r="XV11" s="114"/>
      <c r="XW11" s="114"/>
      <c r="XX11" s="114"/>
      <c r="XY11" s="114"/>
      <c r="XZ11" s="114"/>
      <c r="YA11" s="114"/>
      <c r="YB11" s="114"/>
      <c r="YC11" s="114"/>
      <c r="YD11" s="114"/>
      <c r="YE11" s="114"/>
      <c r="YF11" s="114"/>
      <c r="YG11" s="114"/>
      <c r="YH11" s="114"/>
      <c r="YI11" s="114"/>
      <c r="YJ11" s="114"/>
      <c r="YK11" s="114"/>
      <c r="YL11" s="114"/>
      <c r="YM11" s="114"/>
      <c r="YN11" s="114"/>
      <c r="YO11" s="114"/>
      <c r="YP11" s="114"/>
      <c r="YQ11" s="114"/>
      <c r="YR11" s="114"/>
      <c r="YS11" s="114"/>
      <c r="YT11" s="114"/>
      <c r="YU11" s="114"/>
      <c r="YV11" s="114"/>
      <c r="YW11" s="114"/>
      <c r="YX11" s="114"/>
      <c r="YY11" s="114"/>
      <c r="YZ11" s="114"/>
      <c r="ZA11" s="114"/>
      <c r="ZB11" s="114"/>
      <c r="ZC11" s="114"/>
      <c r="ZD11" s="114"/>
      <c r="ZE11" s="114"/>
      <c r="ZF11" s="114"/>
      <c r="ZG11" s="114"/>
      <c r="ZH11" s="114"/>
      <c r="ZI11" s="114"/>
      <c r="ZJ11" s="114"/>
      <c r="ZK11" s="114"/>
      <c r="ZL11" s="114"/>
      <c r="ZM11" s="114"/>
      <c r="ZN11" s="114"/>
      <c r="ZO11" s="114"/>
      <c r="ZP11" s="114"/>
      <c r="ZQ11" s="114"/>
      <c r="ZR11" s="114"/>
      <c r="ZS11" s="114"/>
      <c r="ZT11" s="114"/>
      <c r="ZU11" s="114"/>
      <c r="ZV11" s="114"/>
      <c r="ZW11" s="114"/>
      <c r="ZX11" s="114"/>
      <c r="ZY11" s="114"/>
      <c r="ZZ11" s="114"/>
      <c r="AAA11" s="114"/>
      <c r="AAB11" s="114"/>
      <c r="AAC11" s="114"/>
      <c r="AAD11" s="114"/>
      <c r="AAE11" s="114"/>
      <c r="AAF11" s="114"/>
      <c r="AAG11" s="114"/>
      <c r="AAH11" s="114"/>
      <c r="AAI11" s="114"/>
      <c r="AAJ11" s="114"/>
      <c r="AAK11" s="114"/>
      <c r="AAL11" s="114"/>
      <c r="AAM11" s="114"/>
      <c r="AAN11" s="114"/>
      <c r="AAO11" s="114"/>
      <c r="AAP11" s="114"/>
      <c r="AAQ11" s="114"/>
      <c r="AAR11" s="114"/>
      <c r="AAS11" s="114"/>
      <c r="AAT11" s="114"/>
      <c r="AAU11" s="114"/>
      <c r="AAV11" s="114"/>
      <c r="AAW11" s="114"/>
      <c r="AAX11" s="114"/>
      <c r="AAY11" s="114"/>
      <c r="AAZ11" s="114"/>
      <c r="ABA11" s="114"/>
      <c r="ABB11" s="114"/>
      <c r="ABC11" s="114"/>
      <c r="ABD11" s="114"/>
      <c r="ABE11" s="114"/>
      <c r="ABF11" s="114"/>
      <c r="ABG11" s="114"/>
      <c r="ABH11" s="114"/>
      <c r="ABI11" s="114"/>
      <c r="ABJ11" s="114"/>
      <c r="ABK11" s="114"/>
      <c r="ABL11" s="114"/>
      <c r="ABM11" s="114"/>
      <c r="ABN11" s="114"/>
      <c r="ABO11" s="114"/>
      <c r="ABP11" s="114"/>
      <c r="ABQ11" s="114"/>
      <c r="ABR11" s="114"/>
      <c r="ABS11" s="114"/>
      <c r="ABT11" s="114"/>
      <c r="ABU11" s="114"/>
      <c r="ABV11" s="114"/>
      <c r="ABW11" s="114"/>
      <c r="ABX11" s="114"/>
      <c r="ABY11" s="114"/>
      <c r="ABZ11" s="114"/>
      <c r="ACA11" s="114"/>
      <c r="ACB11" s="114"/>
      <c r="ACC11" s="114"/>
      <c r="ACD11" s="114"/>
      <c r="ACE11" s="114"/>
      <c r="ACF11" s="114"/>
      <c r="ACG11" s="114"/>
      <c r="ACH11" s="114"/>
      <c r="ACI11" s="114"/>
      <c r="ACJ11" s="114"/>
      <c r="ACK11" s="114"/>
      <c r="ACL11" s="114"/>
      <c r="ACM11" s="114"/>
      <c r="ACN11" s="114"/>
      <c r="ACO11" s="114"/>
      <c r="ACP11" s="114"/>
      <c r="ACQ11" s="114"/>
      <c r="ACR11" s="114"/>
      <c r="ACS11" s="114"/>
      <c r="ACT11" s="114"/>
      <c r="ACU11" s="114"/>
      <c r="ACV11" s="114"/>
      <c r="ACW11" s="114"/>
      <c r="ACX11" s="114"/>
      <c r="ACY11" s="114"/>
      <c r="ACZ11" s="114"/>
      <c r="ADA11" s="114"/>
      <c r="ADB11" s="114"/>
      <c r="ADC11" s="114"/>
      <c r="ADD11" s="114"/>
      <c r="ADE11" s="114"/>
      <c r="ADF11" s="114"/>
      <c r="ADG11" s="114"/>
      <c r="ADH11" s="114"/>
      <c r="ADI11" s="114"/>
      <c r="ADJ11" s="114"/>
      <c r="ADK11" s="114"/>
      <c r="ADL11" s="114"/>
      <c r="ADM11" s="114"/>
      <c r="ADN11" s="114"/>
      <c r="ADO11" s="114"/>
      <c r="ADP11" s="114"/>
      <c r="ADQ11" s="114"/>
      <c r="ADR11" s="114"/>
      <c r="ADS11" s="114"/>
      <c r="ADT11" s="114"/>
      <c r="ADU11" s="114"/>
      <c r="ADV11" s="114"/>
      <c r="ADW11" s="114"/>
      <c r="ADX11" s="114"/>
      <c r="ADY11" s="114"/>
      <c r="ADZ11" s="114"/>
      <c r="AEA11" s="114"/>
      <c r="AEB11" s="114"/>
      <c r="AEC11" s="114"/>
      <c r="AED11" s="114"/>
      <c r="AEE11" s="114"/>
      <c r="AEF11" s="114"/>
      <c r="AEG11" s="114"/>
      <c r="AEH11" s="114"/>
      <c r="AEI11" s="114"/>
      <c r="AEJ11" s="114"/>
      <c r="AEK11" s="114"/>
      <c r="AEL11" s="114"/>
      <c r="AEM11" s="114"/>
      <c r="AEN11" s="114"/>
      <c r="AEO11" s="114"/>
      <c r="AEP11" s="114"/>
      <c r="AEQ11" s="114"/>
      <c r="AER11" s="114"/>
      <c r="AES11" s="114"/>
      <c r="AET11" s="114"/>
      <c r="AEU11" s="114"/>
      <c r="AEV11" s="114"/>
      <c r="AEW11" s="114"/>
      <c r="AEX11" s="114"/>
      <c r="AEY11" s="114"/>
      <c r="AEZ11" s="114"/>
      <c r="AFA11" s="114"/>
      <c r="AFB11" s="114"/>
      <c r="AFC11" s="114"/>
      <c r="AFD11" s="114"/>
      <c r="AFE11" s="114"/>
      <c r="AFF11" s="114"/>
      <c r="AFG11" s="114"/>
      <c r="AFH11" s="114"/>
      <c r="AFI11" s="114"/>
      <c r="AFJ11" s="114"/>
      <c r="AFK11" s="114"/>
      <c r="AFL11" s="114"/>
      <c r="AFM11" s="114"/>
      <c r="AFN11" s="114"/>
      <c r="AFO11" s="114"/>
      <c r="AFP11" s="114"/>
      <c r="AFQ11" s="114"/>
      <c r="AFR11" s="114"/>
      <c r="AFS11" s="114"/>
      <c r="AFT11" s="114"/>
      <c r="AFU11" s="114"/>
      <c r="AFV11" s="114"/>
      <c r="AFW11" s="114"/>
      <c r="AFX11" s="114"/>
      <c r="AFY11" s="114"/>
      <c r="AFZ11" s="114"/>
      <c r="AGA11" s="114"/>
      <c r="AGB11" s="114"/>
      <c r="AGC11" s="114"/>
      <c r="AGD11" s="114"/>
      <c r="AGE11" s="114"/>
      <c r="AGF11" s="114"/>
      <c r="AGG11" s="114"/>
      <c r="AGH11" s="114"/>
      <c r="AGI11" s="114"/>
      <c r="AGJ11" s="114"/>
      <c r="AGK11" s="114"/>
      <c r="AGL11" s="114"/>
      <c r="AGM11" s="114"/>
      <c r="AGN11" s="114"/>
      <c r="AGO11" s="114"/>
      <c r="AGP11" s="114"/>
      <c r="AGQ11" s="114"/>
      <c r="AGR11" s="114"/>
      <c r="AGS11" s="114"/>
      <c r="AGT11" s="114"/>
      <c r="AGU11" s="114"/>
      <c r="AGV11" s="114"/>
      <c r="AGW11" s="114"/>
      <c r="AGX11" s="114"/>
      <c r="AGY11" s="114"/>
      <c r="AGZ11" s="114"/>
      <c r="AHA11" s="114"/>
      <c r="AHB11" s="114"/>
      <c r="AHC11" s="114"/>
      <c r="AHD11" s="114"/>
      <c r="AHE11" s="114"/>
      <c r="AHF11" s="114"/>
      <c r="AHG11" s="114"/>
      <c r="AHH11" s="114"/>
      <c r="AHI11" s="114"/>
      <c r="AHJ11" s="114"/>
      <c r="AHK11" s="114"/>
      <c r="AHL11" s="114"/>
      <c r="AHM11" s="114"/>
      <c r="AHN11" s="114"/>
      <c r="AHO11" s="114"/>
      <c r="AHP11" s="114"/>
      <c r="AHQ11" s="114"/>
      <c r="AHR11" s="114"/>
      <c r="AHS11" s="114"/>
      <c r="AHT11" s="114"/>
      <c r="AHU11" s="114"/>
      <c r="AHV11" s="114"/>
      <c r="AHW11" s="114"/>
      <c r="AHX11" s="114"/>
      <c r="AHY11" s="114"/>
      <c r="AHZ11" s="114"/>
      <c r="AIA11" s="114"/>
      <c r="AIB11" s="114"/>
      <c r="AIC11" s="114"/>
      <c r="AID11" s="114"/>
      <c r="AIE11" s="114"/>
      <c r="AIF11" s="114"/>
      <c r="AIG11" s="114"/>
      <c r="AIH11" s="114"/>
      <c r="AII11" s="114"/>
      <c r="AIJ11" s="114"/>
      <c r="AIK11" s="114"/>
      <c r="AIL11" s="114"/>
      <c r="AIM11" s="114"/>
      <c r="AIN11" s="114"/>
      <c r="AIO11" s="114"/>
      <c r="AIP11" s="114"/>
      <c r="AIQ11" s="114"/>
      <c r="AIR11" s="114"/>
      <c r="AIS11" s="114"/>
      <c r="AIT11" s="114"/>
      <c r="AIU11" s="114"/>
      <c r="AIV11" s="114"/>
      <c r="AIW11" s="114"/>
      <c r="AIX11" s="114"/>
      <c r="AIY11" s="114"/>
      <c r="AIZ11" s="114"/>
      <c r="AJA11" s="114"/>
      <c r="AJB11" s="114"/>
      <c r="AJC11" s="114"/>
      <c r="AJD11" s="114"/>
      <c r="AJE11" s="114"/>
      <c r="AJF11" s="114"/>
      <c r="AJG11" s="114"/>
      <c r="AJH11" s="114"/>
      <c r="AJI11" s="114"/>
      <c r="AJJ11" s="114"/>
      <c r="AJK11" s="114"/>
      <c r="AJL11" s="114"/>
      <c r="AJM11" s="114"/>
      <c r="AJN11" s="114"/>
      <c r="AJO11" s="114"/>
      <c r="AJP11" s="114"/>
      <c r="AJQ11" s="114"/>
      <c r="AJR11" s="114"/>
      <c r="AJS11" s="114"/>
      <c r="AJT11" s="114"/>
      <c r="AJU11" s="114"/>
      <c r="AJV11" s="114"/>
      <c r="AJW11" s="114"/>
      <c r="AJX11" s="114"/>
      <c r="AJY11" s="114"/>
      <c r="AJZ11" s="114"/>
      <c r="AKA11" s="114"/>
      <c r="AKB11" s="114"/>
      <c r="AKC11" s="114"/>
      <c r="AKD11" s="114"/>
      <c r="AKE11" s="114"/>
      <c r="AKF11" s="114"/>
      <c r="AKG11" s="114"/>
      <c r="AKH11" s="114"/>
      <c r="AKI11" s="114"/>
      <c r="AKJ11" s="114"/>
      <c r="AKK11" s="114"/>
      <c r="AKL11" s="114"/>
      <c r="AKM11" s="114"/>
      <c r="AKN11" s="114"/>
      <c r="AKO11" s="114"/>
      <c r="AKP11" s="114"/>
      <c r="AKQ11" s="114"/>
      <c r="AKR11" s="114"/>
      <c r="AKS11" s="114"/>
      <c r="AKT11" s="114"/>
      <c r="AKU11" s="114"/>
      <c r="AKV11" s="114"/>
      <c r="AKW11" s="114"/>
      <c r="AKX11" s="114"/>
      <c r="AKY11" s="114"/>
      <c r="AKZ11" s="114"/>
      <c r="ALA11" s="114"/>
      <c r="ALB11" s="114"/>
      <c r="ALC11" s="114"/>
      <c r="ALD11" s="114"/>
      <c r="ALE11" s="114"/>
      <c r="ALF11" s="114"/>
      <c r="ALG11" s="114"/>
      <c r="ALH11" s="114"/>
      <c r="ALI11" s="114"/>
      <c r="ALJ11" s="114"/>
      <c r="ALK11" s="114"/>
      <c r="ALL11" s="114"/>
      <c r="ALM11" s="114"/>
      <c r="ALN11" s="114"/>
      <c r="ALO11" s="114"/>
      <c r="ALP11" s="114"/>
      <c r="ALQ11" s="114"/>
      <c r="ALR11" s="114"/>
      <c r="ALS11" s="114"/>
      <c r="ALT11" s="114"/>
      <c r="ALU11" s="114"/>
      <c r="ALV11" s="114"/>
      <c r="ALW11" s="114"/>
      <c r="ALX11" s="114"/>
      <c r="ALY11" s="114"/>
      <c r="ALZ11" s="114"/>
      <c r="AMA11" s="114"/>
      <c r="AMB11" s="114"/>
      <c r="AMC11" s="114"/>
      <c r="AMD11" s="114"/>
      <c r="AME11" s="114"/>
      <c r="AMF11" s="114"/>
      <c r="AMG11" s="114"/>
      <c r="AMH11" s="114"/>
      <c r="AMI11" s="114"/>
      <c r="AMJ11" s="114"/>
      <c r="AMK11" s="114"/>
      <c r="AML11" s="114"/>
      <c r="AMM11" s="114"/>
      <c r="AMN11" s="114"/>
      <c r="AMO11" s="114"/>
      <c r="AMP11" s="114"/>
      <c r="AMQ11" s="114"/>
      <c r="AMR11" s="114"/>
      <c r="AMS11" s="114"/>
      <c r="AMT11" s="114"/>
      <c r="AMU11" s="114"/>
      <c r="AMV11" s="114"/>
      <c r="AMW11" s="114"/>
      <c r="AMX11" s="114"/>
      <c r="AMY11" s="114"/>
      <c r="AMZ11" s="114"/>
      <c r="ANA11" s="114"/>
      <c r="ANB11" s="114"/>
      <c r="ANC11" s="114"/>
      <c r="AND11" s="114"/>
      <c r="ANE11" s="114"/>
      <c r="ANF11" s="114"/>
      <c r="ANG11" s="114"/>
      <c r="ANH11" s="114"/>
      <c r="ANI11" s="114"/>
      <c r="ANJ11" s="114"/>
      <c r="ANK11" s="114"/>
      <c r="ANL11" s="114"/>
      <c r="ANM11" s="114"/>
      <c r="ANN11" s="114"/>
      <c r="ANO11" s="114"/>
      <c r="ANP11" s="114"/>
      <c r="ANQ11" s="114"/>
      <c r="ANR11" s="114"/>
      <c r="ANS11" s="114"/>
      <c r="ANT11" s="114"/>
      <c r="ANU11" s="114"/>
      <c r="ANV11" s="114"/>
      <c r="ANW11" s="114"/>
      <c r="ANX11" s="114"/>
      <c r="ANY11" s="114"/>
      <c r="ANZ11" s="114"/>
      <c r="AOA11" s="114"/>
      <c r="AOB11" s="114"/>
      <c r="AOC11" s="114"/>
      <c r="AOD11" s="114"/>
      <c r="AOE11" s="114"/>
      <c r="AOF11" s="114"/>
      <c r="AOG11" s="114"/>
      <c r="AOH11" s="114"/>
      <c r="AOI11" s="114"/>
      <c r="AOJ11" s="114"/>
      <c r="AOK11" s="114"/>
      <c r="AOL11" s="114"/>
      <c r="AOM11" s="114"/>
      <c r="AON11" s="114"/>
      <c r="AOO11" s="114"/>
      <c r="AOP11" s="114"/>
      <c r="AOQ11" s="114"/>
      <c r="AOR11" s="114"/>
      <c r="AOS11" s="114"/>
      <c r="AOT11" s="114"/>
      <c r="AOU11" s="114"/>
      <c r="AOV11" s="114"/>
      <c r="AOW11" s="114"/>
      <c r="AOX11" s="114"/>
      <c r="AOY11" s="114"/>
      <c r="AOZ11" s="114"/>
      <c r="APA11" s="114"/>
      <c r="APB11" s="114"/>
      <c r="APC11" s="114"/>
      <c r="APD11" s="114"/>
      <c r="APE11" s="114"/>
      <c r="APF11" s="114"/>
      <c r="APG11" s="114"/>
      <c r="APH11" s="114"/>
      <c r="API11" s="114"/>
      <c r="APJ11" s="114"/>
      <c r="APK11" s="114"/>
      <c r="APL11" s="114"/>
      <c r="APM11" s="114"/>
      <c r="APN11" s="114"/>
      <c r="APO11" s="114"/>
      <c r="APP11" s="114"/>
      <c r="APQ11" s="114"/>
      <c r="APR11" s="114"/>
      <c r="APS11" s="114"/>
      <c r="APT11" s="114"/>
      <c r="APU11" s="114"/>
      <c r="APV11" s="114"/>
      <c r="APW11" s="114"/>
      <c r="APX11" s="114"/>
      <c r="APY11" s="114"/>
      <c r="APZ11" s="114"/>
      <c r="AQA11" s="114"/>
      <c r="AQB11" s="114"/>
      <c r="AQC11" s="114"/>
      <c r="AQD11" s="114"/>
      <c r="AQE11" s="114"/>
      <c r="AQF11" s="114"/>
      <c r="AQG11" s="114"/>
      <c r="AQH11" s="114"/>
      <c r="AQI11" s="114"/>
      <c r="AQJ11" s="114"/>
      <c r="AQK11" s="114"/>
      <c r="AQL11" s="114"/>
      <c r="AQM11" s="114"/>
      <c r="AQN11" s="114"/>
      <c r="AQO11" s="114"/>
      <c r="AQP11" s="114"/>
      <c r="AQQ11" s="114"/>
      <c r="AQR11" s="114"/>
      <c r="AQS11" s="114"/>
      <c r="AQT11" s="114"/>
      <c r="AQU11" s="114"/>
      <c r="AQV11" s="114"/>
      <c r="AQW11" s="114"/>
      <c r="AQX11" s="114"/>
      <c r="AQY11" s="114"/>
      <c r="AQZ11" s="114"/>
      <c r="ARA11" s="114"/>
      <c r="ARB11" s="114"/>
      <c r="ARC11" s="114"/>
      <c r="ARD11" s="114"/>
      <c r="ARE11" s="114"/>
      <c r="ARF11" s="114"/>
      <c r="ARG11" s="114"/>
      <c r="ARH11" s="114"/>
      <c r="ARI11" s="114"/>
      <c r="ARJ11" s="114"/>
      <c r="ARK11" s="114"/>
      <c r="ARL11" s="114"/>
      <c r="ARM11" s="114"/>
      <c r="ARN11" s="114"/>
      <c r="ARO11" s="114"/>
      <c r="ARP11" s="114"/>
      <c r="ARQ11" s="114"/>
      <c r="ARR11" s="114"/>
      <c r="ARS11" s="114"/>
      <c r="ART11" s="114"/>
      <c r="ARU11" s="114"/>
      <c r="ARV11" s="114"/>
      <c r="ARW11" s="114"/>
      <c r="ARX11" s="114"/>
      <c r="ARY11" s="114"/>
      <c r="ARZ11" s="114"/>
      <c r="ASA11" s="114"/>
      <c r="ASB11" s="114"/>
      <c r="ASC11" s="114"/>
      <c r="ASD11" s="114"/>
      <c r="ASE11" s="114"/>
      <c r="ASF11" s="114"/>
      <c r="ASG11" s="114"/>
      <c r="ASH11" s="114"/>
      <c r="ASI11" s="114"/>
      <c r="ASJ11" s="114"/>
      <c r="ASK11" s="114"/>
      <c r="ASL11" s="114"/>
      <c r="ASM11" s="114"/>
      <c r="ASN11" s="114"/>
      <c r="ASO11" s="114"/>
      <c r="ASP11" s="114"/>
      <c r="ASQ11" s="114"/>
      <c r="ASR11" s="114"/>
      <c r="ASS11" s="114"/>
      <c r="AST11" s="114"/>
      <c r="ASU11" s="114"/>
      <c r="ASV11" s="114"/>
      <c r="ASW11" s="114"/>
      <c r="ASX11" s="114"/>
      <c r="ASY11" s="114"/>
      <c r="ASZ11" s="114"/>
      <c r="ATA11" s="114"/>
      <c r="ATB11" s="114"/>
      <c r="ATC11" s="114"/>
      <c r="ATD11" s="114"/>
      <c r="ATE11" s="114"/>
      <c r="ATF11" s="114"/>
      <c r="ATG11" s="114"/>
      <c r="ATH11" s="114"/>
      <c r="ATI11" s="114"/>
      <c r="ATJ11" s="114"/>
      <c r="ATK11" s="114"/>
      <c r="ATL11" s="114"/>
      <c r="ATM11" s="114"/>
      <c r="ATN11" s="114"/>
      <c r="ATO11" s="114"/>
      <c r="ATP11" s="114"/>
      <c r="ATQ11" s="114"/>
      <c r="ATR11" s="114"/>
      <c r="ATS11" s="114"/>
      <c r="ATT11" s="114"/>
      <c r="ATU11" s="114"/>
      <c r="ATV11" s="114"/>
      <c r="ATW11" s="114"/>
      <c r="ATX11" s="114"/>
      <c r="ATY11" s="114"/>
      <c r="ATZ11" s="114"/>
      <c r="AUA11" s="114"/>
      <c r="AUB11" s="114"/>
      <c r="AUC11" s="114"/>
      <c r="AUD11" s="114"/>
      <c r="AUE11" s="114"/>
      <c r="AUF11" s="114"/>
      <c r="AUG11" s="114"/>
      <c r="AUH11" s="114"/>
      <c r="AUI11" s="114"/>
      <c r="AUJ11" s="114"/>
      <c r="AUK11" s="114"/>
      <c r="AUL11" s="114"/>
      <c r="AUM11" s="114"/>
      <c r="AUN11" s="114"/>
      <c r="AUO11" s="114"/>
      <c r="AUP11" s="114"/>
      <c r="AUQ11" s="114"/>
      <c r="AUR11" s="114"/>
      <c r="AUS11" s="114"/>
      <c r="AUT11" s="114"/>
      <c r="AUU11" s="114"/>
      <c r="AUV11" s="114"/>
      <c r="AUW11" s="114"/>
      <c r="AUX11" s="114"/>
      <c r="AUY11" s="114"/>
      <c r="AUZ11" s="114"/>
      <c r="AVA11" s="114"/>
      <c r="AVB11" s="114"/>
      <c r="AVC11" s="114"/>
      <c r="AVD11" s="114"/>
      <c r="AVE11" s="114"/>
      <c r="AVF11" s="114"/>
      <c r="AVG11" s="114"/>
      <c r="AVH11" s="114"/>
      <c r="AVI11" s="114"/>
      <c r="AVJ11" s="114"/>
      <c r="AVK11" s="114"/>
      <c r="AVL11" s="114"/>
      <c r="AVM11" s="114"/>
      <c r="AVN11" s="114"/>
      <c r="AVO11" s="114"/>
      <c r="AVP11" s="114"/>
      <c r="AVQ11" s="114"/>
      <c r="AVR11" s="114"/>
      <c r="AVS11" s="114"/>
      <c r="AVT11" s="114"/>
      <c r="AVU11" s="114"/>
      <c r="AVV11" s="114"/>
      <c r="AVW11" s="114"/>
      <c r="AVX11" s="114"/>
      <c r="AVY11" s="114"/>
      <c r="AVZ11" s="114"/>
      <c r="AWA11" s="114"/>
      <c r="AWB11" s="114"/>
      <c r="AWC11" s="114"/>
      <c r="AWD11" s="114"/>
      <c r="AWE11" s="114"/>
      <c r="AWF11" s="114"/>
      <c r="AWG11" s="114"/>
      <c r="AWH11" s="114"/>
      <c r="AWI11" s="114"/>
      <c r="AWJ11" s="114"/>
      <c r="AWK11" s="114"/>
      <c r="AWL11" s="114"/>
      <c r="AWM11" s="114"/>
      <c r="AWN11" s="114"/>
      <c r="AWO11" s="114"/>
      <c r="AWP11" s="114"/>
      <c r="AWQ11" s="114"/>
      <c r="AWR11" s="114"/>
      <c r="AWS11" s="114"/>
      <c r="AWT11" s="114"/>
      <c r="AWU11" s="114"/>
      <c r="AWV11" s="114"/>
      <c r="AWW11" s="114"/>
      <c r="AWX11" s="114"/>
      <c r="AWY11" s="114"/>
      <c r="AWZ11" s="114"/>
      <c r="AXA11" s="114"/>
      <c r="AXB11" s="114"/>
      <c r="AXC11" s="114"/>
      <c r="AXD11" s="114"/>
      <c r="AXE11" s="114"/>
      <c r="AXF11" s="114"/>
      <c r="AXG11" s="114"/>
      <c r="AXH11" s="114"/>
      <c r="AXI11" s="114"/>
      <c r="AXJ11" s="114"/>
      <c r="AXK11" s="114"/>
      <c r="AXL11" s="114"/>
      <c r="AXM11" s="114"/>
      <c r="AXN11" s="114"/>
      <c r="AXO11" s="114"/>
      <c r="AXP11" s="114"/>
      <c r="AXQ11" s="114"/>
      <c r="AXR11" s="114"/>
      <c r="AXS11" s="114"/>
      <c r="AXT11" s="114"/>
      <c r="AXU11" s="114"/>
      <c r="AXV11" s="114"/>
      <c r="AXW11" s="114"/>
      <c r="AXX11" s="114"/>
      <c r="AXY11" s="114"/>
      <c r="AXZ11" s="114"/>
      <c r="AYA11" s="114"/>
      <c r="AYB11" s="114"/>
      <c r="AYC11" s="114"/>
      <c r="AYD11" s="114"/>
      <c r="AYE11" s="114"/>
      <c r="AYF11" s="114"/>
      <c r="AYG11" s="114"/>
      <c r="AYH11" s="114"/>
      <c r="AYI11" s="114"/>
      <c r="AYJ11" s="114"/>
      <c r="AYK11" s="114"/>
      <c r="AYL11" s="114"/>
      <c r="AYM11" s="114"/>
      <c r="AYN11" s="114"/>
      <c r="AYO11" s="114"/>
      <c r="AYP11" s="114"/>
      <c r="AYQ11" s="114"/>
      <c r="AYR11" s="114"/>
      <c r="AYS11" s="114"/>
      <c r="AYT11" s="114"/>
      <c r="AYU11" s="114"/>
      <c r="AYV11" s="114"/>
      <c r="AYW11" s="114"/>
      <c r="AYX11" s="114"/>
      <c r="AYY11" s="114"/>
      <c r="AYZ11" s="114"/>
      <c r="AZA11" s="114"/>
      <c r="AZB11" s="114"/>
      <c r="AZC11" s="114"/>
      <c r="AZD11" s="114"/>
      <c r="AZE11" s="114"/>
      <c r="AZF11" s="114"/>
      <c r="AZG11" s="114"/>
      <c r="AZH11" s="114"/>
      <c r="AZI11" s="114"/>
      <c r="AZJ11" s="114"/>
      <c r="AZK11" s="114"/>
      <c r="AZL11" s="114"/>
      <c r="AZM11" s="114"/>
      <c r="AZN11" s="114"/>
      <c r="AZO11" s="114"/>
      <c r="AZP11" s="114"/>
      <c r="AZQ11" s="114"/>
      <c r="AZR11" s="114"/>
      <c r="AZS11" s="114"/>
      <c r="AZT11" s="114"/>
      <c r="AZU11" s="114"/>
      <c r="AZV11" s="114"/>
      <c r="AZW11" s="114"/>
      <c r="AZX11" s="114"/>
      <c r="AZY11" s="114"/>
      <c r="AZZ11" s="114"/>
      <c r="BAA11" s="114"/>
      <c r="BAB11" s="114"/>
      <c r="BAC11" s="114"/>
      <c r="BAD11" s="114"/>
      <c r="BAE11" s="114"/>
      <c r="BAF11" s="114"/>
      <c r="BAG11" s="114"/>
      <c r="BAH11" s="114"/>
      <c r="BAI11" s="114"/>
      <c r="BAJ11" s="114"/>
      <c r="BAK11" s="114"/>
      <c r="BAL11" s="114"/>
      <c r="BAM11" s="114"/>
      <c r="BAN11" s="114"/>
      <c r="BAO11" s="114"/>
      <c r="BAP11" s="114"/>
      <c r="BAQ11" s="114"/>
      <c r="BAR11" s="114"/>
      <c r="BAS11" s="114"/>
      <c r="BAT11" s="114"/>
      <c r="BAU11" s="114"/>
      <c r="BAV11" s="114"/>
      <c r="BAW11" s="114"/>
      <c r="BAX11" s="114"/>
      <c r="BAY11" s="114"/>
      <c r="BAZ11" s="114"/>
      <c r="BBA11" s="114"/>
      <c r="BBB11" s="114"/>
      <c r="BBC11" s="114"/>
      <c r="BBD11" s="114"/>
      <c r="BBE11" s="114"/>
      <c r="BBF11" s="114"/>
      <c r="BBG11" s="114"/>
      <c r="BBH11" s="114"/>
      <c r="BBI11" s="114"/>
      <c r="BBJ11" s="114"/>
      <c r="BBK11" s="114"/>
      <c r="BBL11" s="114"/>
      <c r="BBM11" s="114"/>
      <c r="BBN11" s="114"/>
      <c r="BBO11" s="114"/>
      <c r="BBP11" s="114"/>
      <c r="BBQ11" s="114"/>
      <c r="BBR11" s="114"/>
      <c r="BBS11" s="114"/>
      <c r="BBT11" s="114"/>
      <c r="BBU11" s="114"/>
      <c r="BBV11" s="114"/>
      <c r="BBW11" s="114"/>
      <c r="BBX11" s="114"/>
      <c r="BBY11" s="114"/>
      <c r="BBZ11" s="114"/>
      <c r="BCA11" s="114"/>
      <c r="BCB11" s="114"/>
      <c r="BCC11" s="114"/>
      <c r="BCD11" s="114"/>
      <c r="BCE11" s="114"/>
      <c r="BCF11" s="114"/>
      <c r="BCG11" s="114"/>
      <c r="BCH11" s="114"/>
      <c r="BCI11" s="114"/>
      <c r="BCJ11" s="114"/>
      <c r="BCK11" s="114"/>
      <c r="BCL11" s="114"/>
      <c r="BCM11" s="114"/>
      <c r="BCN11" s="114"/>
      <c r="BCO11" s="114"/>
      <c r="BCP11" s="114"/>
      <c r="BCQ11" s="114"/>
      <c r="BCR11" s="114"/>
      <c r="BCS11" s="114"/>
      <c r="BCT11" s="114"/>
      <c r="BCU11" s="114"/>
      <c r="BCV11" s="114"/>
      <c r="BCW11" s="114"/>
      <c r="BCX11" s="114"/>
      <c r="BCY11" s="114"/>
      <c r="BCZ11" s="114"/>
      <c r="BDA11" s="114"/>
      <c r="BDB11" s="114"/>
      <c r="BDC11" s="114"/>
      <c r="BDD11" s="114"/>
      <c r="BDE11" s="114"/>
      <c r="BDF11" s="114"/>
      <c r="BDG11" s="114"/>
      <c r="BDH11" s="114"/>
      <c r="BDI11" s="114"/>
      <c r="BDJ11" s="114"/>
      <c r="BDK11" s="114"/>
      <c r="BDL11" s="114"/>
      <c r="BDM11" s="114"/>
      <c r="BDN11" s="114"/>
      <c r="BDO11" s="114"/>
      <c r="BDP11" s="114"/>
      <c r="BDQ11" s="114"/>
      <c r="BDR11" s="114"/>
      <c r="BDS11" s="114"/>
      <c r="BDT11" s="114"/>
      <c r="BDU11" s="114"/>
      <c r="BDV11" s="114"/>
      <c r="BDW11" s="114"/>
      <c r="BDX11" s="114"/>
      <c r="BDY11" s="114"/>
      <c r="BDZ11" s="114"/>
      <c r="BEA11" s="114"/>
      <c r="BEB11" s="114"/>
      <c r="BEC11" s="114"/>
      <c r="BED11" s="114"/>
      <c r="BEE11" s="114"/>
      <c r="BEF11" s="114"/>
      <c r="BEG11" s="114"/>
      <c r="BEH11" s="114"/>
      <c r="BEI11" s="114"/>
      <c r="BEJ11" s="114"/>
      <c r="BEK11" s="114"/>
      <c r="BEL11" s="114"/>
      <c r="BEM11" s="114"/>
      <c r="BEN11" s="114"/>
      <c r="BEO11" s="114"/>
      <c r="BEP11" s="114"/>
      <c r="BEQ11" s="114"/>
      <c r="BER11" s="114"/>
      <c r="BES11" s="114"/>
      <c r="BET11" s="114"/>
      <c r="BEU11" s="114"/>
      <c r="BEV11" s="114"/>
      <c r="BEW11" s="114"/>
      <c r="BEX11" s="114"/>
      <c r="BEY11" s="114"/>
      <c r="BEZ11" s="114"/>
      <c r="BFA11" s="114"/>
      <c r="BFB11" s="114"/>
      <c r="BFC11" s="114"/>
      <c r="BFD11" s="114"/>
      <c r="BFE11" s="114"/>
      <c r="BFF11" s="114"/>
      <c r="BFG11" s="114"/>
      <c r="BFH11" s="114"/>
      <c r="BFI11" s="114"/>
      <c r="BFJ11" s="114"/>
      <c r="BFK11" s="114"/>
      <c r="BFL11" s="114"/>
      <c r="BFM11" s="114"/>
      <c r="BFN11" s="114"/>
      <c r="BFO11" s="114"/>
      <c r="BFP11" s="114"/>
      <c r="BFQ11" s="114"/>
      <c r="BFR11" s="114"/>
      <c r="BFS11" s="114"/>
      <c r="BFT11" s="114"/>
      <c r="BFU11" s="114"/>
      <c r="BFV11" s="114"/>
      <c r="BFW11" s="114"/>
      <c r="BFX11" s="114"/>
      <c r="BFY11" s="114"/>
      <c r="BFZ11" s="114"/>
      <c r="BGA11" s="114"/>
      <c r="BGB11" s="114"/>
      <c r="BGC11" s="114"/>
      <c r="BGD11" s="114"/>
      <c r="BGE11" s="114"/>
      <c r="BGF11" s="114"/>
      <c r="BGG11" s="114"/>
      <c r="BGH11" s="114"/>
      <c r="BGI11" s="114"/>
      <c r="BGJ11" s="114"/>
      <c r="BGK11" s="114"/>
      <c r="BGL11" s="114"/>
      <c r="BGM11" s="114"/>
      <c r="BGN11" s="114"/>
      <c r="BGO11" s="114"/>
      <c r="BGP11" s="114"/>
      <c r="BGQ11" s="114"/>
      <c r="BGR11" s="114"/>
      <c r="BGS11" s="114"/>
      <c r="BGT11" s="114"/>
      <c r="BGU11" s="114"/>
      <c r="BGV11" s="114"/>
      <c r="BGW11" s="114"/>
      <c r="BGX11" s="114"/>
      <c r="BGY11" s="114"/>
      <c r="BGZ11" s="114"/>
      <c r="BHA11" s="114"/>
      <c r="BHB11" s="114"/>
      <c r="BHC11" s="114"/>
      <c r="BHD11" s="114"/>
      <c r="BHE11" s="114"/>
      <c r="BHF11" s="114"/>
      <c r="BHG11" s="114"/>
      <c r="BHH11" s="114"/>
      <c r="BHI11" s="114"/>
      <c r="BHJ11" s="114"/>
      <c r="BHK11" s="114"/>
      <c r="BHL11" s="114"/>
      <c r="BHM11" s="114"/>
      <c r="BHN11" s="114"/>
      <c r="BHO11" s="114"/>
      <c r="BHP11" s="114"/>
      <c r="BHQ11" s="114"/>
      <c r="BHR11" s="114"/>
      <c r="BHS11" s="114"/>
      <c r="BHT11" s="114"/>
      <c r="BHU11" s="114"/>
      <c r="BHV11" s="114"/>
      <c r="BHW11" s="114"/>
      <c r="BHX11" s="114"/>
      <c r="BHY11" s="114"/>
      <c r="BHZ11" s="114"/>
      <c r="BIA11" s="114"/>
      <c r="BIB11" s="114"/>
      <c r="BIC11" s="114"/>
      <c r="BID11" s="114"/>
      <c r="BIE11" s="114"/>
      <c r="BIF11" s="114"/>
      <c r="BIG11" s="114"/>
      <c r="BIH11" s="114"/>
      <c r="BII11" s="114"/>
      <c r="BIJ11" s="114"/>
      <c r="BIK11" s="114"/>
      <c r="BIL11" s="114"/>
      <c r="BIM11" s="114"/>
      <c r="BIN11" s="114"/>
      <c r="BIO11" s="114"/>
      <c r="BIP11" s="114"/>
      <c r="BIQ11" s="114"/>
      <c r="BIR11" s="114"/>
      <c r="BIS11" s="114"/>
      <c r="BIT11" s="114"/>
      <c r="BIU11" s="114"/>
      <c r="BIV11" s="114"/>
      <c r="BIW11" s="114"/>
      <c r="BIX11" s="114"/>
      <c r="BIY11" s="114"/>
      <c r="BIZ11" s="114"/>
      <c r="BJA11" s="114"/>
      <c r="BJB11" s="114"/>
      <c r="BJC11" s="114"/>
      <c r="BJD11" s="114"/>
      <c r="BJE11" s="114"/>
      <c r="BJF11" s="114"/>
      <c r="BJG11" s="114"/>
      <c r="BJH11" s="114"/>
      <c r="BJI11" s="114"/>
      <c r="BJJ11" s="114"/>
      <c r="BJK11" s="114"/>
      <c r="BJL11" s="114"/>
      <c r="BJM11" s="114"/>
      <c r="BJN11" s="114"/>
      <c r="BJO11" s="114"/>
      <c r="BJP11" s="114"/>
      <c r="BJQ11" s="114"/>
      <c r="BJR11" s="114"/>
      <c r="BJS11" s="114"/>
      <c r="BJT11" s="114"/>
      <c r="BJU11" s="114"/>
      <c r="BJV11" s="114"/>
      <c r="BJW11" s="114"/>
      <c r="BJX11" s="114"/>
      <c r="BJY11" s="114"/>
      <c r="BJZ11" s="114"/>
      <c r="BKA11" s="114"/>
      <c r="BKB11" s="114"/>
      <c r="BKC11" s="114"/>
      <c r="BKD11" s="114"/>
      <c r="BKE11" s="114"/>
      <c r="BKF11" s="114"/>
      <c r="BKG11" s="114"/>
      <c r="BKH11" s="114"/>
      <c r="BKI11" s="114"/>
      <c r="BKJ11" s="114"/>
      <c r="BKK11" s="114"/>
      <c r="BKL11" s="114"/>
      <c r="BKM11" s="114"/>
      <c r="BKN11" s="114"/>
      <c r="BKO11" s="114"/>
      <c r="BKP11" s="114"/>
      <c r="BKQ11" s="114"/>
      <c r="BKR11" s="114"/>
      <c r="BKS11" s="114"/>
      <c r="BKT11" s="114"/>
      <c r="BKU11" s="114"/>
      <c r="BKV11" s="114"/>
      <c r="BKW11" s="114"/>
      <c r="BKX11" s="114"/>
      <c r="BKY11" s="114"/>
      <c r="BKZ11" s="114"/>
      <c r="BLA11" s="114"/>
      <c r="BLB11" s="114"/>
      <c r="BLC11" s="114"/>
      <c r="BLD11" s="114"/>
      <c r="BLE11" s="114"/>
      <c r="BLF11" s="114"/>
      <c r="BLG11" s="114"/>
      <c r="BLH11" s="114"/>
      <c r="BLI11" s="114"/>
      <c r="BLJ11" s="114"/>
      <c r="BLK11" s="114"/>
      <c r="BLL11" s="114"/>
      <c r="BLM11" s="114"/>
      <c r="BLN11" s="114"/>
      <c r="BLO11" s="114"/>
      <c r="BLP11" s="114"/>
      <c r="BLQ11" s="114"/>
      <c r="BLR11" s="114"/>
      <c r="BLS11" s="114"/>
      <c r="BLT11" s="114"/>
      <c r="BLU11" s="114"/>
      <c r="BLV11" s="114"/>
      <c r="BLW11" s="114"/>
      <c r="BLX11" s="114"/>
      <c r="BLY11" s="114"/>
      <c r="BLZ11" s="114"/>
      <c r="BMA11" s="114"/>
      <c r="BMB11" s="114"/>
      <c r="BMC11" s="114"/>
      <c r="BMD11" s="114"/>
      <c r="BME11" s="114"/>
      <c r="BMF11" s="114"/>
      <c r="BMG11" s="114"/>
      <c r="BMH11" s="114"/>
      <c r="BMI11" s="114"/>
      <c r="BMJ11" s="114"/>
      <c r="BMK11" s="114"/>
      <c r="BML11" s="114"/>
      <c r="BMM11" s="114"/>
      <c r="BMN11" s="114"/>
      <c r="BMO11" s="114"/>
      <c r="BMP11" s="114"/>
      <c r="BMQ11" s="114"/>
      <c r="BMR11" s="114"/>
      <c r="BMS11" s="114"/>
      <c r="BMT11" s="114"/>
      <c r="BMU11" s="114"/>
      <c r="BMV11" s="114"/>
      <c r="BMW11" s="114"/>
      <c r="BMX11" s="114"/>
      <c r="BMY11" s="114"/>
      <c r="BMZ11" s="114"/>
      <c r="BNA11" s="114"/>
      <c r="BNB11" s="114"/>
      <c r="BNC11" s="114"/>
      <c r="BND11" s="114"/>
      <c r="BNE11" s="114"/>
      <c r="BNF11" s="114"/>
      <c r="BNG11" s="114"/>
      <c r="BNH11" s="114"/>
      <c r="BNI11" s="114"/>
      <c r="BNJ11" s="114"/>
      <c r="BNK11" s="114"/>
      <c r="BNL11" s="114"/>
      <c r="BNM11" s="114"/>
      <c r="BNN11" s="114"/>
      <c r="BNO11" s="114"/>
      <c r="BNP11" s="114"/>
      <c r="BNQ11" s="114"/>
      <c r="BNR11" s="114"/>
      <c r="BNS11" s="114"/>
      <c r="BNT11" s="114"/>
      <c r="BNU11" s="114"/>
      <c r="BNV11" s="114"/>
      <c r="BNW11" s="114"/>
      <c r="BNX11" s="114"/>
      <c r="BNY11" s="114"/>
      <c r="BNZ11" s="114"/>
      <c r="BOA11" s="114"/>
      <c r="BOB11" s="114"/>
      <c r="BOC11" s="114"/>
      <c r="BOD11" s="114"/>
      <c r="BOE11" s="114"/>
      <c r="BOF11" s="114"/>
      <c r="BOG11" s="114"/>
      <c r="BOH11" s="114"/>
      <c r="BOI11" s="114"/>
      <c r="BOJ11" s="114"/>
      <c r="BOK11" s="114"/>
      <c r="BOL11" s="114"/>
      <c r="BOM11" s="114"/>
      <c r="BON11" s="114"/>
      <c r="BOO11" s="114"/>
      <c r="BOP11" s="114"/>
      <c r="BOQ11" s="114"/>
      <c r="BOR11" s="114"/>
      <c r="BOS11" s="114"/>
      <c r="BOT11" s="114"/>
      <c r="BOU11" s="114"/>
      <c r="BOV11" s="114"/>
      <c r="BOW11" s="114"/>
      <c r="BOX11" s="114"/>
      <c r="BOY11" s="114"/>
      <c r="BOZ11" s="114"/>
      <c r="BPA11" s="114"/>
      <c r="BPB11" s="114"/>
      <c r="BPC11" s="114"/>
      <c r="BPD11" s="114"/>
      <c r="BPE11" s="114"/>
      <c r="BPF11" s="114"/>
      <c r="BPG11" s="114"/>
      <c r="BPH11" s="114"/>
      <c r="BPI11" s="114"/>
      <c r="BPJ11" s="114"/>
      <c r="BPK11" s="114"/>
      <c r="BPL11" s="114"/>
      <c r="BPM11" s="114"/>
      <c r="BPN11" s="114"/>
      <c r="BPO11" s="114"/>
      <c r="BPP11" s="114"/>
      <c r="BPQ11" s="114"/>
      <c r="BPR11" s="114"/>
      <c r="BPS11" s="114"/>
      <c r="BPT11" s="114"/>
      <c r="BPU11" s="114"/>
      <c r="BPV11" s="114"/>
      <c r="BPW11" s="114"/>
      <c r="BPX11" s="114"/>
      <c r="BPY11" s="114"/>
      <c r="BPZ11" s="114"/>
      <c r="BQA11" s="114"/>
      <c r="BQB11" s="114"/>
      <c r="BQC11" s="114"/>
      <c r="BQD11" s="114"/>
      <c r="BQE11" s="114"/>
      <c r="BQF11" s="114"/>
      <c r="BQG11" s="114"/>
      <c r="BQH11" s="114"/>
      <c r="BQI11" s="114"/>
      <c r="BQJ11" s="114"/>
      <c r="BQK11" s="114"/>
      <c r="BQL11" s="114"/>
      <c r="BQM11" s="114"/>
      <c r="BQN11" s="114"/>
      <c r="BQO11" s="114"/>
      <c r="BQP11" s="114"/>
      <c r="BQQ11" s="114"/>
      <c r="BQR11" s="114"/>
      <c r="BQS11" s="114"/>
      <c r="BQT11" s="114"/>
      <c r="BQU11" s="114"/>
      <c r="BQV11" s="114"/>
      <c r="BQW11" s="114"/>
      <c r="BQX11" s="114"/>
      <c r="BQY11" s="114"/>
      <c r="BQZ11" s="114"/>
      <c r="BRA11" s="114"/>
      <c r="BRB11" s="114"/>
      <c r="BRC11" s="114"/>
      <c r="BRD11" s="114"/>
      <c r="BRE11" s="114"/>
      <c r="BRF11" s="114"/>
      <c r="BRG11" s="114"/>
      <c r="BRH11" s="114"/>
      <c r="BRI11" s="114"/>
      <c r="BRJ11" s="114"/>
      <c r="BRK11" s="114"/>
      <c r="BRL11" s="114"/>
      <c r="BRM11" s="114"/>
      <c r="BRN11" s="114"/>
      <c r="BRO11" s="114"/>
      <c r="BRP11" s="114"/>
      <c r="BRQ11" s="114"/>
      <c r="BRR11" s="114"/>
      <c r="BRS11" s="114"/>
      <c r="BRT11" s="114"/>
      <c r="BRU11" s="114"/>
      <c r="BRV11" s="114"/>
      <c r="BRW11" s="114"/>
      <c r="BRX11" s="114"/>
      <c r="BRY11" s="114"/>
      <c r="BRZ11" s="114"/>
      <c r="BSA11" s="114"/>
      <c r="BSB11" s="114"/>
      <c r="BSC11" s="114"/>
      <c r="BSD11" s="114"/>
      <c r="BSE11" s="114"/>
      <c r="BSF11" s="114"/>
      <c r="BSG11" s="114"/>
      <c r="BSH11" s="114"/>
      <c r="BSI11" s="114"/>
      <c r="BSJ11" s="114"/>
      <c r="BSK11" s="114"/>
      <c r="BSL11" s="114"/>
      <c r="BSM11" s="114"/>
      <c r="BSN11" s="114"/>
      <c r="BSO11" s="114"/>
      <c r="BSP11" s="114"/>
      <c r="BSQ11" s="114"/>
      <c r="BSR11" s="114"/>
      <c r="BSS11" s="114"/>
      <c r="BST11" s="114"/>
      <c r="BSU11" s="114"/>
      <c r="BSV11" s="114"/>
      <c r="BSW11" s="114"/>
      <c r="BSX11" s="114"/>
      <c r="BSY11" s="114"/>
      <c r="BSZ11" s="114"/>
      <c r="BTA11" s="114"/>
      <c r="BTB11" s="114"/>
      <c r="BTC11" s="114"/>
      <c r="BTD11" s="114"/>
      <c r="BTE11" s="114"/>
      <c r="BTF11" s="114"/>
      <c r="BTG11" s="114"/>
      <c r="BTH11" s="114"/>
      <c r="BTI11" s="114"/>
      <c r="BTJ11" s="114"/>
      <c r="BTK11" s="114"/>
      <c r="BTL11" s="114"/>
      <c r="BTM11" s="114"/>
      <c r="BTN11" s="114"/>
      <c r="BTO11" s="114"/>
      <c r="BTP11" s="114"/>
      <c r="BTQ11" s="114"/>
      <c r="BTR11" s="114"/>
      <c r="BTS11" s="114"/>
      <c r="BTT11" s="114"/>
      <c r="BTU11" s="114"/>
      <c r="BTV11" s="114"/>
      <c r="BTW11" s="114"/>
      <c r="BTX11" s="114"/>
      <c r="BTY11" s="114"/>
      <c r="BTZ11" s="114"/>
      <c r="BUA11" s="114"/>
      <c r="BUB11" s="114"/>
      <c r="BUC11" s="114"/>
      <c r="BUD11" s="114"/>
      <c r="BUE11" s="114"/>
      <c r="BUF11" s="114"/>
      <c r="BUG11" s="114"/>
      <c r="BUH11" s="114"/>
      <c r="BUI11" s="114"/>
      <c r="BUJ11" s="114"/>
      <c r="BUK11" s="114"/>
      <c r="BUL11" s="114"/>
      <c r="BUM11" s="114"/>
      <c r="BUN11" s="114"/>
      <c r="BUO11" s="114"/>
      <c r="BUP11" s="114"/>
      <c r="BUQ11" s="114"/>
      <c r="BUR11" s="114"/>
      <c r="BUS11" s="114"/>
      <c r="BUT11" s="114"/>
      <c r="BUU11" s="114"/>
      <c r="BUV11" s="114"/>
      <c r="BUW11" s="114"/>
      <c r="BUX11" s="114"/>
      <c r="BUY11" s="114"/>
      <c r="BUZ11" s="114"/>
      <c r="BVA11" s="114"/>
      <c r="BVB11" s="114"/>
      <c r="BVC11" s="114"/>
      <c r="BVD11" s="114"/>
      <c r="BVE11" s="114"/>
      <c r="BVF11" s="114"/>
      <c r="BVG11" s="114"/>
      <c r="BVH11" s="114"/>
      <c r="BVI11" s="114"/>
      <c r="BVJ11" s="114"/>
      <c r="BVK11" s="114"/>
      <c r="BVL11" s="114"/>
      <c r="BVM11" s="114"/>
      <c r="BVN11" s="114"/>
      <c r="BVO11" s="114"/>
      <c r="BVP11" s="114"/>
      <c r="BVQ11" s="114"/>
      <c r="BVR11" s="114"/>
      <c r="BVS11" s="114"/>
      <c r="BVT11" s="114"/>
      <c r="BVU11" s="114"/>
      <c r="BVV11" s="114"/>
      <c r="BVW11" s="114"/>
      <c r="BVX11" s="114"/>
      <c r="BVY11" s="114"/>
      <c r="BVZ11" s="114"/>
      <c r="BWA11" s="114"/>
      <c r="BWB11" s="114"/>
      <c r="BWC11" s="114"/>
      <c r="BWD11" s="114"/>
      <c r="BWE11" s="114"/>
      <c r="BWF11" s="114"/>
      <c r="BWG11" s="114"/>
      <c r="BWH11" s="114"/>
      <c r="BWI11" s="114"/>
      <c r="BWJ11" s="114"/>
      <c r="BWK11" s="114"/>
      <c r="BWL11" s="114"/>
      <c r="BWM11" s="114"/>
      <c r="BWN11" s="114"/>
      <c r="BWO11" s="114"/>
      <c r="BWP11" s="114"/>
      <c r="BWQ11" s="114"/>
      <c r="BWR11" s="114"/>
      <c r="BWS11" s="114"/>
      <c r="BWT11" s="114"/>
      <c r="BWU11" s="114"/>
      <c r="BWV11" s="114"/>
      <c r="BWW11" s="114"/>
      <c r="BWX11" s="114"/>
      <c r="BWY11" s="114"/>
      <c r="BWZ11" s="114"/>
      <c r="BXA11" s="114"/>
      <c r="BXB11" s="114"/>
      <c r="BXC11" s="114"/>
      <c r="BXD11" s="114"/>
      <c r="BXE11" s="114"/>
      <c r="BXF11" s="114"/>
      <c r="BXG11" s="114"/>
      <c r="BXH11" s="114"/>
      <c r="BXI11" s="114"/>
      <c r="BXJ11" s="114"/>
      <c r="BXK11" s="114"/>
      <c r="BXL11" s="114"/>
      <c r="BXM11" s="114"/>
      <c r="BXN11" s="114"/>
      <c r="BXO11" s="114"/>
      <c r="BXP11" s="114"/>
      <c r="BXQ11" s="114"/>
      <c r="BXR11" s="114"/>
      <c r="BXS11" s="114"/>
      <c r="BXT11" s="114"/>
      <c r="BXU11" s="114"/>
      <c r="BXV11" s="114"/>
      <c r="BXW11" s="114"/>
      <c r="BXX11" s="114"/>
      <c r="BXY11" s="114"/>
      <c r="BXZ11" s="114"/>
      <c r="BYA11" s="114"/>
      <c r="BYB11" s="114"/>
      <c r="BYC11" s="114"/>
      <c r="BYD11" s="114"/>
      <c r="BYE11" s="114"/>
      <c r="BYF11" s="114"/>
      <c r="BYG11" s="114"/>
      <c r="BYH11" s="114"/>
      <c r="BYI11" s="114"/>
      <c r="BYJ11" s="114"/>
      <c r="BYK11" s="114"/>
      <c r="BYL11" s="114"/>
      <c r="BYM11" s="114"/>
      <c r="BYN11" s="114"/>
      <c r="BYO11" s="114"/>
      <c r="BYP11" s="114"/>
      <c r="BYQ11" s="114"/>
      <c r="BYR11" s="114"/>
      <c r="BYS11" s="114"/>
      <c r="BYT11" s="114"/>
      <c r="BYU11" s="114"/>
      <c r="BYV11" s="114"/>
      <c r="BYW11" s="114"/>
      <c r="BYX11" s="114"/>
      <c r="BYY11" s="114"/>
      <c r="BYZ11" s="114"/>
      <c r="BZA11" s="114"/>
      <c r="BZB11" s="114"/>
      <c r="BZC11" s="114"/>
      <c r="BZD11" s="114"/>
      <c r="BZE11" s="114"/>
      <c r="BZF11" s="114"/>
      <c r="BZG11" s="114"/>
      <c r="BZH11" s="114"/>
      <c r="BZI11" s="114"/>
      <c r="BZJ11" s="114"/>
      <c r="BZK11" s="114"/>
      <c r="BZL11" s="114"/>
      <c r="BZM11" s="114"/>
      <c r="BZN11" s="114"/>
      <c r="BZO11" s="114"/>
      <c r="BZP11" s="114"/>
      <c r="BZQ11" s="114"/>
      <c r="BZR11" s="114"/>
      <c r="BZS11" s="114"/>
      <c r="BZT11" s="114"/>
      <c r="BZU11" s="114"/>
      <c r="BZV11" s="114"/>
      <c r="BZW11" s="114"/>
      <c r="BZX11" s="114"/>
      <c r="BZY11" s="114"/>
      <c r="BZZ11" s="114"/>
      <c r="CAA11" s="114"/>
      <c r="CAB11" s="114"/>
      <c r="CAC11" s="114"/>
      <c r="CAD11" s="114"/>
      <c r="CAE11" s="114"/>
      <c r="CAF11" s="114"/>
      <c r="CAG11" s="114"/>
      <c r="CAH11" s="114"/>
      <c r="CAI11" s="114"/>
      <c r="CAJ11" s="114"/>
      <c r="CAK11" s="114"/>
      <c r="CAL11" s="114"/>
      <c r="CAM11" s="114"/>
      <c r="CAN11" s="114"/>
      <c r="CAO11" s="114"/>
      <c r="CAP11" s="114"/>
      <c r="CAQ11" s="114"/>
      <c r="CAR11" s="114"/>
      <c r="CAS11" s="114"/>
      <c r="CAT11" s="114"/>
      <c r="CAU11" s="114"/>
      <c r="CAV11" s="114"/>
      <c r="CAW11" s="114"/>
      <c r="CAX11" s="114"/>
      <c r="CAY11" s="114"/>
      <c r="CAZ11" s="114"/>
      <c r="CBA11" s="114"/>
      <c r="CBB11" s="114"/>
      <c r="CBC11" s="114"/>
      <c r="CBD11" s="114"/>
      <c r="CBE11" s="114"/>
      <c r="CBF11" s="114"/>
      <c r="CBG11" s="114"/>
      <c r="CBH11" s="114"/>
      <c r="CBI11" s="114"/>
      <c r="CBJ11" s="114"/>
      <c r="CBK11" s="114"/>
      <c r="CBL11" s="114"/>
      <c r="CBM11" s="114"/>
      <c r="CBN11" s="114"/>
      <c r="CBO11" s="114"/>
      <c r="CBP11" s="114"/>
      <c r="CBQ11" s="114"/>
      <c r="CBR11" s="114"/>
      <c r="CBS11" s="114"/>
      <c r="CBT11" s="114"/>
      <c r="CBU11" s="114"/>
      <c r="CBV11" s="114"/>
      <c r="CBW11" s="114"/>
      <c r="CBX11" s="114"/>
      <c r="CBY11" s="114"/>
      <c r="CBZ11" s="114"/>
      <c r="CCA11" s="114"/>
      <c r="CCB11" s="114"/>
      <c r="CCC11" s="114"/>
      <c r="CCD11" s="114"/>
      <c r="CCE11" s="114"/>
      <c r="CCF11" s="114"/>
      <c r="CCG11" s="114"/>
      <c r="CCH11" s="114"/>
      <c r="CCI11" s="114"/>
      <c r="CCJ11" s="114"/>
      <c r="CCK11" s="114"/>
      <c r="CCL11" s="114"/>
      <c r="CCM11" s="114"/>
      <c r="CCN11" s="114"/>
      <c r="CCO11" s="114"/>
      <c r="CCP11" s="114"/>
      <c r="CCQ11" s="114"/>
      <c r="CCR11" s="114"/>
      <c r="CCS11" s="114"/>
      <c r="CCT11" s="114"/>
      <c r="CCU11" s="114"/>
      <c r="CCV11" s="114"/>
      <c r="CCW11" s="114"/>
      <c r="CCX11" s="114"/>
      <c r="CCY11" s="114"/>
      <c r="CCZ11" s="114"/>
      <c r="CDA11" s="114"/>
      <c r="CDB11" s="114"/>
      <c r="CDC11" s="114"/>
      <c r="CDD11" s="114"/>
      <c r="CDE11" s="114"/>
      <c r="CDF11" s="114"/>
      <c r="CDG11" s="114"/>
      <c r="CDH11" s="114"/>
      <c r="CDI11" s="114"/>
      <c r="CDJ11" s="114"/>
      <c r="CDK11" s="114"/>
      <c r="CDL11" s="114"/>
      <c r="CDM11" s="114"/>
      <c r="CDN11" s="114"/>
      <c r="CDO11" s="114"/>
      <c r="CDP11" s="114"/>
      <c r="CDQ11" s="114"/>
      <c r="CDR11" s="114"/>
      <c r="CDS11" s="114"/>
      <c r="CDT11" s="114"/>
      <c r="CDU11" s="114"/>
      <c r="CDV11" s="114"/>
      <c r="CDW11" s="114"/>
      <c r="CDX11" s="114"/>
      <c r="CDY11" s="114"/>
      <c r="CDZ11" s="114"/>
      <c r="CEA11" s="114"/>
      <c r="CEB11" s="114"/>
      <c r="CEC11" s="114"/>
      <c r="CED11" s="114"/>
      <c r="CEE11" s="114"/>
      <c r="CEF11" s="114"/>
      <c r="CEG11" s="114"/>
      <c r="CEH11" s="114"/>
      <c r="CEI11" s="114"/>
      <c r="CEJ11" s="114"/>
      <c r="CEK11" s="114"/>
      <c r="CEL11" s="114"/>
      <c r="CEM11" s="114"/>
      <c r="CEN11" s="114"/>
      <c r="CEO11" s="114"/>
      <c r="CEP11" s="114"/>
      <c r="CEQ11" s="114"/>
      <c r="CER11" s="114"/>
      <c r="CES11" s="114"/>
      <c r="CET11" s="114"/>
      <c r="CEU11" s="114"/>
      <c r="CEV11" s="114"/>
      <c r="CEW11" s="114"/>
      <c r="CEX11" s="114"/>
      <c r="CEY11" s="114"/>
      <c r="CEZ11" s="114"/>
      <c r="CFA11" s="114"/>
      <c r="CFB11" s="114"/>
      <c r="CFC11" s="114"/>
      <c r="CFD11" s="114"/>
      <c r="CFE11" s="114"/>
      <c r="CFF11" s="114"/>
      <c r="CFG11" s="114"/>
      <c r="CFH11" s="114"/>
      <c r="CFI11" s="114"/>
      <c r="CFJ11" s="114"/>
      <c r="CFK11" s="114"/>
      <c r="CFL11" s="114"/>
      <c r="CFM11" s="114"/>
      <c r="CFN11" s="114"/>
      <c r="CFO11" s="114"/>
      <c r="CFP11" s="114"/>
      <c r="CFQ11" s="114"/>
      <c r="CFR11" s="114"/>
      <c r="CFS11" s="114"/>
      <c r="CFT11" s="114"/>
      <c r="CFU11" s="114"/>
      <c r="CFV11" s="114"/>
      <c r="CFW11" s="114"/>
      <c r="CFX11" s="114"/>
      <c r="CFY11" s="114"/>
      <c r="CFZ11" s="114"/>
      <c r="CGA11" s="114"/>
      <c r="CGB11" s="114"/>
      <c r="CGC11" s="114"/>
      <c r="CGD11" s="114"/>
      <c r="CGE11" s="114"/>
      <c r="CGF11" s="114"/>
      <c r="CGG11" s="114"/>
      <c r="CGH11" s="114"/>
      <c r="CGI11" s="114"/>
      <c r="CGJ11" s="114"/>
      <c r="CGK11" s="114"/>
      <c r="CGL11" s="114"/>
      <c r="CGM11" s="114"/>
      <c r="CGN11" s="114"/>
      <c r="CGO11" s="114"/>
      <c r="CGP11" s="114"/>
      <c r="CGQ11" s="114"/>
      <c r="CGR11" s="114"/>
      <c r="CGS11" s="114"/>
      <c r="CGT11" s="114"/>
      <c r="CGU11" s="114"/>
      <c r="CGV11" s="114"/>
      <c r="CGW11" s="114"/>
      <c r="CGX11" s="114"/>
      <c r="CGY11" s="114"/>
      <c r="CGZ11" s="114"/>
      <c r="CHA11" s="114"/>
      <c r="CHB11" s="114"/>
      <c r="CHC11" s="114"/>
      <c r="CHD11" s="114"/>
      <c r="CHE11" s="114"/>
      <c r="CHF11" s="114"/>
      <c r="CHG11" s="114"/>
      <c r="CHH11" s="114"/>
      <c r="CHI11" s="114"/>
      <c r="CHJ11" s="114"/>
      <c r="CHK11" s="114"/>
      <c r="CHL11" s="114"/>
      <c r="CHM11" s="114"/>
      <c r="CHN11" s="114"/>
      <c r="CHO11" s="114"/>
      <c r="CHP11" s="114"/>
      <c r="CHQ11" s="114"/>
      <c r="CHR11" s="114"/>
      <c r="CHS11" s="114"/>
      <c r="CHT11" s="114"/>
      <c r="CHU11" s="114"/>
      <c r="CHV11" s="114"/>
      <c r="CHW11" s="114"/>
      <c r="CHX11" s="114"/>
      <c r="CHY11" s="114"/>
      <c r="CHZ11" s="114"/>
      <c r="CIA11" s="114"/>
      <c r="CIB11" s="114"/>
      <c r="CIC11" s="114"/>
      <c r="CID11" s="114"/>
      <c r="CIE11" s="114"/>
      <c r="CIF11" s="114"/>
      <c r="CIG11" s="114"/>
      <c r="CIH11" s="114"/>
      <c r="CII11" s="114"/>
      <c r="CIJ11" s="114"/>
      <c r="CIK11" s="114"/>
      <c r="CIL11" s="114"/>
      <c r="CIM11" s="114"/>
      <c r="CIN11" s="114"/>
      <c r="CIO11" s="114"/>
      <c r="CIP11" s="114"/>
      <c r="CIQ11" s="114"/>
      <c r="CIR11" s="114"/>
      <c r="CIS11" s="114"/>
      <c r="CIT11" s="114"/>
      <c r="CIU11" s="114"/>
      <c r="CIV11" s="114"/>
      <c r="CIW11" s="114"/>
      <c r="CIX11" s="114"/>
      <c r="CIY11" s="114"/>
      <c r="CIZ11" s="114"/>
      <c r="CJA11" s="114"/>
      <c r="CJB11" s="114"/>
      <c r="CJC11" s="114"/>
      <c r="CJD11" s="114"/>
      <c r="CJE11" s="114"/>
      <c r="CJF11" s="114"/>
      <c r="CJG11" s="114"/>
      <c r="CJH11" s="114"/>
      <c r="CJI11" s="114"/>
      <c r="CJJ11" s="114"/>
      <c r="CJK11" s="114"/>
      <c r="CJL11" s="114"/>
      <c r="CJM11" s="114"/>
      <c r="CJN11" s="114"/>
      <c r="CJO11" s="114"/>
      <c r="CJP11" s="114"/>
      <c r="CJQ11" s="114"/>
      <c r="CJR11" s="114"/>
      <c r="CJS11" s="114"/>
      <c r="CJT11" s="114"/>
      <c r="CJU11" s="114"/>
      <c r="CJV11" s="114"/>
      <c r="CJW11" s="114"/>
      <c r="CJX11" s="114"/>
      <c r="CJY11" s="114"/>
      <c r="CJZ11" s="114"/>
      <c r="CKA11" s="114"/>
      <c r="CKB11" s="114"/>
      <c r="CKC11" s="114"/>
      <c r="CKD11" s="114"/>
      <c r="CKE11" s="114"/>
      <c r="CKF11" s="114"/>
      <c r="CKG11" s="114"/>
      <c r="CKH11" s="114"/>
      <c r="CKI11" s="114"/>
      <c r="CKJ11" s="114"/>
      <c r="CKK11" s="114"/>
      <c r="CKL11" s="114"/>
      <c r="CKM11" s="114"/>
      <c r="CKN11" s="114"/>
      <c r="CKO11" s="114"/>
      <c r="CKP11" s="114"/>
      <c r="CKQ11" s="114"/>
      <c r="CKR11" s="114"/>
      <c r="CKS11" s="114"/>
      <c r="CKT11" s="114"/>
      <c r="CKU11" s="114"/>
      <c r="CKV11" s="114"/>
      <c r="CKW11" s="114"/>
      <c r="CKX11" s="114"/>
      <c r="CKY11" s="114"/>
      <c r="CKZ11" s="114"/>
      <c r="CLA11" s="114"/>
      <c r="CLB11" s="114"/>
      <c r="CLC11" s="114"/>
      <c r="CLD11" s="114"/>
      <c r="CLE11" s="114"/>
      <c r="CLF11" s="114"/>
      <c r="CLG11" s="114"/>
      <c r="CLH11" s="114"/>
      <c r="CLI11" s="114"/>
      <c r="CLJ11" s="114"/>
      <c r="CLK11" s="114"/>
      <c r="CLL11" s="114"/>
      <c r="CLM11" s="114"/>
      <c r="CLN11" s="114"/>
      <c r="CLO11" s="114"/>
      <c r="CLP11" s="114"/>
      <c r="CLQ11" s="114"/>
      <c r="CLR11" s="114"/>
      <c r="CLS11" s="114"/>
      <c r="CLT11" s="114"/>
      <c r="CLU11" s="114"/>
      <c r="CLV11" s="114"/>
      <c r="CLW11" s="114"/>
      <c r="CLX11" s="114"/>
      <c r="CLY11" s="114"/>
      <c r="CLZ11" s="114"/>
      <c r="CMA11" s="114"/>
      <c r="CMB11" s="114"/>
      <c r="CMC11" s="114"/>
      <c r="CMD11" s="114"/>
      <c r="CME11" s="114"/>
      <c r="CMF11" s="114"/>
      <c r="CMG11" s="114"/>
      <c r="CMH11" s="114"/>
      <c r="CMI11" s="114"/>
      <c r="CMJ11" s="114"/>
      <c r="CMK11" s="114"/>
      <c r="CML11" s="114"/>
      <c r="CMM11" s="114"/>
      <c r="CMN11" s="114"/>
      <c r="CMO11" s="114"/>
      <c r="CMP11" s="114"/>
      <c r="CMQ11" s="114"/>
      <c r="CMR11" s="114"/>
      <c r="CMS11" s="114"/>
      <c r="CMT11" s="114"/>
      <c r="CMU11" s="114"/>
      <c r="CMV11" s="114"/>
      <c r="CMW11" s="114"/>
      <c r="CMX11" s="114"/>
      <c r="CMY11" s="114"/>
      <c r="CMZ11" s="114"/>
      <c r="CNA11" s="114"/>
      <c r="CNB11" s="114"/>
      <c r="CNC11" s="114"/>
      <c r="CND11" s="114"/>
      <c r="CNE11" s="114"/>
      <c r="CNF11" s="114"/>
      <c r="CNG11" s="114"/>
      <c r="CNH11" s="114"/>
      <c r="CNI11" s="114"/>
      <c r="CNJ11" s="114"/>
      <c r="CNK11" s="114"/>
      <c r="CNL11" s="114"/>
      <c r="CNM11" s="114"/>
      <c r="CNN11" s="114"/>
      <c r="CNO11" s="114"/>
      <c r="CNP11" s="114"/>
      <c r="CNQ11" s="114"/>
      <c r="CNR11" s="114"/>
      <c r="CNS11" s="114"/>
      <c r="CNT11" s="114"/>
      <c r="CNU11" s="114"/>
      <c r="CNV11" s="114"/>
      <c r="CNW11" s="114"/>
      <c r="CNX11" s="114"/>
      <c r="CNY11" s="114"/>
      <c r="CNZ11" s="114"/>
      <c r="COA11" s="114"/>
      <c r="COB11" s="114"/>
      <c r="COC11" s="114"/>
      <c r="COD11" s="114"/>
      <c r="COE11" s="114"/>
      <c r="COF11" s="114"/>
      <c r="COG11" s="114"/>
      <c r="COH11" s="114"/>
      <c r="COI11" s="114"/>
      <c r="COJ11" s="114"/>
      <c r="COK11" s="114"/>
      <c r="COL11" s="114"/>
      <c r="COM11" s="114"/>
      <c r="CON11" s="114"/>
      <c r="COO11" s="114"/>
      <c r="COP11" s="114"/>
      <c r="COQ11" s="114"/>
      <c r="COR11" s="114"/>
      <c r="COS11" s="114"/>
      <c r="COT11" s="114"/>
      <c r="COU11" s="114"/>
      <c r="COV11" s="114"/>
      <c r="COW11" s="114"/>
      <c r="COX11" s="114"/>
      <c r="COY11" s="114"/>
      <c r="COZ11" s="114"/>
      <c r="CPA11" s="114"/>
      <c r="CPB11" s="114"/>
      <c r="CPC11" s="114"/>
      <c r="CPD11" s="114"/>
      <c r="CPE11" s="114"/>
      <c r="CPF11" s="114"/>
      <c r="CPG11" s="114"/>
      <c r="CPH11" s="114"/>
      <c r="CPI11" s="114"/>
      <c r="CPJ11" s="114"/>
      <c r="CPK11" s="114"/>
      <c r="CPL11" s="114"/>
      <c r="CPM11" s="114"/>
      <c r="CPN11" s="114"/>
      <c r="CPO11" s="114"/>
      <c r="CPP11" s="114"/>
      <c r="CPQ11" s="114"/>
      <c r="CPR11" s="114"/>
      <c r="CPS11" s="114"/>
      <c r="CPT11" s="114"/>
      <c r="CPU11" s="114"/>
      <c r="CPV11" s="114"/>
      <c r="CPW11" s="114"/>
      <c r="CPX11" s="114"/>
      <c r="CPY11" s="114"/>
      <c r="CPZ11" s="114"/>
      <c r="CQA11" s="114"/>
      <c r="CQB11" s="114"/>
      <c r="CQC11" s="114"/>
      <c r="CQD11" s="114"/>
      <c r="CQE11" s="114"/>
      <c r="CQF11" s="114"/>
      <c r="CQG11" s="114"/>
      <c r="CQH11" s="114"/>
      <c r="CQI11" s="114"/>
      <c r="CQJ11" s="114"/>
      <c r="CQK11" s="114"/>
      <c r="CQL11" s="114"/>
      <c r="CQM11" s="114"/>
      <c r="CQN11" s="114"/>
      <c r="CQO11" s="114"/>
      <c r="CQP11" s="114"/>
      <c r="CQQ11" s="114"/>
      <c r="CQR11" s="114"/>
      <c r="CQS11" s="114"/>
      <c r="CQT11" s="114"/>
      <c r="CQU11" s="114"/>
      <c r="CQV11" s="114"/>
      <c r="CQW11" s="114"/>
      <c r="CQX11" s="114"/>
      <c r="CQY11" s="114"/>
      <c r="CQZ11" s="114"/>
      <c r="CRA11" s="114"/>
      <c r="CRB11" s="114"/>
      <c r="CRC11" s="114"/>
      <c r="CRD11" s="114"/>
      <c r="CRE11" s="114"/>
      <c r="CRF11" s="114"/>
      <c r="CRG11" s="114"/>
      <c r="CRH11" s="114"/>
      <c r="CRI11" s="114"/>
      <c r="CRJ11" s="114"/>
      <c r="CRK11" s="114"/>
      <c r="CRL11" s="114"/>
      <c r="CRM11" s="114"/>
      <c r="CRN11" s="114"/>
      <c r="CRO11" s="114"/>
      <c r="CRP11" s="114"/>
      <c r="CRQ11" s="114"/>
      <c r="CRR11" s="114"/>
      <c r="CRS11" s="114"/>
      <c r="CRT11" s="114"/>
      <c r="CRU11" s="114"/>
      <c r="CRV11" s="114"/>
      <c r="CRW11" s="114"/>
      <c r="CRX11" s="114"/>
      <c r="CRY11" s="114"/>
      <c r="CRZ11" s="114"/>
      <c r="CSA11" s="114"/>
      <c r="CSB11" s="114"/>
      <c r="CSC11" s="114"/>
      <c r="CSD11" s="114"/>
      <c r="CSE11" s="114"/>
      <c r="CSF11" s="114"/>
      <c r="CSG11" s="114"/>
      <c r="CSH11" s="114"/>
      <c r="CSI11" s="114"/>
      <c r="CSJ11" s="114"/>
      <c r="CSK11" s="114"/>
      <c r="CSL11" s="114"/>
      <c r="CSM11" s="114"/>
      <c r="CSN11" s="114"/>
      <c r="CSO11" s="114"/>
      <c r="CSP11" s="114"/>
      <c r="CSQ11" s="114"/>
      <c r="CSR11" s="114"/>
      <c r="CSS11" s="114"/>
      <c r="CST11" s="114"/>
      <c r="CSU11" s="114"/>
      <c r="CSV11" s="114"/>
      <c r="CSW11" s="114"/>
      <c r="CSX11" s="114"/>
      <c r="CSY11" s="114"/>
      <c r="CSZ11" s="114"/>
      <c r="CTA11" s="114"/>
      <c r="CTB11" s="114"/>
      <c r="CTC11" s="114"/>
      <c r="CTD11" s="114"/>
      <c r="CTE11" s="114"/>
      <c r="CTF11" s="114"/>
      <c r="CTG11" s="114"/>
      <c r="CTH11" s="114"/>
      <c r="CTI11" s="114"/>
      <c r="CTJ11" s="114"/>
      <c r="CTK11" s="114"/>
      <c r="CTL11" s="114"/>
      <c r="CTM11" s="114"/>
      <c r="CTN11" s="114"/>
      <c r="CTO11" s="114"/>
      <c r="CTP11" s="114"/>
      <c r="CTQ11" s="114"/>
      <c r="CTR11" s="114"/>
      <c r="CTS11" s="114"/>
      <c r="CTT11" s="114"/>
      <c r="CTU11" s="114"/>
      <c r="CTV11" s="114"/>
      <c r="CTW11" s="114"/>
      <c r="CTX11" s="114"/>
      <c r="CTY11" s="114"/>
      <c r="CTZ11" s="114"/>
      <c r="CUA11" s="114"/>
      <c r="CUB11" s="114"/>
      <c r="CUC11" s="114"/>
      <c r="CUD11" s="114"/>
      <c r="CUE11" s="114"/>
      <c r="CUF11" s="114"/>
      <c r="CUG11" s="114"/>
      <c r="CUH11" s="114"/>
      <c r="CUI11" s="114"/>
      <c r="CUJ11" s="114"/>
      <c r="CUK11" s="114"/>
      <c r="CUL11" s="114"/>
      <c r="CUM11" s="114"/>
      <c r="CUN11" s="114"/>
      <c r="CUO11" s="114"/>
      <c r="CUP11" s="114"/>
      <c r="CUQ11" s="114"/>
      <c r="CUR11" s="114"/>
      <c r="CUS11" s="114"/>
      <c r="CUT11" s="114"/>
      <c r="CUU11" s="114"/>
      <c r="CUV11" s="114"/>
      <c r="CUW11" s="114"/>
      <c r="CUX11" s="114"/>
      <c r="CUY11" s="114"/>
      <c r="CUZ11" s="114"/>
      <c r="CVA11" s="114"/>
      <c r="CVB11" s="114"/>
      <c r="CVC11" s="114"/>
      <c r="CVD11" s="114"/>
      <c r="CVE11" s="114"/>
      <c r="CVF11" s="114"/>
      <c r="CVG11" s="114"/>
      <c r="CVH11" s="114"/>
      <c r="CVI11" s="114"/>
      <c r="CVJ11" s="114"/>
      <c r="CVK11" s="114"/>
      <c r="CVL11" s="114"/>
      <c r="CVM11" s="114"/>
      <c r="CVN11" s="114"/>
      <c r="CVO11" s="114"/>
      <c r="CVP11" s="114"/>
      <c r="CVQ11" s="114"/>
      <c r="CVR11" s="114"/>
      <c r="CVS11" s="114"/>
      <c r="CVT11" s="114"/>
      <c r="CVU11" s="114"/>
      <c r="CVV11" s="114"/>
      <c r="CVW11" s="114"/>
      <c r="CVX11" s="114"/>
      <c r="CVY11" s="114"/>
      <c r="CVZ11" s="114"/>
      <c r="CWA11" s="114"/>
      <c r="CWB11" s="114"/>
      <c r="CWC11" s="114"/>
      <c r="CWD11" s="114"/>
      <c r="CWE11" s="114"/>
      <c r="CWF11" s="114"/>
      <c r="CWG11" s="114"/>
      <c r="CWH11" s="114"/>
      <c r="CWI11" s="114"/>
      <c r="CWJ11" s="114"/>
      <c r="CWK11" s="114"/>
      <c r="CWL11" s="114"/>
      <c r="CWM11" s="114"/>
      <c r="CWN11" s="114"/>
      <c r="CWO11" s="114"/>
      <c r="CWP11" s="114"/>
      <c r="CWQ11" s="114"/>
      <c r="CWR11" s="114"/>
      <c r="CWS11" s="114"/>
      <c r="CWT11" s="114"/>
      <c r="CWU11" s="114"/>
      <c r="CWV11" s="114"/>
      <c r="CWW11" s="114"/>
      <c r="CWX11" s="114"/>
      <c r="CWY11" s="114"/>
      <c r="CWZ11" s="114"/>
      <c r="CXA11" s="114"/>
      <c r="CXB11" s="114"/>
      <c r="CXC11" s="114"/>
      <c r="CXD11" s="114"/>
      <c r="CXE11" s="114"/>
      <c r="CXF11" s="114"/>
      <c r="CXG11" s="114"/>
      <c r="CXH11" s="114"/>
      <c r="CXI11" s="114"/>
      <c r="CXJ11" s="114"/>
      <c r="CXK11" s="114"/>
      <c r="CXL11" s="114"/>
      <c r="CXM11" s="114"/>
      <c r="CXN11" s="114"/>
      <c r="CXO11" s="114"/>
      <c r="CXP11" s="114"/>
      <c r="CXQ11" s="114"/>
      <c r="CXR11" s="114"/>
      <c r="CXS11" s="114"/>
      <c r="CXT11" s="114"/>
      <c r="CXU11" s="114"/>
      <c r="CXV11" s="114"/>
      <c r="CXW11" s="114"/>
      <c r="CXX11" s="114"/>
      <c r="CXY11" s="114"/>
      <c r="CXZ11" s="114"/>
      <c r="CYA11" s="114"/>
      <c r="CYB11" s="114"/>
      <c r="CYC11" s="114"/>
      <c r="CYD11" s="114"/>
      <c r="CYE11" s="114"/>
      <c r="CYF11" s="114"/>
      <c r="CYG11" s="114"/>
      <c r="CYH11" s="114"/>
      <c r="CYI11" s="114"/>
      <c r="CYJ11" s="114"/>
      <c r="CYK11" s="114"/>
      <c r="CYL11" s="114"/>
      <c r="CYM11" s="114"/>
      <c r="CYN11" s="114"/>
      <c r="CYO11" s="114"/>
      <c r="CYP11" s="114"/>
      <c r="CYQ11" s="114"/>
      <c r="CYR11" s="114"/>
      <c r="CYS11" s="114"/>
      <c r="CYT11" s="114"/>
      <c r="CYU11" s="114"/>
      <c r="CYV11" s="114"/>
      <c r="CYW11" s="114"/>
      <c r="CYX11" s="114"/>
      <c r="CYY11" s="114"/>
      <c r="CYZ11" s="114"/>
      <c r="CZA11" s="114"/>
      <c r="CZB11" s="114"/>
      <c r="CZC11" s="114"/>
      <c r="CZD11" s="114"/>
      <c r="CZE11" s="114"/>
      <c r="CZF11" s="114"/>
      <c r="CZG11" s="114"/>
      <c r="CZH11" s="114"/>
      <c r="CZI11" s="114"/>
      <c r="CZJ11" s="114"/>
      <c r="CZK11" s="114"/>
      <c r="CZL11" s="114"/>
      <c r="CZM11" s="114"/>
      <c r="CZN11" s="114"/>
      <c r="CZO11" s="114"/>
      <c r="CZP11" s="114"/>
      <c r="CZQ11" s="114"/>
      <c r="CZR11" s="114"/>
      <c r="CZS11" s="114"/>
      <c r="CZT11" s="114"/>
      <c r="CZU11" s="114"/>
      <c r="CZV11" s="114"/>
      <c r="CZW11" s="114"/>
      <c r="CZX11" s="114"/>
      <c r="CZY11" s="114"/>
      <c r="CZZ11" s="114"/>
      <c r="DAA11" s="114"/>
      <c r="DAB11" s="114"/>
      <c r="DAC11" s="114"/>
      <c r="DAD11" s="114"/>
      <c r="DAE11" s="114"/>
      <c r="DAF11" s="114"/>
      <c r="DAG11" s="114"/>
      <c r="DAH11" s="114"/>
      <c r="DAI11" s="114"/>
      <c r="DAJ11" s="114"/>
      <c r="DAK11" s="114"/>
      <c r="DAL11" s="114"/>
      <c r="DAM11" s="114"/>
      <c r="DAN11" s="114"/>
      <c r="DAO11" s="114"/>
      <c r="DAP11" s="114"/>
      <c r="DAQ11" s="114"/>
      <c r="DAR11" s="114"/>
      <c r="DAS11" s="114"/>
      <c r="DAT11" s="114"/>
      <c r="DAU11" s="114"/>
      <c r="DAV11" s="114"/>
      <c r="DAW11" s="114"/>
      <c r="DAX11" s="114"/>
      <c r="DAY11" s="114"/>
      <c r="DAZ11" s="114"/>
      <c r="DBA11" s="114"/>
      <c r="DBB11" s="114"/>
      <c r="DBC11" s="114"/>
      <c r="DBD11" s="114"/>
      <c r="DBE11" s="114"/>
      <c r="DBF11" s="114"/>
      <c r="DBG11" s="114"/>
      <c r="DBH11" s="114"/>
      <c r="DBI11" s="114"/>
      <c r="DBJ11" s="114"/>
      <c r="DBK11" s="114"/>
      <c r="DBL11" s="114"/>
      <c r="DBM11" s="114"/>
      <c r="DBN11" s="114"/>
      <c r="DBO11" s="114"/>
      <c r="DBP11" s="114"/>
      <c r="DBQ11" s="114"/>
      <c r="DBR11" s="114"/>
      <c r="DBS11" s="114"/>
      <c r="DBT11" s="114"/>
      <c r="DBU11" s="114"/>
      <c r="DBV11" s="114"/>
      <c r="DBW11" s="114"/>
      <c r="DBX11" s="114"/>
      <c r="DBY11" s="114"/>
      <c r="DBZ11" s="114"/>
      <c r="DCA11" s="114"/>
      <c r="DCB11" s="114"/>
      <c r="DCC11" s="114"/>
      <c r="DCD11" s="114"/>
      <c r="DCE11" s="114"/>
      <c r="DCF11" s="114"/>
      <c r="DCG11" s="114"/>
      <c r="DCH11" s="114"/>
      <c r="DCI11" s="114"/>
      <c r="DCJ11" s="114"/>
      <c r="DCK11" s="114"/>
      <c r="DCL11" s="114"/>
      <c r="DCM11" s="114"/>
      <c r="DCN11" s="114"/>
      <c r="DCO11" s="114"/>
      <c r="DCP11" s="114"/>
      <c r="DCQ11" s="114"/>
      <c r="DCR11" s="114"/>
      <c r="DCS11" s="114"/>
      <c r="DCT11" s="114"/>
      <c r="DCU11" s="114"/>
      <c r="DCV11" s="114"/>
      <c r="DCW11" s="114"/>
      <c r="DCX11" s="114"/>
      <c r="DCY11" s="114"/>
      <c r="DCZ11" s="114"/>
      <c r="DDA11" s="114"/>
      <c r="DDB11" s="114"/>
      <c r="DDC11" s="114"/>
      <c r="DDD11" s="114"/>
      <c r="DDE11" s="114"/>
      <c r="DDF11" s="114"/>
      <c r="DDG11" s="114"/>
      <c r="DDH11" s="114"/>
      <c r="DDI11" s="114"/>
      <c r="DDJ11" s="114"/>
      <c r="DDK11" s="114"/>
      <c r="DDL11" s="114"/>
      <c r="DDM11" s="114"/>
      <c r="DDN11" s="114"/>
      <c r="DDO11" s="114"/>
      <c r="DDP11" s="114"/>
      <c r="DDQ11" s="114"/>
      <c r="DDR11" s="114"/>
      <c r="DDS11" s="114"/>
      <c r="DDT11" s="114"/>
      <c r="DDU11" s="114"/>
      <c r="DDV11" s="114"/>
      <c r="DDW11" s="114"/>
      <c r="DDX11" s="114"/>
      <c r="DDY11" s="114"/>
      <c r="DDZ11" s="114"/>
      <c r="DEA11" s="114"/>
      <c r="DEB11" s="114"/>
      <c r="DEC11" s="114"/>
      <c r="DED11" s="114"/>
      <c r="DEE11" s="114"/>
      <c r="DEF11" s="114"/>
      <c r="DEG11" s="114"/>
      <c r="DEH11" s="114"/>
      <c r="DEI11" s="114"/>
      <c r="DEJ11" s="114"/>
      <c r="DEK11" s="114"/>
      <c r="DEL11" s="114"/>
      <c r="DEM11" s="114"/>
      <c r="DEN11" s="114"/>
      <c r="DEO11" s="114"/>
      <c r="DEP11" s="114"/>
      <c r="DEQ11" s="114"/>
      <c r="DER11" s="114"/>
      <c r="DES11" s="114"/>
      <c r="DET11" s="114"/>
      <c r="DEU11" s="114"/>
      <c r="DEV11" s="114"/>
      <c r="DEW11" s="114"/>
      <c r="DEX11" s="114"/>
      <c r="DEY11" s="114"/>
      <c r="DEZ11" s="114"/>
      <c r="DFA11" s="114"/>
      <c r="DFB11" s="114"/>
      <c r="DFC11" s="114"/>
      <c r="DFD11" s="114"/>
      <c r="DFE11" s="114"/>
      <c r="DFF11" s="114"/>
      <c r="DFG11" s="114"/>
      <c r="DFH11" s="114"/>
      <c r="DFI11" s="114"/>
      <c r="DFJ11" s="114"/>
      <c r="DFK11" s="114"/>
      <c r="DFL11" s="114"/>
      <c r="DFM11" s="114"/>
      <c r="DFN11" s="114"/>
      <c r="DFO11" s="114"/>
      <c r="DFP11" s="114"/>
      <c r="DFQ11" s="114"/>
      <c r="DFR11" s="114"/>
      <c r="DFS11" s="114"/>
      <c r="DFT11" s="114"/>
      <c r="DFU11" s="114"/>
      <c r="DFV11" s="114"/>
      <c r="DFW11" s="114"/>
      <c r="DFX11" s="114"/>
      <c r="DFY11" s="114"/>
      <c r="DFZ11" s="114"/>
      <c r="DGA11" s="114"/>
      <c r="DGB11" s="114"/>
      <c r="DGC11" s="114"/>
      <c r="DGD11" s="114"/>
      <c r="DGE11" s="114"/>
      <c r="DGF11" s="114"/>
      <c r="DGG11" s="114"/>
      <c r="DGH11" s="114"/>
      <c r="DGI11" s="114"/>
      <c r="DGJ11" s="114"/>
      <c r="DGK11" s="114"/>
      <c r="DGL11" s="114"/>
      <c r="DGM11" s="114"/>
      <c r="DGN11" s="114"/>
      <c r="DGO11" s="114"/>
      <c r="DGP11" s="114"/>
      <c r="DGQ11" s="114"/>
      <c r="DGR11" s="114"/>
      <c r="DGS11" s="114"/>
      <c r="DGT11" s="114"/>
      <c r="DGU11" s="114"/>
      <c r="DGV11" s="114"/>
      <c r="DGW11" s="114"/>
      <c r="DGX11" s="114"/>
      <c r="DGY11" s="114"/>
      <c r="DGZ11" s="114"/>
      <c r="DHA11" s="114"/>
      <c r="DHB11" s="114"/>
      <c r="DHC11" s="114"/>
      <c r="DHD11" s="114"/>
      <c r="DHE11" s="114"/>
      <c r="DHF11" s="114"/>
      <c r="DHG11" s="114"/>
      <c r="DHH11" s="114"/>
      <c r="DHI11" s="114"/>
      <c r="DHJ11" s="114"/>
      <c r="DHK11" s="114"/>
      <c r="DHL11" s="114"/>
      <c r="DHM11" s="114"/>
      <c r="DHN11" s="114"/>
      <c r="DHO11" s="114"/>
      <c r="DHP11" s="114"/>
      <c r="DHQ11" s="114"/>
      <c r="DHR11" s="114"/>
      <c r="DHS11" s="114"/>
      <c r="DHT11" s="114"/>
      <c r="DHU11" s="114"/>
      <c r="DHV11" s="114"/>
      <c r="DHW11" s="114"/>
      <c r="DHX11" s="114"/>
      <c r="DHY11" s="114"/>
      <c r="DHZ11" s="114"/>
      <c r="DIA11" s="114"/>
      <c r="DIB11" s="114"/>
      <c r="DIC11" s="114"/>
      <c r="DID11" s="114"/>
      <c r="DIE11" s="114"/>
      <c r="DIF11" s="114"/>
      <c r="DIG11" s="114"/>
      <c r="DIH11" s="114"/>
      <c r="DII11" s="114"/>
      <c r="DIJ11" s="114"/>
      <c r="DIK11" s="114"/>
      <c r="DIL11" s="114"/>
      <c r="DIM11" s="114"/>
      <c r="DIN11" s="114"/>
      <c r="DIO11" s="114"/>
      <c r="DIP11" s="114"/>
      <c r="DIQ11" s="114"/>
      <c r="DIR11" s="114"/>
      <c r="DIS11" s="114"/>
      <c r="DIT11" s="114"/>
      <c r="DIU11" s="114"/>
      <c r="DIV11" s="114"/>
      <c r="DIW11" s="114"/>
      <c r="DIX11" s="114"/>
      <c r="DIY11" s="114"/>
      <c r="DIZ11" s="114"/>
      <c r="DJA11" s="114"/>
      <c r="DJB11" s="114"/>
      <c r="DJC11" s="114"/>
      <c r="DJD11" s="114"/>
      <c r="DJE11" s="114"/>
      <c r="DJF11" s="114"/>
      <c r="DJG11" s="114"/>
      <c r="DJH11" s="114"/>
      <c r="DJI11" s="114"/>
      <c r="DJJ11" s="114"/>
      <c r="DJK11" s="114"/>
      <c r="DJL11" s="114"/>
      <c r="DJM11" s="114"/>
      <c r="DJN11" s="114"/>
      <c r="DJO11" s="114"/>
      <c r="DJP11" s="114"/>
      <c r="DJQ11" s="114"/>
      <c r="DJR11" s="114"/>
      <c r="DJS11" s="114"/>
      <c r="DJT11" s="114"/>
      <c r="DJU11" s="114"/>
      <c r="DJV11" s="114"/>
      <c r="DJW11" s="114"/>
      <c r="DJX11" s="114"/>
      <c r="DJY11" s="114"/>
      <c r="DJZ11" s="114"/>
      <c r="DKA11" s="114"/>
      <c r="DKB11" s="114"/>
      <c r="DKC11" s="114"/>
      <c r="DKD11" s="114"/>
      <c r="DKE11" s="114"/>
      <c r="DKF11" s="114"/>
      <c r="DKG11" s="114"/>
      <c r="DKH11" s="114"/>
      <c r="DKI11" s="114"/>
      <c r="DKJ11" s="114"/>
      <c r="DKK11" s="114"/>
      <c r="DKL11" s="114"/>
      <c r="DKM11" s="114"/>
      <c r="DKN11" s="114"/>
      <c r="DKO11" s="114"/>
      <c r="DKP11" s="114"/>
      <c r="DKQ11" s="114"/>
      <c r="DKR11" s="114"/>
      <c r="DKS11" s="114"/>
      <c r="DKT11" s="114"/>
      <c r="DKU11" s="114"/>
      <c r="DKV11" s="114"/>
      <c r="DKW11" s="114"/>
      <c r="DKX11" s="114"/>
      <c r="DKY11" s="114"/>
      <c r="DKZ11" s="114"/>
      <c r="DLA11" s="114"/>
      <c r="DLB11" s="114"/>
      <c r="DLC11" s="114"/>
      <c r="DLD11" s="114"/>
      <c r="DLE11" s="114"/>
      <c r="DLF11" s="114"/>
      <c r="DLG11" s="114"/>
      <c r="DLH11" s="114"/>
      <c r="DLI11" s="114"/>
      <c r="DLJ11" s="114"/>
      <c r="DLK11" s="114"/>
      <c r="DLL11" s="114"/>
      <c r="DLM11" s="114"/>
      <c r="DLN11" s="114"/>
      <c r="DLO11" s="114"/>
      <c r="DLP11" s="114"/>
      <c r="DLQ11" s="114"/>
      <c r="DLR11" s="114"/>
      <c r="DLS11" s="114"/>
      <c r="DLT11" s="114"/>
      <c r="DLU11" s="114"/>
      <c r="DLV11" s="114"/>
      <c r="DLW11" s="114"/>
      <c r="DLX11" s="114"/>
      <c r="DLY11" s="114"/>
      <c r="DLZ11" s="114"/>
      <c r="DMA11" s="114"/>
      <c r="DMB11" s="114"/>
      <c r="DMC11" s="114"/>
      <c r="DMD11" s="114"/>
      <c r="DME11" s="114"/>
      <c r="DMF11" s="114"/>
      <c r="DMG11" s="114"/>
      <c r="DMH11" s="114"/>
      <c r="DMI11" s="114"/>
      <c r="DMJ11" s="114"/>
      <c r="DMK11" s="114"/>
      <c r="DML11" s="114"/>
      <c r="DMM11" s="114"/>
      <c r="DMN11" s="114"/>
      <c r="DMO11" s="114"/>
      <c r="DMP11" s="114"/>
      <c r="DMQ11" s="114"/>
      <c r="DMR11" s="114"/>
      <c r="DMS11" s="114"/>
      <c r="DMT11" s="114"/>
      <c r="DMU11" s="114"/>
      <c r="DMV11" s="114"/>
      <c r="DMW11" s="114"/>
      <c r="DMX11" s="114"/>
      <c r="DMY11" s="114"/>
      <c r="DMZ11" s="114"/>
      <c r="DNA11" s="114"/>
      <c r="DNB11" s="114"/>
      <c r="DNC11" s="114"/>
      <c r="DND11" s="114"/>
      <c r="DNE11" s="114"/>
      <c r="DNF11" s="114"/>
      <c r="DNG11" s="114"/>
      <c r="DNH11" s="114"/>
      <c r="DNI11" s="114"/>
      <c r="DNJ11" s="114"/>
      <c r="DNK11" s="114"/>
      <c r="DNL11" s="114"/>
      <c r="DNM11" s="114"/>
      <c r="DNN11" s="114"/>
      <c r="DNO11" s="114"/>
      <c r="DNP11" s="114"/>
      <c r="DNQ11" s="114"/>
      <c r="DNR11" s="114"/>
      <c r="DNS11" s="114"/>
      <c r="DNT11" s="114"/>
      <c r="DNU11" s="114"/>
      <c r="DNV11" s="114"/>
      <c r="DNW11" s="114"/>
      <c r="DNX11" s="114"/>
      <c r="DNY11" s="114"/>
      <c r="DNZ11" s="114"/>
      <c r="DOA11" s="114"/>
      <c r="DOB11" s="114"/>
      <c r="DOC11" s="114"/>
      <c r="DOD11" s="114"/>
      <c r="DOE11" s="114"/>
      <c r="DOF11" s="114"/>
      <c r="DOG11" s="114"/>
      <c r="DOH11" s="114"/>
      <c r="DOI11" s="114"/>
      <c r="DOJ11" s="114"/>
      <c r="DOK11" s="114"/>
      <c r="DOL11" s="114"/>
      <c r="DOM11" s="114"/>
      <c r="DON11" s="114"/>
      <c r="DOO11" s="114"/>
      <c r="DOP11" s="114"/>
      <c r="DOQ11" s="114"/>
      <c r="DOR11" s="114"/>
      <c r="DOS11" s="114"/>
      <c r="DOT11" s="114"/>
      <c r="DOU11" s="114"/>
      <c r="DOV11" s="114"/>
      <c r="DOW11" s="114"/>
      <c r="DOX11" s="114"/>
      <c r="DOY11" s="114"/>
      <c r="DOZ11" s="114"/>
      <c r="DPA11" s="114"/>
      <c r="DPB11" s="114"/>
      <c r="DPC11" s="114"/>
      <c r="DPD11" s="114"/>
      <c r="DPE11" s="114"/>
      <c r="DPF11" s="114"/>
      <c r="DPG11" s="114"/>
      <c r="DPH11" s="114"/>
      <c r="DPI11" s="114"/>
      <c r="DPJ11" s="114"/>
      <c r="DPK11" s="114"/>
      <c r="DPL11" s="114"/>
      <c r="DPM11" s="114"/>
      <c r="DPN11" s="114"/>
      <c r="DPO11" s="114"/>
      <c r="DPP11" s="114"/>
      <c r="DPQ11" s="114"/>
      <c r="DPR11" s="114"/>
      <c r="DPS11" s="114"/>
      <c r="DPT11" s="114"/>
      <c r="DPU11" s="114"/>
      <c r="DPV11" s="114"/>
      <c r="DPW11" s="114"/>
      <c r="DPX11" s="114"/>
      <c r="DPY11" s="114"/>
      <c r="DPZ11" s="114"/>
      <c r="DQA11" s="114"/>
      <c r="DQB11" s="114"/>
      <c r="DQC11" s="114"/>
      <c r="DQD11" s="114"/>
      <c r="DQE11" s="114"/>
      <c r="DQF11" s="114"/>
      <c r="DQG11" s="114"/>
      <c r="DQH11" s="114"/>
      <c r="DQI11" s="114"/>
      <c r="DQJ11" s="114"/>
      <c r="DQK11" s="114"/>
      <c r="DQL11" s="114"/>
      <c r="DQM11" s="114"/>
      <c r="DQN11" s="114"/>
      <c r="DQO11" s="114"/>
      <c r="DQP11" s="114"/>
      <c r="DQQ11" s="114"/>
      <c r="DQR11" s="114"/>
      <c r="DQS11" s="114"/>
      <c r="DQT11" s="114"/>
      <c r="DQU11" s="114"/>
      <c r="DQV11" s="114"/>
      <c r="DQW11" s="114"/>
      <c r="DQX11" s="114"/>
      <c r="DQY11" s="114"/>
      <c r="DQZ11" s="114"/>
      <c r="DRA11" s="114"/>
      <c r="DRB11" s="114"/>
      <c r="DRC11" s="114"/>
      <c r="DRD11" s="114"/>
      <c r="DRE11" s="114"/>
      <c r="DRF11" s="114"/>
      <c r="DRG11" s="114"/>
      <c r="DRH11" s="114"/>
      <c r="DRI11" s="114"/>
      <c r="DRJ11" s="114"/>
      <c r="DRK11" s="114"/>
      <c r="DRL11" s="114"/>
      <c r="DRM11" s="114"/>
      <c r="DRN11" s="114"/>
      <c r="DRO11" s="114"/>
      <c r="DRP11" s="114"/>
      <c r="DRQ11" s="114"/>
      <c r="DRR11" s="114"/>
      <c r="DRS11" s="114"/>
      <c r="DRT11" s="114"/>
      <c r="DRU11" s="114"/>
      <c r="DRV11" s="114"/>
      <c r="DRW11" s="114"/>
      <c r="DRX11" s="114"/>
      <c r="DRY11" s="114"/>
      <c r="DRZ11" s="114"/>
      <c r="DSA11" s="114"/>
      <c r="DSB11" s="114"/>
      <c r="DSC11" s="114"/>
      <c r="DSD11" s="114"/>
      <c r="DSE11" s="114"/>
      <c r="DSF11" s="114"/>
      <c r="DSG11" s="114"/>
      <c r="DSH11" s="114"/>
      <c r="DSI11" s="114"/>
      <c r="DSJ11" s="114"/>
      <c r="DSK11" s="114"/>
      <c r="DSL11" s="114"/>
      <c r="DSM11" s="114"/>
      <c r="DSN11" s="114"/>
      <c r="DSO11" s="114"/>
      <c r="DSP11" s="114"/>
      <c r="DSQ11" s="114"/>
      <c r="DSR11" s="114"/>
      <c r="DSS11" s="114"/>
      <c r="DST11" s="114"/>
      <c r="DSU11" s="114"/>
      <c r="DSV11" s="114"/>
      <c r="DSW11" s="114"/>
      <c r="DSX11" s="114"/>
      <c r="DSY11" s="114"/>
      <c r="DSZ11" s="114"/>
      <c r="DTA11" s="114"/>
      <c r="DTB11" s="114"/>
      <c r="DTC11" s="114"/>
      <c r="DTD11" s="114"/>
      <c r="DTE11" s="114"/>
      <c r="DTF11" s="114"/>
      <c r="DTG11" s="114"/>
      <c r="DTH11" s="114"/>
      <c r="DTI11" s="114"/>
      <c r="DTJ11" s="114"/>
      <c r="DTK11" s="114"/>
      <c r="DTL11" s="114"/>
      <c r="DTM11" s="114"/>
      <c r="DTN11" s="114"/>
      <c r="DTO11" s="114"/>
      <c r="DTP11" s="114"/>
      <c r="DTQ11" s="114"/>
      <c r="DTR11" s="114"/>
      <c r="DTS11" s="114"/>
      <c r="DTT11" s="114"/>
      <c r="DTU11" s="114"/>
      <c r="DTV11" s="114"/>
      <c r="DTW11" s="114"/>
      <c r="DTX11" s="114"/>
      <c r="DTY11" s="114"/>
      <c r="DTZ11" s="114"/>
      <c r="DUA11" s="114"/>
      <c r="DUB11" s="114"/>
      <c r="DUC11" s="114"/>
      <c r="DUD11" s="114"/>
      <c r="DUE11" s="114"/>
      <c r="DUF11" s="114"/>
      <c r="DUG11" s="114"/>
      <c r="DUH11" s="114"/>
      <c r="DUI11" s="114"/>
      <c r="DUJ11" s="114"/>
      <c r="DUK11" s="114"/>
      <c r="DUL11" s="114"/>
      <c r="DUM11" s="114"/>
      <c r="DUN11" s="114"/>
      <c r="DUO11" s="114"/>
      <c r="DUP11" s="114"/>
      <c r="DUQ11" s="114"/>
      <c r="DUR11" s="114"/>
      <c r="DUS11" s="114"/>
      <c r="DUT11" s="114"/>
      <c r="DUU11" s="114"/>
      <c r="DUV11" s="114"/>
      <c r="DUW11" s="114"/>
      <c r="DUX11" s="114"/>
      <c r="DUY11" s="114"/>
      <c r="DUZ11" s="114"/>
      <c r="DVA11" s="114"/>
      <c r="DVB11" s="114"/>
      <c r="DVC11" s="114"/>
      <c r="DVD11" s="114"/>
      <c r="DVE11" s="114"/>
      <c r="DVF11" s="114"/>
      <c r="DVG11" s="114"/>
      <c r="DVH11" s="114"/>
      <c r="DVI11" s="114"/>
      <c r="DVJ11" s="114"/>
      <c r="DVK11" s="114"/>
      <c r="DVL11" s="114"/>
      <c r="DVM11" s="114"/>
      <c r="DVN11" s="114"/>
      <c r="DVO11" s="114"/>
      <c r="DVP11" s="114"/>
      <c r="DVQ11" s="114"/>
      <c r="DVR11" s="114"/>
      <c r="DVS11" s="114"/>
      <c r="DVT11" s="114"/>
      <c r="DVU11" s="114"/>
      <c r="DVV11" s="114"/>
      <c r="DVW11" s="114"/>
      <c r="DVX11" s="114"/>
      <c r="DVY11" s="114"/>
      <c r="DVZ11" s="114"/>
      <c r="DWA11" s="114"/>
      <c r="DWB11" s="114"/>
      <c r="DWC11" s="114"/>
      <c r="DWD11" s="114"/>
      <c r="DWE11" s="114"/>
      <c r="DWF11" s="114"/>
      <c r="DWG11" s="114"/>
      <c r="DWH11" s="114"/>
      <c r="DWI11" s="114"/>
      <c r="DWJ11" s="114"/>
      <c r="DWK11" s="114"/>
      <c r="DWL11" s="114"/>
      <c r="DWM11" s="114"/>
      <c r="DWN11" s="114"/>
      <c r="DWO11" s="114"/>
      <c r="DWP11" s="114"/>
      <c r="DWQ11" s="114"/>
      <c r="DWR11" s="114"/>
      <c r="DWS11" s="114"/>
      <c r="DWT11" s="114"/>
      <c r="DWU11" s="114"/>
      <c r="DWV11" s="114"/>
      <c r="DWW11" s="114"/>
      <c r="DWX11" s="114"/>
      <c r="DWY11" s="114"/>
      <c r="DWZ11" s="114"/>
      <c r="DXA11" s="114"/>
      <c r="DXB11" s="114"/>
      <c r="DXC11" s="114"/>
      <c r="DXD11" s="114"/>
      <c r="DXE11" s="114"/>
      <c r="DXF11" s="114"/>
      <c r="DXG11" s="114"/>
      <c r="DXH11" s="114"/>
      <c r="DXI11" s="114"/>
      <c r="DXJ11" s="114"/>
      <c r="DXK11" s="114"/>
      <c r="DXL11" s="114"/>
      <c r="DXM11" s="114"/>
      <c r="DXN11" s="114"/>
      <c r="DXO11" s="114"/>
      <c r="DXP11" s="114"/>
      <c r="DXQ11" s="114"/>
      <c r="DXR11" s="114"/>
      <c r="DXS11" s="114"/>
      <c r="DXT11" s="114"/>
      <c r="DXU11" s="114"/>
      <c r="DXV11" s="114"/>
      <c r="DXW11" s="114"/>
      <c r="DXX11" s="114"/>
      <c r="DXY11" s="114"/>
      <c r="DXZ11" s="114"/>
      <c r="DYA11" s="114"/>
      <c r="DYB11" s="114"/>
      <c r="DYC11" s="114"/>
      <c r="DYD11" s="114"/>
      <c r="DYE11" s="114"/>
      <c r="DYF11" s="114"/>
      <c r="DYG11" s="114"/>
      <c r="DYH11" s="114"/>
      <c r="DYI11" s="114"/>
      <c r="DYJ11" s="114"/>
      <c r="DYK11" s="114"/>
      <c r="DYL11" s="114"/>
      <c r="DYM11" s="114"/>
      <c r="DYN11" s="114"/>
      <c r="DYO11" s="114"/>
      <c r="DYP11" s="114"/>
      <c r="DYQ11" s="114"/>
      <c r="DYR11" s="114"/>
      <c r="DYS11" s="114"/>
      <c r="DYT11" s="114"/>
      <c r="DYU11" s="114"/>
      <c r="DYV11" s="114"/>
      <c r="DYW11" s="114"/>
      <c r="DYX11" s="114"/>
      <c r="DYY11" s="114"/>
      <c r="DYZ11" s="114"/>
      <c r="DZA11" s="114"/>
      <c r="DZB11" s="114"/>
      <c r="DZC11" s="114"/>
      <c r="DZD11" s="114"/>
      <c r="DZE11" s="114"/>
      <c r="DZF11" s="114"/>
      <c r="DZG11" s="114"/>
      <c r="DZH11" s="114"/>
      <c r="DZI11" s="114"/>
      <c r="DZJ11" s="114"/>
      <c r="DZK11" s="114"/>
      <c r="DZL11" s="114"/>
      <c r="DZM11" s="114"/>
      <c r="DZN11" s="114"/>
      <c r="DZO11" s="114"/>
      <c r="DZP11" s="114"/>
      <c r="DZQ11" s="114"/>
      <c r="DZR11" s="114"/>
      <c r="DZS11" s="114"/>
      <c r="DZT11" s="114"/>
      <c r="DZU11" s="114"/>
      <c r="DZV11" s="114"/>
      <c r="DZW11" s="114"/>
      <c r="DZX11" s="114"/>
      <c r="DZY11" s="114"/>
      <c r="DZZ11" s="114"/>
      <c r="EAA11" s="114"/>
      <c r="EAB11" s="114"/>
      <c r="EAC11" s="114"/>
      <c r="EAD11" s="114"/>
      <c r="EAE11" s="114"/>
      <c r="EAF11" s="114"/>
      <c r="EAG11" s="114"/>
      <c r="EAH11" s="114"/>
      <c r="EAI11" s="114"/>
      <c r="EAJ11" s="114"/>
      <c r="EAK11" s="114"/>
      <c r="EAL11" s="114"/>
      <c r="EAM11" s="114"/>
      <c r="EAN11" s="114"/>
      <c r="EAO11" s="114"/>
      <c r="EAP11" s="114"/>
      <c r="EAQ11" s="114"/>
      <c r="EAR11" s="114"/>
      <c r="EAS11" s="114"/>
      <c r="EAT11" s="114"/>
      <c r="EAU11" s="114"/>
      <c r="EAV11" s="114"/>
      <c r="EAW11" s="114"/>
      <c r="EAX11" s="114"/>
      <c r="EAY11" s="114"/>
      <c r="EAZ11" s="114"/>
      <c r="EBA11" s="114"/>
      <c r="EBB11" s="114"/>
      <c r="EBC11" s="114"/>
      <c r="EBD11" s="114"/>
      <c r="EBE11" s="114"/>
      <c r="EBF11" s="114"/>
      <c r="EBG11" s="114"/>
      <c r="EBH11" s="114"/>
      <c r="EBI11" s="114"/>
      <c r="EBJ11" s="114"/>
      <c r="EBK11" s="114"/>
      <c r="EBL11" s="114"/>
      <c r="EBM11" s="114"/>
      <c r="EBN11" s="114"/>
      <c r="EBO11" s="114"/>
      <c r="EBP11" s="114"/>
      <c r="EBQ11" s="114"/>
      <c r="EBR11" s="114"/>
      <c r="EBS11" s="114"/>
      <c r="EBT11" s="114"/>
      <c r="EBU11" s="114"/>
      <c r="EBV11" s="114"/>
      <c r="EBW11" s="114"/>
      <c r="EBX11" s="114"/>
      <c r="EBY11" s="114"/>
      <c r="EBZ11" s="114"/>
      <c r="ECA11" s="114"/>
      <c r="ECB11" s="114"/>
      <c r="ECC11" s="114"/>
      <c r="ECD11" s="114"/>
      <c r="ECE11" s="114"/>
      <c r="ECF11" s="114"/>
      <c r="ECG11" s="114"/>
      <c r="ECH11" s="114"/>
      <c r="ECI11" s="114"/>
      <c r="ECJ11" s="114"/>
      <c r="ECK11" s="114"/>
      <c r="ECL11" s="114"/>
      <c r="ECM11" s="114"/>
      <c r="ECN11" s="114"/>
      <c r="ECO11" s="114"/>
      <c r="ECP11" s="114"/>
      <c r="ECQ11" s="114"/>
      <c r="ECR11" s="114"/>
      <c r="ECS11" s="114"/>
      <c r="ECT11" s="114"/>
      <c r="ECU11" s="114"/>
      <c r="ECV11" s="114"/>
      <c r="ECW11" s="114"/>
      <c r="ECX11" s="114"/>
      <c r="ECY11" s="114"/>
      <c r="ECZ11" s="114"/>
      <c r="EDA11" s="114"/>
      <c r="EDB11" s="114"/>
      <c r="EDC11" s="114"/>
      <c r="EDD11" s="114"/>
      <c r="EDE11" s="114"/>
      <c r="EDF11" s="114"/>
      <c r="EDG11" s="114"/>
      <c r="EDH11" s="114"/>
      <c r="EDI11" s="114"/>
      <c r="EDJ11" s="114"/>
      <c r="EDK11" s="114"/>
      <c r="EDL11" s="114"/>
      <c r="EDM11" s="114"/>
      <c r="EDN11" s="114"/>
      <c r="EDO11" s="114"/>
      <c r="EDP11" s="114"/>
      <c r="EDQ11" s="114"/>
      <c r="EDR11" s="114"/>
      <c r="EDS11" s="114"/>
      <c r="EDT11" s="114"/>
      <c r="EDU11" s="114"/>
      <c r="EDV11" s="114"/>
      <c r="EDW11" s="114"/>
      <c r="EDX11" s="114"/>
      <c r="EDY11" s="114"/>
      <c r="EDZ11" s="114"/>
      <c r="EEA11" s="114"/>
      <c r="EEB11" s="114"/>
      <c r="EEC11" s="114"/>
      <c r="EED11" s="114"/>
      <c r="EEE11" s="114"/>
      <c r="EEF11" s="114"/>
      <c r="EEG11" s="114"/>
      <c r="EEH11" s="114"/>
      <c r="EEI11" s="114"/>
      <c r="EEJ11" s="114"/>
      <c r="EEK11" s="114"/>
      <c r="EEL11" s="114"/>
      <c r="EEM11" s="114"/>
      <c r="EEN11" s="114"/>
      <c r="EEO11" s="114"/>
      <c r="EEP11" s="114"/>
      <c r="EEQ11" s="114"/>
      <c r="EER11" s="114"/>
      <c r="EES11" s="114"/>
      <c r="EET11" s="114"/>
      <c r="EEU11" s="114"/>
      <c r="EEV11" s="114"/>
      <c r="EEW11" s="114"/>
      <c r="EEX11" s="114"/>
      <c r="EEY11" s="114"/>
      <c r="EEZ11" s="114"/>
      <c r="EFA11" s="114"/>
      <c r="EFB11" s="114"/>
      <c r="EFC11" s="114"/>
      <c r="EFD11" s="114"/>
      <c r="EFE11" s="114"/>
      <c r="EFF11" s="114"/>
      <c r="EFG11" s="114"/>
      <c r="EFH11" s="114"/>
      <c r="EFI11" s="114"/>
      <c r="EFJ11" s="114"/>
      <c r="EFK11" s="114"/>
      <c r="EFL11" s="114"/>
      <c r="EFM11" s="114"/>
      <c r="EFN11" s="114"/>
      <c r="EFO11" s="114"/>
      <c r="EFP11" s="114"/>
      <c r="EFQ11" s="114"/>
      <c r="EFR11" s="114"/>
      <c r="EFS11" s="114"/>
      <c r="EFT11" s="114"/>
      <c r="EFU11" s="114"/>
      <c r="EFV11" s="114"/>
      <c r="EFW11" s="114"/>
      <c r="EFX11" s="114"/>
      <c r="EFY11" s="114"/>
      <c r="EFZ11" s="114"/>
      <c r="EGA11" s="114"/>
      <c r="EGB11" s="114"/>
      <c r="EGC11" s="114"/>
      <c r="EGD11" s="114"/>
      <c r="EGE11" s="114"/>
      <c r="EGF11" s="114"/>
      <c r="EGG11" s="114"/>
      <c r="EGH11" s="114"/>
      <c r="EGI11" s="114"/>
      <c r="EGJ11" s="114"/>
      <c r="EGK11" s="114"/>
      <c r="EGL11" s="114"/>
      <c r="EGM11" s="114"/>
      <c r="EGN11" s="114"/>
      <c r="EGO11" s="114"/>
      <c r="EGP11" s="114"/>
      <c r="EGQ11" s="114"/>
      <c r="EGR11" s="114"/>
      <c r="EGS11" s="114"/>
      <c r="EGT11" s="114"/>
      <c r="EGU11" s="114"/>
      <c r="EGV11" s="114"/>
      <c r="EGW11" s="114"/>
      <c r="EGX11" s="114"/>
      <c r="EGY11" s="114"/>
      <c r="EGZ11" s="114"/>
      <c r="EHA11" s="114"/>
      <c r="EHB11" s="114"/>
      <c r="EHC11" s="114"/>
      <c r="EHD11" s="114"/>
      <c r="EHE11" s="114"/>
      <c r="EHF11" s="114"/>
      <c r="EHG11" s="114"/>
      <c r="EHH11" s="114"/>
      <c r="EHI11" s="114"/>
      <c r="EHJ11" s="114"/>
      <c r="EHK11" s="114"/>
      <c r="EHL11" s="114"/>
      <c r="EHM11" s="114"/>
      <c r="EHN11" s="114"/>
      <c r="EHO11" s="114"/>
      <c r="EHP11" s="114"/>
      <c r="EHQ11" s="114"/>
      <c r="EHR11" s="114"/>
      <c r="EHS11" s="114"/>
      <c r="EHT11" s="114"/>
      <c r="EHU11" s="114"/>
      <c r="EHV11" s="114"/>
      <c r="EHW11" s="114"/>
      <c r="EHX11" s="114"/>
      <c r="EHY11" s="114"/>
      <c r="EHZ11" s="114"/>
      <c r="EIA11" s="114"/>
      <c r="EIB11" s="114"/>
      <c r="EIC11" s="114"/>
      <c r="EID11" s="114"/>
      <c r="EIE11" s="114"/>
      <c r="EIF11" s="114"/>
      <c r="EIG11" s="114"/>
      <c r="EIH11" s="114"/>
      <c r="EII11" s="114"/>
      <c r="EIJ11" s="114"/>
      <c r="EIK11" s="114"/>
      <c r="EIL11" s="114"/>
      <c r="EIM11" s="114"/>
      <c r="EIN11" s="114"/>
      <c r="EIO11" s="114"/>
      <c r="EIP11" s="114"/>
      <c r="EIQ11" s="114"/>
      <c r="EIR11" s="114"/>
      <c r="EIS11" s="114"/>
      <c r="EIT11" s="114"/>
      <c r="EIU11" s="114"/>
      <c r="EIV11" s="114"/>
      <c r="EIW11" s="114"/>
      <c r="EIX11" s="114"/>
      <c r="EIY11" s="114"/>
      <c r="EIZ11" s="114"/>
      <c r="EJA11" s="114"/>
      <c r="EJB11" s="114"/>
      <c r="EJC11" s="114"/>
      <c r="EJD11" s="114"/>
      <c r="EJE11" s="114"/>
      <c r="EJF11" s="114"/>
      <c r="EJG11" s="114"/>
      <c r="EJH11" s="114"/>
      <c r="EJI11" s="114"/>
      <c r="EJJ11" s="114"/>
      <c r="EJK11" s="114"/>
      <c r="EJL11" s="114"/>
      <c r="EJM11" s="114"/>
      <c r="EJN11" s="114"/>
      <c r="EJO11" s="114"/>
      <c r="EJP11" s="114"/>
      <c r="EJQ11" s="114"/>
      <c r="EJR11" s="114"/>
      <c r="EJS11" s="114"/>
      <c r="EJT11" s="114"/>
      <c r="EJU11" s="114"/>
      <c r="EJV11" s="114"/>
      <c r="EJW11" s="114"/>
      <c r="EJX11" s="114"/>
      <c r="EJY11" s="114"/>
      <c r="EJZ11" s="114"/>
      <c r="EKA11" s="114"/>
      <c r="EKB11" s="114"/>
      <c r="EKC11" s="114"/>
      <c r="EKD11" s="114"/>
      <c r="EKE11" s="114"/>
      <c r="EKF11" s="114"/>
      <c r="EKG11" s="114"/>
      <c r="EKH11" s="114"/>
      <c r="EKI11" s="114"/>
      <c r="EKJ11" s="114"/>
      <c r="EKK11" s="114"/>
      <c r="EKL11" s="114"/>
      <c r="EKM11" s="114"/>
      <c r="EKN11" s="114"/>
      <c r="EKO11" s="114"/>
      <c r="EKP11" s="114"/>
      <c r="EKQ11" s="114"/>
      <c r="EKR11" s="114"/>
      <c r="EKS11" s="114"/>
      <c r="EKT11" s="114"/>
      <c r="EKU11" s="114"/>
      <c r="EKV11" s="114"/>
      <c r="EKW11" s="114"/>
      <c r="EKX11" s="114"/>
      <c r="EKY11" s="114"/>
      <c r="EKZ11" s="114"/>
      <c r="ELA11" s="114"/>
      <c r="ELB11" s="114"/>
      <c r="ELC11" s="114"/>
      <c r="ELD11" s="114"/>
      <c r="ELE11" s="114"/>
      <c r="ELF11" s="114"/>
      <c r="ELG11" s="114"/>
      <c r="ELH11" s="114"/>
      <c r="ELI11" s="114"/>
      <c r="ELJ11" s="114"/>
      <c r="ELK11" s="114"/>
      <c r="ELL11" s="114"/>
      <c r="ELM11" s="114"/>
      <c r="ELN11" s="114"/>
      <c r="ELO11" s="114"/>
      <c r="ELP11" s="114"/>
      <c r="ELQ11" s="114"/>
      <c r="ELR11" s="114"/>
      <c r="ELS11" s="114"/>
      <c r="ELT11" s="114"/>
      <c r="ELU11" s="114"/>
      <c r="ELV11" s="114"/>
      <c r="ELW11" s="114"/>
      <c r="ELX11" s="114"/>
      <c r="ELY11" s="114"/>
      <c r="ELZ11" s="114"/>
      <c r="EMA11" s="114"/>
      <c r="EMB11" s="114"/>
      <c r="EMC11" s="114"/>
      <c r="EMD11" s="114"/>
      <c r="EME11" s="114"/>
      <c r="EMF11" s="114"/>
      <c r="EMG11" s="114"/>
      <c r="EMH11" s="114"/>
      <c r="EMI11" s="114"/>
      <c r="EMJ11" s="114"/>
      <c r="EMK11" s="114"/>
      <c r="EML11" s="114"/>
      <c r="EMM11" s="114"/>
      <c r="EMN11" s="114"/>
      <c r="EMO11" s="114"/>
      <c r="EMP11" s="114"/>
      <c r="EMQ11" s="114"/>
      <c r="EMR11" s="114"/>
      <c r="EMS11" s="114"/>
      <c r="EMT11" s="114"/>
      <c r="EMU11" s="114"/>
      <c r="EMV11" s="114"/>
      <c r="EMW11" s="114"/>
      <c r="EMX11" s="114"/>
      <c r="EMY11" s="114"/>
      <c r="EMZ11" s="114"/>
      <c r="ENA11" s="114"/>
      <c r="ENB11" s="114"/>
      <c r="ENC11" s="114"/>
      <c r="END11" s="114"/>
      <c r="ENE11" s="114"/>
      <c r="ENF11" s="114"/>
      <c r="ENG11" s="114"/>
      <c r="ENH11" s="114"/>
      <c r="ENI11" s="114"/>
      <c r="ENJ11" s="114"/>
      <c r="ENK11" s="114"/>
      <c r="ENL11" s="114"/>
      <c r="ENM11" s="114"/>
      <c r="ENN11" s="114"/>
      <c r="ENO11" s="114"/>
      <c r="ENP11" s="114"/>
      <c r="ENQ11" s="114"/>
      <c r="ENR11" s="114"/>
      <c r="ENS11" s="114"/>
      <c r="ENT11" s="114"/>
      <c r="ENU11" s="114"/>
      <c r="ENV11" s="114"/>
      <c r="ENW11" s="114"/>
      <c r="ENX11" s="114"/>
      <c r="ENY11" s="114"/>
      <c r="ENZ11" s="114"/>
      <c r="EOA11" s="114"/>
      <c r="EOB11" s="114"/>
      <c r="EOC11" s="114"/>
      <c r="EOD11" s="114"/>
      <c r="EOE11" s="114"/>
      <c r="EOF11" s="114"/>
      <c r="EOG11" s="114"/>
      <c r="EOH11" s="114"/>
      <c r="EOI11" s="114"/>
      <c r="EOJ11" s="114"/>
      <c r="EOK11" s="114"/>
      <c r="EOL11" s="114"/>
      <c r="EOM11" s="114"/>
      <c r="EON11" s="114"/>
      <c r="EOO11" s="114"/>
      <c r="EOP11" s="114"/>
      <c r="EOQ11" s="114"/>
      <c r="EOR11" s="114"/>
      <c r="EOS11" s="114"/>
      <c r="EOT11" s="114"/>
      <c r="EOU11" s="114"/>
      <c r="EOV11" s="114"/>
      <c r="EOW11" s="114"/>
      <c r="EOX11" s="114"/>
      <c r="EOY11" s="114"/>
      <c r="EOZ11" s="114"/>
      <c r="EPA11" s="114"/>
      <c r="EPB11" s="114"/>
      <c r="EPC11" s="114"/>
      <c r="EPD11" s="114"/>
      <c r="EPE11" s="114"/>
      <c r="EPF11" s="114"/>
      <c r="EPG11" s="114"/>
      <c r="EPH11" s="114"/>
      <c r="EPI11" s="114"/>
      <c r="EPJ11" s="114"/>
      <c r="EPK11" s="114"/>
      <c r="EPL11" s="114"/>
      <c r="EPM11" s="114"/>
      <c r="EPN11" s="114"/>
      <c r="EPO11" s="114"/>
      <c r="EPP11" s="114"/>
      <c r="EPQ11" s="114"/>
      <c r="EPR11" s="114"/>
      <c r="EPS11" s="114"/>
      <c r="EPT11" s="114"/>
      <c r="EPU11" s="114"/>
      <c r="EPV11" s="114"/>
      <c r="EPW11" s="114"/>
      <c r="EPX11" s="114"/>
      <c r="EPY11" s="114"/>
      <c r="EPZ11" s="114"/>
      <c r="EQA11" s="114"/>
      <c r="EQB11" s="114"/>
      <c r="EQC11" s="114"/>
      <c r="EQD11" s="114"/>
      <c r="EQE11" s="114"/>
      <c r="EQF11" s="114"/>
      <c r="EQG11" s="114"/>
      <c r="EQH11" s="114"/>
      <c r="EQI11" s="114"/>
      <c r="EQJ11" s="114"/>
      <c r="EQK11" s="114"/>
      <c r="EQL11" s="114"/>
      <c r="EQM11" s="114"/>
      <c r="EQN11" s="114"/>
      <c r="EQO11" s="114"/>
      <c r="EQP11" s="114"/>
      <c r="EQQ11" s="114"/>
      <c r="EQR11" s="114"/>
      <c r="EQS11" s="114"/>
      <c r="EQT11" s="114"/>
      <c r="EQU11" s="114"/>
      <c r="EQV11" s="114"/>
      <c r="EQW11" s="114"/>
      <c r="EQX11" s="114"/>
      <c r="EQY11" s="114"/>
      <c r="EQZ11" s="114"/>
      <c r="ERA11" s="114"/>
      <c r="ERB11" s="114"/>
      <c r="ERC11" s="114"/>
      <c r="ERD11" s="114"/>
      <c r="ERE11" s="114"/>
      <c r="ERF11" s="114"/>
      <c r="ERG11" s="114"/>
      <c r="ERH11" s="114"/>
      <c r="ERI11" s="114"/>
      <c r="ERJ11" s="114"/>
      <c r="ERK11" s="114"/>
      <c r="ERL11" s="114"/>
      <c r="ERM11" s="114"/>
      <c r="ERN11" s="114"/>
      <c r="ERO11" s="114"/>
      <c r="ERP11" s="114"/>
      <c r="ERQ11" s="114"/>
      <c r="ERR11" s="114"/>
      <c r="ERS11" s="114"/>
      <c r="ERT11" s="114"/>
      <c r="ERU11" s="114"/>
      <c r="ERV11" s="114"/>
      <c r="ERW11" s="114"/>
      <c r="ERX11" s="114"/>
      <c r="ERY11" s="114"/>
      <c r="ERZ11" s="114"/>
      <c r="ESA11" s="114"/>
      <c r="ESB11" s="114"/>
      <c r="ESC11" s="114"/>
      <c r="ESD11" s="114"/>
      <c r="ESE11" s="114"/>
      <c r="ESF11" s="114"/>
      <c r="ESG11" s="114"/>
      <c r="ESH11" s="114"/>
      <c r="ESI11" s="114"/>
      <c r="ESJ11" s="114"/>
      <c r="ESK11" s="114"/>
      <c r="ESL11" s="114"/>
      <c r="ESM11" s="114"/>
      <c r="ESN11" s="114"/>
      <c r="ESO11" s="114"/>
      <c r="ESP11" s="114"/>
      <c r="ESQ11" s="114"/>
      <c r="ESR11" s="114"/>
      <c r="ESS11" s="114"/>
      <c r="EST11" s="114"/>
      <c r="ESU11" s="114"/>
      <c r="ESV11" s="114"/>
      <c r="ESW11" s="114"/>
      <c r="ESX11" s="114"/>
      <c r="ESY11" s="114"/>
      <c r="ESZ11" s="114"/>
      <c r="ETA11" s="114"/>
      <c r="ETB11" s="114"/>
      <c r="ETC11" s="114"/>
      <c r="ETD11" s="114"/>
      <c r="ETE11" s="114"/>
      <c r="ETF11" s="114"/>
      <c r="ETG11" s="114"/>
      <c r="ETH11" s="114"/>
      <c r="ETI11" s="114"/>
      <c r="ETJ11" s="114"/>
      <c r="ETK11" s="114"/>
      <c r="ETL11" s="114"/>
      <c r="ETM11" s="114"/>
      <c r="ETN11" s="114"/>
      <c r="ETO11" s="114"/>
      <c r="ETP11" s="114"/>
      <c r="ETQ11" s="114"/>
      <c r="ETR11" s="114"/>
      <c r="ETS11" s="114"/>
      <c r="ETT11" s="114"/>
      <c r="ETU11" s="114"/>
      <c r="ETV11" s="114"/>
      <c r="ETW11" s="114"/>
      <c r="ETX11" s="114"/>
      <c r="ETY11" s="114"/>
      <c r="ETZ11" s="114"/>
      <c r="EUA11" s="114"/>
      <c r="EUB11" s="114"/>
      <c r="EUC11" s="114"/>
      <c r="EUD11" s="114"/>
      <c r="EUE11" s="114"/>
      <c r="EUF11" s="114"/>
      <c r="EUG11" s="114"/>
      <c r="EUH11" s="114"/>
      <c r="EUI11" s="114"/>
      <c r="EUJ11" s="114"/>
      <c r="EUK11" s="114"/>
      <c r="EUL11" s="114"/>
      <c r="EUM11" s="114"/>
      <c r="EUN11" s="114"/>
      <c r="EUO11" s="114"/>
      <c r="EUP11" s="114"/>
      <c r="EUQ11" s="114"/>
      <c r="EUR11" s="114"/>
      <c r="EUS11" s="114"/>
      <c r="EUT11" s="114"/>
      <c r="EUU11" s="114"/>
      <c r="EUV11" s="114"/>
      <c r="EUW11" s="114"/>
      <c r="EUX11" s="114"/>
      <c r="EUY11" s="114"/>
      <c r="EUZ11" s="114"/>
      <c r="EVA11" s="114"/>
      <c r="EVB11" s="114"/>
      <c r="EVC11" s="114"/>
      <c r="EVD11" s="114"/>
      <c r="EVE11" s="114"/>
      <c r="EVF11" s="114"/>
      <c r="EVG11" s="114"/>
      <c r="EVH11" s="114"/>
      <c r="EVI11" s="114"/>
      <c r="EVJ11" s="114"/>
      <c r="EVK11" s="114"/>
      <c r="EVL11" s="114"/>
      <c r="EVM11" s="114"/>
      <c r="EVN11" s="114"/>
      <c r="EVO11" s="114"/>
      <c r="EVP11" s="114"/>
      <c r="EVQ11" s="114"/>
      <c r="EVR11" s="114"/>
      <c r="EVS11" s="114"/>
      <c r="EVT11" s="114"/>
      <c r="EVU11" s="114"/>
      <c r="EVV11" s="114"/>
      <c r="EVW11" s="114"/>
      <c r="EVX11" s="114"/>
      <c r="EVY11" s="114"/>
      <c r="EVZ11" s="114"/>
      <c r="EWA11" s="114"/>
      <c r="EWB11" s="114"/>
      <c r="EWC11" s="114"/>
      <c r="EWD11" s="114"/>
      <c r="EWE11" s="114"/>
      <c r="EWF11" s="114"/>
      <c r="EWG11" s="114"/>
      <c r="EWH11" s="114"/>
      <c r="EWI11" s="114"/>
      <c r="EWJ11" s="114"/>
      <c r="EWK11" s="114"/>
      <c r="EWL11" s="114"/>
      <c r="EWM11" s="114"/>
      <c r="EWN11" s="114"/>
      <c r="EWO11" s="114"/>
      <c r="EWP11" s="114"/>
      <c r="EWQ11" s="114"/>
      <c r="EWR11" s="114"/>
      <c r="EWS11" s="114"/>
      <c r="EWT11" s="114"/>
      <c r="EWU11" s="114"/>
      <c r="EWV11" s="114"/>
      <c r="EWW11" s="114"/>
      <c r="EWX11" s="114"/>
      <c r="EWY11" s="114"/>
      <c r="EWZ11" s="114"/>
      <c r="EXA11" s="114"/>
      <c r="EXB11" s="114"/>
      <c r="EXC11" s="114"/>
      <c r="EXD11" s="114"/>
      <c r="EXE11" s="114"/>
      <c r="EXF11" s="114"/>
      <c r="EXG11" s="114"/>
      <c r="EXH11" s="114"/>
      <c r="EXI11" s="114"/>
      <c r="EXJ11" s="114"/>
      <c r="EXK11" s="114"/>
      <c r="EXL11" s="114"/>
      <c r="EXM11" s="114"/>
      <c r="EXN11" s="114"/>
      <c r="EXO11" s="114"/>
      <c r="EXP11" s="114"/>
      <c r="EXQ11" s="114"/>
      <c r="EXR11" s="114"/>
      <c r="EXS11" s="114"/>
      <c r="EXT11" s="114"/>
      <c r="EXU11" s="114"/>
      <c r="EXV11" s="114"/>
      <c r="EXW11" s="114"/>
      <c r="EXX11" s="114"/>
      <c r="EXY11" s="114"/>
      <c r="EXZ11" s="114"/>
      <c r="EYA11" s="114"/>
      <c r="EYB11" s="114"/>
      <c r="EYC11" s="114"/>
      <c r="EYD11" s="114"/>
      <c r="EYE11" s="114"/>
      <c r="EYF11" s="114"/>
      <c r="EYG11" s="114"/>
      <c r="EYH11" s="114"/>
      <c r="EYI11" s="114"/>
      <c r="EYJ11" s="114"/>
      <c r="EYK11" s="114"/>
      <c r="EYL11" s="114"/>
      <c r="EYM11" s="114"/>
      <c r="EYN11" s="114"/>
      <c r="EYO11" s="114"/>
      <c r="EYP11" s="114"/>
      <c r="EYQ11" s="114"/>
      <c r="EYR11" s="114"/>
      <c r="EYS11" s="114"/>
      <c r="EYT11" s="114"/>
      <c r="EYU11" s="114"/>
      <c r="EYV11" s="114"/>
      <c r="EYW11" s="114"/>
      <c r="EYX11" s="114"/>
      <c r="EYY11" s="114"/>
      <c r="EYZ11" s="114"/>
      <c r="EZA11" s="114"/>
      <c r="EZB11" s="114"/>
      <c r="EZC11" s="114"/>
      <c r="EZD11" s="114"/>
      <c r="EZE11" s="114"/>
      <c r="EZF11" s="114"/>
      <c r="EZG11" s="114"/>
      <c r="EZH11" s="114"/>
      <c r="EZI11" s="114"/>
      <c r="EZJ11" s="114"/>
      <c r="EZK11" s="114"/>
      <c r="EZL11" s="114"/>
      <c r="EZM11" s="114"/>
      <c r="EZN11" s="114"/>
      <c r="EZO11" s="114"/>
      <c r="EZP11" s="114"/>
      <c r="EZQ11" s="114"/>
      <c r="EZR11" s="114"/>
      <c r="EZS11" s="114"/>
      <c r="EZT11" s="114"/>
      <c r="EZU11" s="114"/>
      <c r="EZV11" s="114"/>
      <c r="EZW11" s="114"/>
      <c r="EZX11" s="114"/>
      <c r="EZY11" s="114"/>
      <c r="EZZ11" s="114"/>
      <c r="FAA11" s="114"/>
      <c r="FAB11" s="114"/>
      <c r="FAC11" s="114"/>
      <c r="FAD11" s="114"/>
      <c r="FAE11" s="114"/>
      <c r="FAF11" s="114"/>
      <c r="FAG11" s="114"/>
      <c r="FAH11" s="114"/>
      <c r="FAI11" s="114"/>
      <c r="FAJ11" s="114"/>
      <c r="FAK11" s="114"/>
      <c r="FAL11" s="114"/>
      <c r="FAM11" s="114"/>
      <c r="FAN11" s="114"/>
      <c r="FAO11" s="114"/>
      <c r="FAP11" s="114"/>
      <c r="FAQ11" s="114"/>
      <c r="FAR11" s="114"/>
      <c r="FAS11" s="114"/>
      <c r="FAT11" s="114"/>
      <c r="FAU11" s="114"/>
      <c r="FAV11" s="114"/>
      <c r="FAW11" s="114"/>
      <c r="FAX11" s="114"/>
      <c r="FAY11" s="114"/>
      <c r="FAZ11" s="114"/>
      <c r="FBA11" s="114"/>
      <c r="FBB11" s="114"/>
      <c r="FBC11" s="114"/>
      <c r="FBD11" s="114"/>
      <c r="FBE11" s="114"/>
      <c r="FBF11" s="114"/>
      <c r="FBG11" s="114"/>
      <c r="FBH11" s="114"/>
      <c r="FBI11" s="114"/>
      <c r="FBJ11" s="114"/>
      <c r="FBK11" s="114"/>
      <c r="FBL11" s="114"/>
      <c r="FBM11" s="114"/>
      <c r="FBN11" s="114"/>
      <c r="FBO11" s="114"/>
      <c r="FBP11" s="114"/>
      <c r="FBQ11" s="114"/>
      <c r="FBR11" s="114"/>
      <c r="FBS11" s="114"/>
      <c r="FBT11" s="114"/>
      <c r="FBU11" s="114"/>
      <c r="FBV11" s="114"/>
      <c r="FBW11" s="114"/>
      <c r="FBX11" s="114"/>
      <c r="FBY11" s="114"/>
      <c r="FBZ11" s="114"/>
      <c r="FCA11" s="114"/>
      <c r="FCB11" s="114"/>
      <c r="FCC11" s="114"/>
      <c r="FCD11" s="114"/>
      <c r="FCE11" s="114"/>
      <c r="FCF11" s="114"/>
      <c r="FCG11" s="114"/>
      <c r="FCH11" s="114"/>
      <c r="FCI11" s="114"/>
      <c r="FCJ11" s="114"/>
      <c r="FCK11" s="114"/>
      <c r="FCL11" s="114"/>
      <c r="FCM11" s="114"/>
      <c r="FCN11" s="114"/>
      <c r="FCO11" s="114"/>
      <c r="FCP11" s="114"/>
      <c r="FCQ11" s="114"/>
      <c r="FCR11" s="114"/>
      <c r="FCS11" s="114"/>
      <c r="FCT11" s="114"/>
      <c r="FCU11" s="114"/>
      <c r="FCV11" s="114"/>
      <c r="FCW11" s="114"/>
      <c r="FCX11" s="114"/>
      <c r="FCY11" s="114"/>
      <c r="FCZ11" s="114"/>
      <c r="FDA11" s="114"/>
      <c r="FDB11" s="114"/>
      <c r="FDC11" s="114"/>
      <c r="FDD11" s="114"/>
      <c r="FDE11" s="114"/>
      <c r="FDF11" s="114"/>
      <c r="FDG11" s="114"/>
      <c r="FDH11" s="114"/>
      <c r="FDI11" s="114"/>
      <c r="FDJ11" s="114"/>
      <c r="FDK11" s="114"/>
      <c r="FDL11" s="114"/>
      <c r="FDM11" s="114"/>
      <c r="FDN11" s="114"/>
      <c r="FDO11" s="114"/>
      <c r="FDP11" s="114"/>
      <c r="FDQ11" s="114"/>
      <c r="FDR11" s="114"/>
      <c r="FDS11" s="114"/>
      <c r="FDT11" s="114"/>
      <c r="FDU11" s="114"/>
      <c r="FDV11" s="114"/>
      <c r="FDW11" s="114"/>
      <c r="FDX11" s="114"/>
      <c r="FDY11" s="114"/>
      <c r="FDZ11" s="114"/>
      <c r="FEA11" s="114"/>
      <c r="FEB11" s="114"/>
      <c r="FEC11" s="114"/>
      <c r="FED11" s="114"/>
      <c r="FEE11" s="114"/>
      <c r="FEF11" s="114"/>
      <c r="FEG11" s="114"/>
      <c r="FEH11" s="114"/>
      <c r="FEI11" s="114"/>
      <c r="FEJ11" s="114"/>
      <c r="FEK11" s="114"/>
      <c r="FEL11" s="114"/>
      <c r="FEM11" s="114"/>
      <c r="FEN11" s="114"/>
      <c r="FEO11" s="114"/>
      <c r="FEP11" s="114"/>
      <c r="FEQ11" s="114"/>
      <c r="FER11" s="114"/>
      <c r="FES11" s="114"/>
      <c r="FET11" s="114"/>
      <c r="FEU11" s="114"/>
      <c r="FEV11" s="114"/>
      <c r="FEW11" s="114"/>
      <c r="FEX11" s="114"/>
      <c r="FEY11" s="114"/>
      <c r="FEZ11" s="114"/>
      <c r="FFA11" s="114"/>
      <c r="FFB11" s="114"/>
      <c r="FFC11" s="114"/>
      <c r="FFD11" s="114"/>
      <c r="FFE11" s="114"/>
      <c r="FFF11" s="114"/>
      <c r="FFG11" s="114"/>
      <c r="FFH11" s="114"/>
      <c r="FFI11" s="114"/>
      <c r="FFJ11" s="114"/>
      <c r="FFK11" s="114"/>
      <c r="FFL11" s="114"/>
      <c r="FFM11" s="114"/>
      <c r="FFN11" s="114"/>
      <c r="FFO11" s="114"/>
      <c r="FFP11" s="114"/>
      <c r="FFQ11" s="114"/>
      <c r="FFR11" s="114"/>
      <c r="FFS11" s="114"/>
      <c r="FFT11" s="114"/>
      <c r="FFU11" s="114"/>
      <c r="FFV11" s="114"/>
      <c r="FFW11" s="114"/>
      <c r="FFX11" s="114"/>
      <c r="FFY11" s="114"/>
      <c r="FFZ11" s="114"/>
      <c r="FGA11" s="114"/>
      <c r="FGB11" s="114"/>
      <c r="FGC11" s="114"/>
      <c r="FGD11" s="114"/>
      <c r="FGE11" s="114"/>
      <c r="FGF11" s="114"/>
      <c r="FGG11" s="114"/>
      <c r="FGH11" s="114"/>
      <c r="FGI11" s="114"/>
      <c r="FGJ11" s="114"/>
      <c r="FGK11" s="114"/>
      <c r="FGL11" s="114"/>
      <c r="FGM11" s="114"/>
      <c r="FGN11" s="114"/>
      <c r="FGO11" s="114"/>
      <c r="FGP11" s="114"/>
      <c r="FGQ11" s="114"/>
      <c r="FGR11" s="114"/>
      <c r="FGS11" s="114"/>
      <c r="FGT11" s="114"/>
      <c r="FGU11" s="114"/>
      <c r="FGV11" s="114"/>
      <c r="FGW11" s="114"/>
      <c r="FGX11" s="114"/>
      <c r="FGY11" s="114"/>
      <c r="FGZ11" s="114"/>
      <c r="FHA11" s="114"/>
      <c r="FHB11" s="114"/>
      <c r="FHC11" s="114"/>
      <c r="FHD11" s="114"/>
      <c r="FHE11" s="114"/>
      <c r="FHF11" s="114"/>
      <c r="FHG11" s="114"/>
      <c r="FHH11" s="114"/>
      <c r="FHI11" s="114"/>
      <c r="FHJ11" s="114"/>
      <c r="FHK11" s="114"/>
      <c r="FHL11" s="114"/>
      <c r="FHM11" s="114"/>
      <c r="FHN11" s="114"/>
      <c r="FHO11" s="114"/>
      <c r="FHP11" s="114"/>
      <c r="FHQ11" s="114"/>
      <c r="FHR11" s="114"/>
      <c r="FHS11" s="114"/>
      <c r="FHT11" s="114"/>
      <c r="FHU11" s="114"/>
      <c r="FHV11" s="114"/>
      <c r="FHW11" s="114"/>
      <c r="FHX11" s="114"/>
      <c r="FHY11" s="114"/>
      <c r="FHZ11" s="114"/>
      <c r="FIA11" s="114"/>
      <c r="FIB11" s="114"/>
      <c r="FIC11" s="114"/>
      <c r="FID11" s="114"/>
      <c r="FIE11" s="114"/>
      <c r="FIF11" s="114"/>
      <c r="FIG11" s="114"/>
      <c r="FIH11" s="114"/>
      <c r="FII11" s="114"/>
      <c r="FIJ11" s="114"/>
      <c r="FIK11" s="114"/>
      <c r="FIL11" s="114"/>
      <c r="FIM11" s="114"/>
      <c r="FIN11" s="114"/>
      <c r="FIO11" s="114"/>
      <c r="FIP11" s="114"/>
      <c r="FIQ11" s="114"/>
      <c r="FIR11" s="114"/>
      <c r="FIS11" s="114"/>
      <c r="FIT11" s="114"/>
      <c r="FIU11" s="114"/>
      <c r="FIV11" s="114"/>
      <c r="FIW11" s="114"/>
      <c r="FIX11" s="114"/>
      <c r="FIY11" s="114"/>
      <c r="FIZ11" s="114"/>
      <c r="FJA11" s="114"/>
      <c r="FJB11" s="114"/>
      <c r="FJC11" s="114"/>
      <c r="FJD11" s="114"/>
      <c r="FJE11" s="114"/>
      <c r="FJF11" s="114"/>
      <c r="FJG11" s="114"/>
      <c r="FJH11" s="114"/>
      <c r="FJI11" s="114"/>
      <c r="FJJ11" s="114"/>
      <c r="FJK11" s="114"/>
      <c r="FJL11" s="114"/>
      <c r="FJM11" s="114"/>
      <c r="FJN11" s="114"/>
      <c r="FJO11" s="114"/>
      <c r="FJP11" s="114"/>
      <c r="FJQ11" s="114"/>
      <c r="FJR11" s="114"/>
      <c r="FJS11" s="114"/>
      <c r="FJT11" s="114"/>
      <c r="FJU11" s="114"/>
      <c r="FJV11" s="114"/>
      <c r="FJW11" s="114"/>
      <c r="FJX11" s="114"/>
      <c r="FJY11" s="114"/>
      <c r="FJZ11" s="114"/>
      <c r="FKA11" s="114"/>
      <c r="FKB11" s="114"/>
      <c r="FKC11" s="114"/>
      <c r="FKD11" s="114"/>
      <c r="FKE11" s="114"/>
      <c r="FKF11" s="114"/>
      <c r="FKG11" s="114"/>
      <c r="FKH11" s="114"/>
      <c r="FKI11" s="114"/>
      <c r="FKJ11" s="114"/>
      <c r="FKK11" s="114"/>
      <c r="FKL11" s="114"/>
      <c r="FKM11" s="114"/>
      <c r="FKN11" s="114"/>
      <c r="FKO11" s="114"/>
      <c r="FKP11" s="114"/>
      <c r="FKQ11" s="114"/>
      <c r="FKR11" s="114"/>
      <c r="FKS11" s="114"/>
      <c r="FKT11" s="114"/>
      <c r="FKU11" s="114"/>
      <c r="FKV11" s="114"/>
      <c r="FKW11" s="114"/>
      <c r="FKX11" s="114"/>
      <c r="FKY11" s="114"/>
      <c r="FKZ11" s="114"/>
      <c r="FLA11" s="114"/>
      <c r="FLB11" s="114"/>
      <c r="FLC11" s="114"/>
      <c r="FLD11" s="114"/>
      <c r="FLE11" s="114"/>
      <c r="FLF11" s="114"/>
      <c r="FLG11" s="114"/>
      <c r="FLH11" s="114"/>
      <c r="FLI11" s="114"/>
      <c r="FLJ11" s="114"/>
      <c r="FLK11" s="114"/>
      <c r="FLL11" s="114"/>
      <c r="FLM11" s="114"/>
      <c r="FLN11" s="114"/>
      <c r="FLO11" s="114"/>
      <c r="FLP11" s="114"/>
      <c r="FLQ11" s="114"/>
      <c r="FLR11" s="114"/>
      <c r="FLS11" s="114"/>
      <c r="FLT11" s="114"/>
      <c r="FLU11" s="114"/>
      <c r="FLV11" s="114"/>
      <c r="FLW11" s="114"/>
      <c r="FLX11" s="114"/>
      <c r="FLY11" s="114"/>
      <c r="FLZ11" s="114"/>
      <c r="FMA11" s="114"/>
      <c r="FMB11" s="114"/>
      <c r="FMC11" s="114"/>
      <c r="FMD11" s="114"/>
      <c r="FME11" s="114"/>
      <c r="FMF11" s="114"/>
      <c r="FMG11" s="114"/>
      <c r="FMH11" s="114"/>
      <c r="FMI11" s="114"/>
      <c r="FMJ11" s="114"/>
      <c r="FMK11" s="114"/>
      <c r="FML11" s="114"/>
      <c r="FMM11" s="114"/>
      <c r="FMN11" s="114"/>
      <c r="FMO11" s="114"/>
      <c r="FMP11" s="114"/>
      <c r="FMQ11" s="114"/>
      <c r="FMR11" s="114"/>
      <c r="FMS11" s="114"/>
      <c r="FMT11" s="114"/>
      <c r="FMU11" s="114"/>
      <c r="FMV11" s="114"/>
      <c r="FMW11" s="114"/>
      <c r="FMX11" s="114"/>
      <c r="FMY11" s="114"/>
      <c r="FMZ11" s="114"/>
      <c r="FNA11" s="114"/>
      <c r="FNB11" s="114"/>
      <c r="FNC11" s="114"/>
      <c r="FND11" s="114"/>
      <c r="FNE11" s="114"/>
      <c r="FNF11" s="114"/>
      <c r="FNG11" s="114"/>
      <c r="FNH11" s="114"/>
      <c r="FNI11" s="114"/>
      <c r="FNJ11" s="114"/>
      <c r="FNK11" s="114"/>
      <c r="FNL11" s="114"/>
      <c r="FNM11" s="114"/>
      <c r="FNN11" s="114"/>
      <c r="FNO11" s="114"/>
      <c r="FNP11" s="114"/>
      <c r="FNQ11" s="114"/>
      <c r="FNR11" s="114"/>
      <c r="FNS11" s="114"/>
      <c r="FNT11" s="114"/>
      <c r="FNU11" s="114"/>
      <c r="FNV11" s="114"/>
      <c r="FNW11" s="114"/>
      <c r="FNX11" s="114"/>
      <c r="FNY11" s="114"/>
      <c r="FNZ11" s="114"/>
      <c r="FOA11" s="114"/>
      <c r="FOB11" s="114"/>
      <c r="FOC11" s="114"/>
      <c r="FOD11" s="114"/>
      <c r="FOE11" s="114"/>
      <c r="FOF11" s="114"/>
      <c r="FOG11" s="114"/>
      <c r="FOH11" s="114"/>
      <c r="FOI11" s="114"/>
      <c r="FOJ11" s="114"/>
      <c r="FOK11" s="114"/>
      <c r="FOL11" s="114"/>
      <c r="FOM11" s="114"/>
      <c r="FON11" s="114"/>
      <c r="FOO11" s="114"/>
      <c r="FOP11" s="114"/>
      <c r="FOQ11" s="114"/>
      <c r="FOR11" s="114"/>
      <c r="FOS11" s="114"/>
      <c r="FOT11" s="114"/>
      <c r="FOU11" s="114"/>
      <c r="FOV11" s="114"/>
      <c r="FOW11" s="114"/>
      <c r="FOX11" s="114"/>
      <c r="FOY11" s="114"/>
      <c r="FOZ11" s="114"/>
      <c r="FPA11" s="114"/>
      <c r="FPB11" s="114"/>
      <c r="FPC11" s="114"/>
      <c r="FPD11" s="114"/>
      <c r="FPE11" s="114"/>
      <c r="FPF11" s="114"/>
      <c r="FPG11" s="114"/>
      <c r="FPH11" s="114"/>
      <c r="FPI11" s="114"/>
      <c r="FPJ11" s="114"/>
      <c r="FPK11" s="114"/>
      <c r="FPL11" s="114"/>
      <c r="FPM11" s="114"/>
      <c r="FPN11" s="114"/>
      <c r="FPO11" s="114"/>
      <c r="FPP11" s="114"/>
      <c r="FPQ11" s="114"/>
      <c r="FPR11" s="114"/>
      <c r="FPS11" s="114"/>
      <c r="FPT11" s="114"/>
      <c r="FPU11" s="114"/>
      <c r="FPV11" s="114"/>
      <c r="FPW11" s="114"/>
      <c r="FPX11" s="114"/>
      <c r="FPY11" s="114"/>
      <c r="FPZ11" s="114"/>
      <c r="FQA11" s="114"/>
      <c r="FQB11" s="114"/>
      <c r="FQC11" s="114"/>
      <c r="FQD11" s="114"/>
      <c r="FQE11" s="114"/>
      <c r="FQF11" s="114"/>
      <c r="FQG11" s="114"/>
      <c r="FQH11" s="114"/>
      <c r="FQI11" s="114"/>
      <c r="FQJ11" s="114"/>
      <c r="FQK11" s="114"/>
      <c r="FQL11" s="114"/>
      <c r="FQM11" s="114"/>
      <c r="FQN11" s="114"/>
      <c r="FQO11" s="114"/>
      <c r="FQP11" s="114"/>
      <c r="FQQ11" s="114"/>
      <c r="FQR11" s="114"/>
      <c r="FQS11" s="114"/>
      <c r="FQT11" s="114"/>
      <c r="FQU11" s="114"/>
      <c r="FQV11" s="114"/>
      <c r="FQW11" s="114"/>
      <c r="FQX11" s="114"/>
      <c r="FQY11" s="114"/>
      <c r="FQZ11" s="114"/>
      <c r="FRA11" s="114"/>
      <c r="FRB11" s="114"/>
      <c r="FRC11" s="114"/>
      <c r="FRD11" s="114"/>
      <c r="FRE11" s="114"/>
      <c r="FRF11" s="114"/>
      <c r="FRG11" s="114"/>
      <c r="FRH11" s="114"/>
      <c r="FRI11" s="114"/>
      <c r="FRJ11" s="114"/>
      <c r="FRK11" s="114"/>
      <c r="FRL11" s="114"/>
      <c r="FRM11" s="114"/>
      <c r="FRN11" s="114"/>
      <c r="FRO11" s="114"/>
      <c r="FRP11" s="114"/>
      <c r="FRQ11" s="114"/>
      <c r="FRR11" s="114"/>
      <c r="FRS11" s="114"/>
      <c r="FRT11" s="114"/>
      <c r="FRU11" s="114"/>
      <c r="FRV11" s="114"/>
      <c r="FRW11" s="114"/>
      <c r="FRX11" s="114"/>
      <c r="FRY11" s="114"/>
      <c r="FRZ11" s="114"/>
      <c r="FSA11" s="114"/>
      <c r="FSB11" s="114"/>
      <c r="FSC11" s="114"/>
      <c r="FSD11" s="114"/>
      <c r="FSE11" s="114"/>
      <c r="FSF11" s="114"/>
      <c r="FSG11" s="114"/>
      <c r="FSH11" s="114"/>
      <c r="FSI11" s="114"/>
      <c r="FSJ11" s="114"/>
      <c r="FSK11" s="114"/>
      <c r="FSL11" s="114"/>
      <c r="FSM11" s="114"/>
      <c r="FSN11" s="114"/>
      <c r="FSO11" s="114"/>
      <c r="FSP11" s="114"/>
      <c r="FSQ11" s="114"/>
      <c r="FSR11" s="114"/>
      <c r="FSS11" s="114"/>
      <c r="FST11" s="114"/>
      <c r="FSU11" s="114"/>
      <c r="FSV11" s="114"/>
      <c r="FSW11" s="114"/>
      <c r="FSX11" s="114"/>
      <c r="FSY11" s="114"/>
      <c r="FSZ11" s="114"/>
      <c r="FTA11" s="114"/>
      <c r="FTB11" s="114"/>
      <c r="FTC11" s="114"/>
      <c r="FTD11" s="114"/>
      <c r="FTE11" s="114"/>
      <c r="FTF11" s="114"/>
      <c r="FTG11" s="114"/>
      <c r="FTH11" s="114"/>
      <c r="FTI11" s="114"/>
      <c r="FTJ11" s="114"/>
      <c r="FTK11" s="114"/>
      <c r="FTL11" s="114"/>
      <c r="FTM11" s="114"/>
      <c r="FTN11" s="114"/>
      <c r="FTO11" s="114"/>
      <c r="FTP11" s="114"/>
      <c r="FTQ11" s="114"/>
      <c r="FTR11" s="114"/>
      <c r="FTS11" s="114"/>
      <c r="FTT11" s="114"/>
      <c r="FTU11" s="114"/>
      <c r="FTV11" s="114"/>
      <c r="FTW11" s="114"/>
      <c r="FTX11" s="114"/>
      <c r="FTY11" s="114"/>
      <c r="FTZ11" s="114"/>
      <c r="FUA11" s="114"/>
      <c r="FUB11" s="114"/>
      <c r="FUC11" s="114"/>
      <c r="FUD11" s="114"/>
      <c r="FUE11" s="114"/>
      <c r="FUF11" s="114"/>
      <c r="FUG11" s="114"/>
      <c r="FUH11" s="114"/>
      <c r="FUI11" s="114"/>
      <c r="FUJ11" s="114"/>
      <c r="FUK11" s="114"/>
      <c r="FUL11" s="114"/>
      <c r="FUM11" s="114"/>
      <c r="FUN11" s="114"/>
      <c r="FUO11" s="114"/>
      <c r="FUP11" s="114"/>
      <c r="FUQ11" s="114"/>
      <c r="FUR11" s="114"/>
      <c r="FUS11" s="114"/>
      <c r="FUT11" s="114"/>
      <c r="FUU11" s="114"/>
      <c r="FUV11" s="114"/>
      <c r="FUW11" s="114"/>
      <c r="FUX11" s="114"/>
      <c r="FUY11" s="114"/>
      <c r="FUZ11" s="114"/>
      <c r="FVA11" s="114"/>
      <c r="FVB11" s="114"/>
      <c r="FVC11" s="114"/>
      <c r="FVD11" s="114"/>
      <c r="FVE11" s="114"/>
      <c r="FVF11" s="114"/>
      <c r="FVG11" s="114"/>
      <c r="FVH11" s="114"/>
      <c r="FVI11" s="114"/>
      <c r="FVJ11" s="114"/>
      <c r="FVK11" s="114"/>
      <c r="FVL11" s="114"/>
      <c r="FVM11" s="114"/>
      <c r="FVN11" s="114"/>
      <c r="FVO11" s="114"/>
      <c r="FVP11" s="114"/>
      <c r="FVQ11" s="114"/>
      <c r="FVR11" s="114"/>
      <c r="FVS11" s="114"/>
      <c r="FVT11" s="114"/>
      <c r="FVU11" s="114"/>
      <c r="FVV11" s="114"/>
      <c r="FVW11" s="114"/>
      <c r="FVX11" s="114"/>
      <c r="FVY11" s="114"/>
      <c r="FVZ11" s="114"/>
      <c r="FWA11" s="114"/>
      <c r="FWB11" s="114"/>
      <c r="FWC11" s="114"/>
      <c r="FWD11" s="114"/>
      <c r="FWE11" s="114"/>
      <c r="FWF11" s="114"/>
      <c r="FWG11" s="114"/>
      <c r="FWH11" s="114"/>
      <c r="FWI11" s="114"/>
      <c r="FWJ11" s="114"/>
      <c r="FWK11" s="114"/>
      <c r="FWL11" s="114"/>
      <c r="FWM11" s="114"/>
      <c r="FWN11" s="114"/>
      <c r="FWO11" s="114"/>
      <c r="FWP11" s="114"/>
      <c r="FWQ11" s="114"/>
      <c r="FWR11" s="114"/>
      <c r="FWS11" s="114"/>
      <c r="FWT11" s="114"/>
      <c r="FWU11" s="114"/>
      <c r="FWV11" s="114"/>
      <c r="FWW11" s="114"/>
      <c r="FWX11" s="114"/>
      <c r="FWY11" s="114"/>
      <c r="FWZ11" s="114"/>
      <c r="FXA11" s="114"/>
      <c r="FXB11" s="114"/>
      <c r="FXC11" s="114"/>
      <c r="FXD11" s="114"/>
      <c r="FXE11" s="114"/>
      <c r="FXF11" s="114"/>
      <c r="FXG11" s="114"/>
      <c r="FXH11" s="114"/>
      <c r="FXI11" s="114"/>
      <c r="FXJ11" s="114"/>
      <c r="FXK11" s="114"/>
      <c r="FXL11" s="114"/>
      <c r="FXM11" s="114"/>
      <c r="FXN11" s="114"/>
      <c r="FXO11" s="114"/>
      <c r="FXP11" s="114"/>
      <c r="FXQ11" s="114"/>
      <c r="FXR11" s="114"/>
      <c r="FXS11" s="114"/>
      <c r="FXT11" s="114"/>
      <c r="FXU11" s="114"/>
      <c r="FXV11" s="114"/>
      <c r="FXW11" s="114"/>
      <c r="FXX11" s="114"/>
      <c r="FXY11" s="114"/>
      <c r="FXZ11" s="114"/>
      <c r="FYA11" s="114"/>
      <c r="FYB11" s="114"/>
      <c r="FYC11" s="114"/>
      <c r="FYD11" s="114"/>
      <c r="FYE11" s="114"/>
      <c r="FYF11" s="114"/>
      <c r="FYG11" s="114"/>
      <c r="FYH11" s="114"/>
      <c r="FYI11" s="114"/>
      <c r="FYJ11" s="114"/>
      <c r="FYK11" s="114"/>
      <c r="FYL11" s="114"/>
      <c r="FYM11" s="114"/>
      <c r="FYN11" s="114"/>
      <c r="FYO11" s="114"/>
      <c r="FYP11" s="114"/>
      <c r="FYQ11" s="114"/>
      <c r="FYR11" s="114"/>
      <c r="FYS11" s="114"/>
      <c r="FYT11" s="114"/>
      <c r="FYU11" s="114"/>
      <c r="FYV11" s="114"/>
      <c r="FYW11" s="114"/>
      <c r="FYX11" s="114"/>
      <c r="FYY11" s="114"/>
      <c r="FYZ11" s="114"/>
      <c r="FZA11" s="114"/>
      <c r="FZB11" s="114"/>
      <c r="FZC11" s="114"/>
      <c r="FZD11" s="114"/>
      <c r="FZE11" s="114"/>
      <c r="FZF11" s="114"/>
      <c r="FZG11" s="114"/>
      <c r="FZH11" s="114"/>
      <c r="FZI11" s="114"/>
      <c r="FZJ11" s="114"/>
      <c r="FZK11" s="114"/>
      <c r="FZL11" s="114"/>
      <c r="FZM11" s="114"/>
      <c r="FZN11" s="114"/>
      <c r="FZO11" s="114"/>
      <c r="FZP11" s="114"/>
      <c r="FZQ11" s="114"/>
      <c r="FZR11" s="114"/>
      <c r="FZS11" s="114"/>
      <c r="FZT11" s="114"/>
      <c r="FZU11" s="114"/>
      <c r="FZV11" s="114"/>
      <c r="FZW11" s="114"/>
      <c r="FZX11" s="114"/>
      <c r="FZY11" s="114"/>
      <c r="FZZ11" s="114"/>
      <c r="GAA11" s="114"/>
      <c r="GAB11" s="114"/>
      <c r="GAC11" s="114"/>
      <c r="GAD11" s="114"/>
      <c r="GAE11" s="114"/>
      <c r="GAF11" s="114"/>
      <c r="GAG11" s="114"/>
      <c r="GAH11" s="114"/>
      <c r="GAI11" s="114"/>
      <c r="GAJ11" s="114"/>
      <c r="GAK11" s="114"/>
      <c r="GAL11" s="114"/>
      <c r="GAM11" s="114"/>
      <c r="GAN11" s="114"/>
      <c r="GAO11" s="114"/>
      <c r="GAP11" s="114"/>
      <c r="GAQ11" s="114"/>
      <c r="GAR11" s="114"/>
      <c r="GAS11" s="114"/>
      <c r="GAT11" s="114"/>
      <c r="GAU11" s="114"/>
      <c r="GAV11" s="114"/>
      <c r="GAW11" s="114"/>
      <c r="GAX11" s="114"/>
      <c r="GAY11" s="114"/>
      <c r="GAZ11" s="114"/>
      <c r="GBA11" s="114"/>
      <c r="GBB11" s="114"/>
      <c r="GBC11" s="114"/>
      <c r="GBD11" s="114"/>
      <c r="GBE11" s="114"/>
      <c r="GBF11" s="114"/>
      <c r="GBG11" s="114"/>
      <c r="GBH11" s="114"/>
      <c r="GBI11" s="114"/>
      <c r="GBJ11" s="114"/>
      <c r="GBK11" s="114"/>
      <c r="GBL11" s="114"/>
      <c r="GBM11" s="114"/>
      <c r="GBN11" s="114"/>
      <c r="GBO11" s="114"/>
      <c r="GBP11" s="114"/>
      <c r="GBQ11" s="114"/>
      <c r="GBR11" s="114"/>
      <c r="GBS11" s="114"/>
      <c r="GBT11" s="114"/>
      <c r="GBU11" s="114"/>
      <c r="GBV11" s="114"/>
      <c r="GBW11" s="114"/>
      <c r="GBX11" s="114"/>
      <c r="GBY11" s="114"/>
      <c r="GBZ11" s="114"/>
      <c r="GCA11" s="114"/>
      <c r="GCB11" s="114"/>
      <c r="GCC11" s="114"/>
      <c r="GCD11" s="114"/>
      <c r="GCE11" s="114"/>
      <c r="GCF11" s="114"/>
      <c r="GCG11" s="114"/>
      <c r="GCH11" s="114"/>
      <c r="GCI11" s="114"/>
      <c r="GCJ11" s="114"/>
      <c r="GCK11" s="114"/>
      <c r="GCL11" s="114"/>
      <c r="GCM11" s="114"/>
      <c r="GCN11" s="114"/>
      <c r="GCO11" s="114"/>
      <c r="GCP11" s="114"/>
      <c r="GCQ11" s="114"/>
      <c r="GCR11" s="114"/>
      <c r="GCS11" s="114"/>
      <c r="GCT11" s="114"/>
      <c r="GCU11" s="114"/>
      <c r="GCV11" s="114"/>
      <c r="GCW11" s="114"/>
      <c r="GCX11" s="114"/>
      <c r="GCY11" s="114"/>
      <c r="GCZ11" s="114"/>
      <c r="GDA11" s="114"/>
      <c r="GDB11" s="114"/>
      <c r="GDC11" s="114"/>
      <c r="GDD11" s="114"/>
      <c r="GDE11" s="114"/>
      <c r="GDF11" s="114"/>
      <c r="GDG11" s="114"/>
      <c r="GDH11" s="114"/>
      <c r="GDI11" s="114"/>
      <c r="GDJ11" s="114"/>
      <c r="GDK11" s="114"/>
      <c r="GDL11" s="114"/>
      <c r="GDM11" s="114"/>
      <c r="GDN11" s="114"/>
      <c r="GDO11" s="114"/>
      <c r="GDP11" s="114"/>
      <c r="GDQ11" s="114"/>
      <c r="GDR11" s="114"/>
      <c r="GDS11" s="114"/>
      <c r="GDT11" s="114"/>
      <c r="GDU11" s="114"/>
      <c r="GDV11" s="114"/>
      <c r="GDW11" s="114"/>
      <c r="GDX11" s="114"/>
      <c r="GDY11" s="114"/>
      <c r="GDZ11" s="114"/>
      <c r="GEA11" s="114"/>
      <c r="GEB11" s="114"/>
      <c r="GEC11" s="114"/>
      <c r="GED11" s="114"/>
      <c r="GEE11" s="114"/>
      <c r="GEF11" s="114"/>
      <c r="GEG11" s="114"/>
      <c r="GEH11" s="114"/>
      <c r="GEI11" s="114"/>
      <c r="GEJ11" s="114"/>
      <c r="GEK11" s="114"/>
      <c r="GEL11" s="114"/>
      <c r="GEM11" s="114"/>
      <c r="GEN11" s="114"/>
      <c r="GEO11" s="114"/>
      <c r="GEP11" s="114"/>
      <c r="GEQ11" s="114"/>
      <c r="GER11" s="114"/>
      <c r="GES11" s="114"/>
      <c r="GET11" s="114"/>
      <c r="GEU11" s="114"/>
      <c r="GEV11" s="114"/>
      <c r="GEW11" s="114"/>
      <c r="GEX11" s="114"/>
      <c r="GEY11" s="114"/>
      <c r="GEZ11" s="114"/>
      <c r="GFA11" s="114"/>
      <c r="GFB11" s="114"/>
      <c r="GFC11" s="114"/>
      <c r="GFD11" s="114"/>
      <c r="GFE11" s="114"/>
      <c r="GFF11" s="114"/>
      <c r="GFG11" s="114"/>
      <c r="GFH11" s="114"/>
      <c r="GFI11" s="114"/>
      <c r="GFJ11" s="114"/>
      <c r="GFK11" s="114"/>
      <c r="GFL11" s="114"/>
      <c r="GFM11" s="114"/>
      <c r="GFN11" s="114"/>
      <c r="GFO11" s="114"/>
      <c r="GFP11" s="114"/>
      <c r="GFQ11" s="114"/>
      <c r="GFR11" s="114"/>
      <c r="GFS11" s="114"/>
      <c r="GFT11" s="114"/>
      <c r="GFU11" s="114"/>
      <c r="GFV11" s="114"/>
      <c r="GFW11" s="114"/>
      <c r="GFX11" s="114"/>
      <c r="GFY11" s="114"/>
      <c r="GFZ11" s="114"/>
      <c r="GGA11" s="114"/>
      <c r="GGB11" s="114"/>
      <c r="GGC11" s="114"/>
      <c r="GGD11" s="114"/>
      <c r="GGE11" s="114"/>
      <c r="GGF11" s="114"/>
      <c r="GGG11" s="114"/>
      <c r="GGH11" s="114"/>
      <c r="GGI11" s="114"/>
      <c r="GGJ11" s="114"/>
      <c r="GGK11" s="114"/>
      <c r="GGL11" s="114"/>
      <c r="GGM11" s="114"/>
      <c r="GGN11" s="114"/>
      <c r="GGO11" s="114"/>
      <c r="GGP11" s="114"/>
      <c r="GGQ11" s="114"/>
      <c r="GGR11" s="114"/>
      <c r="GGS11" s="114"/>
      <c r="GGT11" s="114"/>
      <c r="GGU11" s="114"/>
      <c r="GGV11" s="114"/>
      <c r="GGW11" s="114"/>
      <c r="GGX11" s="114"/>
      <c r="GGY11" s="114"/>
      <c r="GGZ11" s="114"/>
      <c r="GHA11" s="114"/>
      <c r="GHB11" s="114"/>
      <c r="GHC11" s="114"/>
      <c r="GHD11" s="114"/>
      <c r="GHE11" s="114"/>
      <c r="GHF11" s="114"/>
      <c r="GHG11" s="114"/>
      <c r="GHH11" s="114"/>
      <c r="GHI11" s="114"/>
      <c r="GHJ11" s="114"/>
      <c r="GHK11" s="114"/>
      <c r="GHL11" s="114"/>
      <c r="GHM11" s="114"/>
      <c r="GHN11" s="114"/>
      <c r="GHO11" s="114"/>
      <c r="GHP11" s="114"/>
      <c r="GHQ11" s="114"/>
      <c r="GHR11" s="114"/>
      <c r="GHS11" s="114"/>
      <c r="GHT11" s="114"/>
      <c r="GHU11" s="114"/>
      <c r="GHV11" s="114"/>
      <c r="GHW11" s="114"/>
      <c r="GHX11" s="114"/>
      <c r="GHY11" s="114"/>
      <c r="GHZ11" s="114"/>
      <c r="GIA11" s="114"/>
      <c r="GIB11" s="114"/>
      <c r="GIC11" s="114"/>
      <c r="GID11" s="114"/>
      <c r="GIE11" s="114"/>
      <c r="GIF11" s="114"/>
      <c r="GIG11" s="114"/>
      <c r="GIH11" s="114"/>
      <c r="GII11" s="114"/>
      <c r="GIJ11" s="114"/>
      <c r="GIK11" s="114"/>
      <c r="GIL11" s="114"/>
      <c r="GIM11" s="114"/>
      <c r="GIN11" s="114"/>
      <c r="GIO11" s="114"/>
      <c r="GIP11" s="114"/>
      <c r="GIQ11" s="114"/>
      <c r="GIR11" s="114"/>
      <c r="GIS11" s="114"/>
      <c r="GIT11" s="114"/>
      <c r="GIU11" s="114"/>
      <c r="GIV11" s="114"/>
      <c r="GIW11" s="114"/>
      <c r="GIX11" s="114"/>
      <c r="GIY11" s="114"/>
      <c r="GIZ11" s="114"/>
      <c r="GJA11" s="114"/>
      <c r="GJB11" s="114"/>
      <c r="GJC11" s="114"/>
      <c r="GJD11" s="114"/>
      <c r="GJE11" s="114"/>
      <c r="GJF11" s="114"/>
      <c r="GJG11" s="114"/>
      <c r="GJH11" s="114"/>
      <c r="GJI11" s="114"/>
      <c r="GJJ11" s="114"/>
      <c r="GJK11" s="114"/>
      <c r="GJL11" s="114"/>
      <c r="GJM11" s="114"/>
      <c r="GJN11" s="114"/>
      <c r="GJO11" s="114"/>
      <c r="GJP11" s="114"/>
      <c r="GJQ11" s="114"/>
      <c r="GJR11" s="114"/>
      <c r="GJS11" s="114"/>
      <c r="GJT11" s="114"/>
      <c r="GJU11" s="114"/>
      <c r="GJV11" s="114"/>
      <c r="GJW11" s="114"/>
      <c r="GJX11" s="114"/>
      <c r="GJY11" s="114"/>
      <c r="GJZ11" s="114"/>
      <c r="GKA11" s="114"/>
      <c r="GKB11" s="114"/>
      <c r="GKC11" s="114"/>
      <c r="GKD11" s="114"/>
      <c r="GKE11" s="114"/>
      <c r="GKF11" s="114"/>
      <c r="GKG11" s="114"/>
      <c r="GKH11" s="114"/>
      <c r="GKI11" s="114"/>
      <c r="GKJ11" s="114"/>
      <c r="GKK11" s="114"/>
      <c r="GKL11" s="114"/>
      <c r="GKM11" s="114"/>
      <c r="GKN11" s="114"/>
      <c r="GKO11" s="114"/>
      <c r="GKP11" s="114"/>
      <c r="GKQ11" s="114"/>
      <c r="GKR11" s="114"/>
      <c r="GKS11" s="114"/>
      <c r="GKT11" s="114"/>
      <c r="GKU11" s="114"/>
      <c r="GKV11" s="114"/>
      <c r="GKW11" s="114"/>
      <c r="GKX11" s="114"/>
      <c r="GKY11" s="114"/>
      <c r="GKZ11" s="114"/>
      <c r="GLA11" s="114"/>
      <c r="GLB11" s="114"/>
      <c r="GLC11" s="114"/>
      <c r="GLD11" s="114"/>
      <c r="GLE11" s="114"/>
      <c r="GLF11" s="114"/>
      <c r="GLG11" s="114"/>
      <c r="GLH11" s="114"/>
      <c r="GLI11" s="114"/>
      <c r="GLJ11" s="114"/>
      <c r="GLK11" s="114"/>
      <c r="GLL11" s="114"/>
      <c r="GLM11" s="114"/>
      <c r="GLN11" s="114"/>
      <c r="GLO11" s="114"/>
      <c r="GLP11" s="114"/>
      <c r="GLQ11" s="114"/>
      <c r="GLR11" s="114"/>
      <c r="GLS11" s="114"/>
      <c r="GLT11" s="114"/>
      <c r="GLU11" s="114"/>
      <c r="GLV11" s="114"/>
      <c r="GLW11" s="114"/>
      <c r="GLX11" s="114"/>
      <c r="GLY11" s="114"/>
      <c r="GLZ11" s="114"/>
      <c r="GMA11" s="114"/>
      <c r="GMB11" s="114"/>
      <c r="GMC11" s="114"/>
      <c r="GMD11" s="114"/>
      <c r="GME11" s="114"/>
      <c r="GMF11" s="114"/>
      <c r="GMG11" s="114"/>
      <c r="GMH11" s="114"/>
      <c r="GMI11" s="114"/>
      <c r="GMJ11" s="114"/>
      <c r="GMK11" s="114"/>
      <c r="GML11" s="114"/>
      <c r="GMM11" s="114"/>
      <c r="GMN11" s="114"/>
      <c r="GMO11" s="114"/>
      <c r="GMP11" s="114"/>
      <c r="GMQ11" s="114"/>
      <c r="GMR11" s="114"/>
      <c r="GMS11" s="114"/>
      <c r="GMT11" s="114"/>
      <c r="GMU11" s="114"/>
      <c r="GMV11" s="114"/>
      <c r="GMW11" s="114"/>
      <c r="GMX11" s="114"/>
      <c r="GMY11" s="114"/>
      <c r="GMZ11" s="114"/>
      <c r="GNA11" s="114"/>
      <c r="GNB11" s="114"/>
      <c r="GNC11" s="114"/>
      <c r="GND11" s="114"/>
      <c r="GNE11" s="114"/>
      <c r="GNF11" s="114"/>
      <c r="GNG11" s="114"/>
      <c r="GNH11" s="114"/>
      <c r="GNI11" s="114"/>
      <c r="GNJ11" s="114"/>
      <c r="GNK11" s="114"/>
      <c r="GNL11" s="114"/>
      <c r="GNM11" s="114"/>
      <c r="GNN11" s="114"/>
      <c r="GNO11" s="114"/>
      <c r="GNP11" s="114"/>
      <c r="GNQ11" s="114"/>
      <c r="GNR11" s="114"/>
      <c r="GNS11" s="114"/>
      <c r="GNT11" s="114"/>
      <c r="GNU11" s="114"/>
      <c r="GNV11" s="114"/>
      <c r="GNW11" s="114"/>
      <c r="GNX11" s="114"/>
      <c r="GNY11" s="114"/>
      <c r="GNZ11" s="114"/>
      <c r="GOA11" s="114"/>
      <c r="GOB11" s="114"/>
      <c r="GOC11" s="114"/>
      <c r="GOD11" s="114"/>
      <c r="GOE11" s="114"/>
      <c r="GOF11" s="114"/>
      <c r="GOG11" s="114"/>
      <c r="GOH11" s="114"/>
      <c r="GOI11" s="114"/>
      <c r="GOJ11" s="114"/>
      <c r="GOK11" s="114"/>
      <c r="GOL11" s="114"/>
      <c r="GOM11" s="114"/>
      <c r="GON11" s="114"/>
      <c r="GOO11" s="114"/>
      <c r="GOP11" s="114"/>
      <c r="GOQ11" s="114"/>
      <c r="GOR11" s="114"/>
      <c r="GOS11" s="114"/>
      <c r="GOT11" s="114"/>
      <c r="GOU11" s="114"/>
      <c r="GOV11" s="114"/>
      <c r="GOW11" s="114"/>
      <c r="GOX11" s="114"/>
      <c r="GOY11" s="114"/>
      <c r="GOZ11" s="114"/>
      <c r="GPA11" s="114"/>
      <c r="GPB11" s="114"/>
      <c r="GPC11" s="114"/>
      <c r="GPD11" s="114"/>
      <c r="GPE11" s="114"/>
      <c r="GPF11" s="114"/>
      <c r="GPG11" s="114"/>
      <c r="GPH11" s="114"/>
      <c r="GPI11" s="114"/>
      <c r="GPJ11" s="114"/>
      <c r="GPK11" s="114"/>
      <c r="GPL11" s="114"/>
      <c r="GPM11" s="114"/>
      <c r="GPN11" s="114"/>
      <c r="GPO11" s="114"/>
      <c r="GPP11" s="114"/>
      <c r="GPQ11" s="114"/>
      <c r="GPR11" s="114"/>
      <c r="GPS11" s="114"/>
      <c r="GPT11" s="114"/>
      <c r="GPU11" s="114"/>
      <c r="GPV11" s="114"/>
      <c r="GPW11" s="114"/>
      <c r="GPX11" s="114"/>
      <c r="GPY11" s="114"/>
      <c r="GPZ11" s="114"/>
      <c r="GQA11" s="114"/>
      <c r="GQB11" s="114"/>
      <c r="GQC11" s="114"/>
      <c r="GQD11" s="114"/>
      <c r="GQE11" s="114"/>
      <c r="GQF11" s="114"/>
      <c r="GQG11" s="114"/>
      <c r="GQH11" s="114"/>
      <c r="GQI11" s="114"/>
      <c r="GQJ11" s="114"/>
      <c r="GQK11" s="114"/>
      <c r="GQL11" s="114"/>
      <c r="GQM11" s="114"/>
      <c r="GQN11" s="114"/>
      <c r="GQO11" s="114"/>
      <c r="GQP11" s="114"/>
      <c r="GQQ11" s="114"/>
      <c r="GQR11" s="114"/>
      <c r="GQS11" s="114"/>
      <c r="GQT11" s="114"/>
      <c r="GQU11" s="114"/>
      <c r="GQV11" s="114"/>
      <c r="GQW11" s="114"/>
      <c r="GQX11" s="114"/>
      <c r="GQY11" s="114"/>
      <c r="GQZ11" s="114"/>
      <c r="GRA11" s="114"/>
      <c r="GRB11" s="114"/>
      <c r="GRC11" s="114"/>
      <c r="GRD11" s="114"/>
      <c r="GRE11" s="114"/>
      <c r="GRF11" s="114"/>
      <c r="GRG11" s="114"/>
      <c r="GRH11" s="114"/>
      <c r="GRI11" s="114"/>
      <c r="GRJ11" s="114"/>
      <c r="GRK11" s="114"/>
      <c r="GRL11" s="114"/>
      <c r="GRM11" s="114"/>
      <c r="GRN11" s="114"/>
      <c r="GRO11" s="114"/>
      <c r="GRP11" s="114"/>
      <c r="GRQ11" s="114"/>
      <c r="GRR11" s="114"/>
      <c r="GRS11" s="114"/>
      <c r="GRT11" s="114"/>
      <c r="GRU11" s="114"/>
      <c r="GRV11" s="114"/>
      <c r="GRW11" s="114"/>
      <c r="GRX11" s="114"/>
      <c r="GRY11" s="114"/>
      <c r="GRZ11" s="114"/>
      <c r="GSA11" s="114"/>
      <c r="GSB11" s="114"/>
      <c r="GSC11" s="114"/>
      <c r="GSD11" s="114"/>
      <c r="GSE11" s="114"/>
      <c r="GSF11" s="114"/>
      <c r="GSG11" s="114"/>
      <c r="GSH11" s="114"/>
      <c r="GSI11" s="114"/>
      <c r="GSJ11" s="114"/>
      <c r="GSK11" s="114"/>
      <c r="GSL11" s="114"/>
      <c r="GSM11" s="114"/>
      <c r="GSN11" s="114"/>
      <c r="GSO11" s="114"/>
      <c r="GSP11" s="114"/>
      <c r="GSQ11" s="114"/>
      <c r="GSR11" s="114"/>
      <c r="GSS11" s="114"/>
      <c r="GST11" s="114"/>
      <c r="GSU11" s="114"/>
      <c r="GSV11" s="114"/>
      <c r="GSW11" s="114"/>
      <c r="GSX11" s="114"/>
      <c r="GSY11" s="114"/>
      <c r="GSZ11" s="114"/>
      <c r="GTA11" s="114"/>
      <c r="GTB11" s="114"/>
      <c r="GTC11" s="114"/>
      <c r="GTD11" s="114"/>
      <c r="GTE11" s="114"/>
      <c r="GTF11" s="114"/>
      <c r="GTG11" s="114"/>
      <c r="GTH11" s="114"/>
      <c r="GTI11" s="114"/>
      <c r="GTJ11" s="114"/>
      <c r="GTK11" s="114"/>
      <c r="GTL11" s="114"/>
      <c r="GTM11" s="114"/>
      <c r="GTN11" s="114"/>
      <c r="GTO11" s="114"/>
      <c r="GTP11" s="114"/>
      <c r="GTQ11" s="114"/>
      <c r="GTR11" s="114"/>
      <c r="GTS11" s="114"/>
      <c r="GTT11" s="114"/>
      <c r="GTU11" s="114"/>
      <c r="GTV11" s="114"/>
      <c r="GTW11" s="114"/>
      <c r="GTX11" s="114"/>
      <c r="GTY11" s="114"/>
      <c r="GTZ11" s="114"/>
      <c r="GUA11" s="114"/>
      <c r="GUB11" s="114"/>
      <c r="GUC11" s="114"/>
      <c r="GUD11" s="114"/>
      <c r="GUE11" s="114"/>
      <c r="GUF11" s="114"/>
      <c r="GUG11" s="114"/>
      <c r="GUH11" s="114"/>
      <c r="GUI11" s="114"/>
      <c r="GUJ11" s="114"/>
      <c r="GUK11" s="114"/>
      <c r="GUL11" s="114"/>
      <c r="GUM11" s="114"/>
      <c r="GUN11" s="114"/>
      <c r="GUO11" s="114"/>
      <c r="GUP11" s="114"/>
      <c r="GUQ11" s="114"/>
      <c r="GUR11" s="114"/>
      <c r="GUS11" s="114"/>
      <c r="GUT11" s="114"/>
      <c r="GUU11" s="114"/>
      <c r="GUV11" s="114"/>
      <c r="GUW11" s="114"/>
      <c r="GUX11" s="114"/>
      <c r="GUY11" s="114"/>
      <c r="GUZ11" s="114"/>
      <c r="GVA11" s="114"/>
      <c r="GVB11" s="114"/>
      <c r="GVC11" s="114"/>
      <c r="GVD11" s="114"/>
      <c r="GVE11" s="114"/>
      <c r="GVF11" s="114"/>
      <c r="GVG11" s="114"/>
      <c r="GVH11" s="114"/>
      <c r="GVI11" s="114"/>
      <c r="GVJ11" s="114"/>
      <c r="GVK11" s="114"/>
      <c r="GVL11" s="114"/>
      <c r="GVM11" s="114"/>
      <c r="GVN11" s="114"/>
      <c r="GVO11" s="114"/>
      <c r="GVP11" s="114"/>
      <c r="GVQ11" s="114"/>
      <c r="GVR11" s="114"/>
      <c r="GVS11" s="114"/>
      <c r="GVT11" s="114"/>
      <c r="GVU11" s="114"/>
      <c r="GVV11" s="114"/>
      <c r="GVW11" s="114"/>
      <c r="GVX11" s="114"/>
      <c r="GVY11" s="114"/>
      <c r="GVZ11" s="114"/>
      <c r="GWA11" s="114"/>
      <c r="GWB11" s="114"/>
      <c r="GWC11" s="114"/>
      <c r="GWD11" s="114"/>
      <c r="GWE11" s="114"/>
      <c r="GWF11" s="114"/>
      <c r="GWG11" s="114"/>
      <c r="GWH11" s="114"/>
      <c r="GWI11" s="114"/>
      <c r="GWJ11" s="114"/>
      <c r="GWK11" s="114"/>
      <c r="GWL11" s="114"/>
      <c r="GWM11" s="114"/>
      <c r="GWN11" s="114"/>
      <c r="GWO11" s="114"/>
      <c r="GWP11" s="114"/>
      <c r="GWQ11" s="114"/>
      <c r="GWR11" s="114"/>
      <c r="GWS11" s="114"/>
      <c r="GWT11" s="114"/>
      <c r="GWU11" s="114"/>
      <c r="GWV11" s="114"/>
      <c r="GWW11" s="114"/>
      <c r="GWX11" s="114"/>
      <c r="GWY11" s="114"/>
      <c r="GWZ11" s="114"/>
      <c r="GXA11" s="114"/>
      <c r="GXB11" s="114"/>
      <c r="GXC11" s="114"/>
      <c r="GXD11" s="114"/>
      <c r="GXE11" s="114"/>
      <c r="GXF11" s="114"/>
      <c r="GXG11" s="114"/>
      <c r="GXH11" s="114"/>
      <c r="GXI11" s="114"/>
      <c r="GXJ11" s="114"/>
      <c r="GXK11" s="114"/>
      <c r="GXL11" s="114"/>
      <c r="GXM11" s="114"/>
      <c r="GXN11" s="114"/>
      <c r="GXO11" s="114"/>
      <c r="GXP11" s="114"/>
      <c r="GXQ11" s="114"/>
      <c r="GXR11" s="114"/>
      <c r="GXS11" s="114"/>
      <c r="GXT11" s="114"/>
      <c r="GXU11" s="114"/>
      <c r="GXV11" s="114"/>
      <c r="GXW11" s="114"/>
      <c r="GXX11" s="114"/>
      <c r="GXY11" s="114"/>
      <c r="GXZ11" s="114"/>
      <c r="GYA11" s="114"/>
      <c r="GYB11" s="114"/>
      <c r="GYC11" s="114"/>
      <c r="GYD11" s="114"/>
      <c r="GYE11" s="114"/>
      <c r="GYF11" s="114"/>
      <c r="GYG11" s="114"/>
      <c r="GYH11" s="114"/>
      <c r="GYI11" s="114"/>
      <c r="GYJ11" s="114"/>
      <c r="GYK11" s="114"/>
      <c r="GYL11" s="114"/>
      <c r="GYM11" s="114"/>
      <c r="GYN11" s="114"/>
      <c r="GYO11" s="114"/>
      <c r="GYP11" s="114"/>
      <c r="GYQ11" s="114"/>
      <c r="GYR11" s="114"/>
      <c r="GYS11" s="114"/>
      <c r="GYT11" s="114"/>
      <c r="GYU11" s="114"/>
      <c r="GYV11" s="114"/>
      <c r="GYW11" s="114"/>
      <c r="GYX11" s="114"/>
      <c r="GYY11" s="114"/>
      <c r="GYZ11" s="114"/>
      <c r="GZA11" s="114"/>
      <c r="GZB11" s="114"/>
      <c r="GZC11" s="114"/>
      <c r="GZD11" s="114"/>
      <c r="GZE11" s="114"/>
      <c r="GZF11" s="114"/>
      <c r="GZG11" s="114"/>
      <c r="GZH11" s="114"/>
      <c r="GZI11" s="114"/>
      <c r="GZJ11" s="114"/>
      <c r="GZK11" s="114"/>
      <c r="GZL11" s="114"/>
      <c r="GZM11" s="114"/>
      <c r="GZN11" s="114"/>
      <c r="GZO11" s="114"/>
      <c r="GZP11" s="114"/>
      <c r="GZQ11" s="114"/>
      <c r="GZR11" s="114"/>
      <c r="GZS11" s="114"/>
      <c r="GZT11" s="114"/>
      <c r="GZU11" s="114"/>
      <c r="GZV11" s="114"/>
      <c r="GZW11" s="114"/>
      <c r="GZX11" s="114"/>
      <c r="GZY11" s="114"/>
      <c r="GZZ11" s="114"/>
      <c r="HAA11" s="114"/>
      <c r="HAB11" s="114"/>
      <c r="HAC11" s="114"/>
      <c r="HAD11" s="114"/>
      <c r="HAE11" s="114"/>
      <c r="HAF11" s="114"/>
      <c r="HAG11" s="114"/>
      <c r="HAH11" s="114"/>
      <c r="HAI11" s="114"/>
      <c r="HAJ11" s="114"/>
      <c r="HAK11" s="114"/>
      <c r="HAL11" s="114"/>
      <c r="HAM11" s="114"/>
      <c r="HAN11" s="114"/>
      <c r="HAO11" s="114"/>
      <c r="HAP11" s="114"/>
      <c r="HAQ11" s="114"/>
      <c r="HAR11" s="114"/>
      <c r="HAS11" s="114"/>
      <c r="HAT11" s="114"/>
      <c r="HAU11" s="114"/>
      <c r="HAV11" s="114"/>
      <c r="HAW11" s="114"/>
      <c r="HAX11" s="114"/>
      <c r="HAY11" s="114"/>
      <c r="HAZ11" s="114"/>
      <c r="HBA11" s="114"/>
      <c r="HBB11" s="114"/>
      <c r="HBC11" s="114"/>
      <c r="HBD11" s="114"/>
      <c r="HBE11" s="114"/>
      <c r="HBF11" s="114"/>
      <c r="HBG11" s="114"/>
      <c r="HBH11" s="114"/>
      <c r="HBI11" s="114"/>
      <c r="HBJ11" s="114"/>
      <c r="HBK11" s="114"/>
      <c r="HBL11" s="114"/>
      <c r="HBM11" s="114"/>
      <c r="HBN11" s="114"/>
      <c r="HBO11" s="114"/>
      <c r="HBP11" s="114"/>
      <c r="HBQ11" s="114"/>
      <c r="HBR11" s="114"/>
      <c r="HBS11" s="114"/>
      <c r="HBT11" s="114"/>
      <c r="HBU11" s="114"/>
      <c r="HBV11" s="114"/>
      <c r="HBW11" s="114"/>
      <c r="HBX11" s="114"/>
      <c r="HBY11" s="114"/>
      <c r="HBZ11" s="114"/>
      <c r="HCA11" s="114"/>
      <c r="HCB11" s="114"/>
      <c r="HCC11" s="114"/>
      <c r="HCD11" s="114"/>
      <c r="HCE11" s="114"/>
      <c r="HCF11" s="114"/>
      <c r="HCG11" s="114"/>
      <c r="HCH11" s="114"/>
      <c r="HCI11" s="114"/>
      <c r="HCJ11" s="114"/>
      <c r="HCK11" s="114"/>
      <c r="HCL11" s="114"/>
      <c r="HCM11" s="114"/>
      <c r="HCN11" s="114"/>
      <c r="HCO11" s="114"/>
      <c r="HCP11" s="114"/>
      <c r="HCQ11" s="114"/>
      <c r="HCR11" s="114"/>
      <c r="HCS11" s="114"/>
      <c r="HCT11" s="114"/>
      <c r="HCU11" s="114"/>
      <c r="HCV11" s="114"/>
      <c r="HCW11" s="114"/>
      <c r="HCX11" s="114"/>
      <c r="HCY11" s="114"/>
      <c r="HCZ11" s="114"/>
      <c r="HDA11" s="114"/>
      <c r="HDB11" s="114"/>
      <c r="HDC11" s="114"/>
      <c r="HDD11" s="114"/>
      <c r="HDE11" s="114"/>
      <c r="HDF11" s="114"/>
      <c r="HDG11" s="114"/>
      <c r="HDH11" s="114"/>
      <c r="HDI11" s="114"/>
      <c r="HDJ11" s="114"/>
      <c r="HDK11" s="114"/>
      <c r="HDL11" s="114"/>
      <c r="HDM11" s="114"/>
      <c r="HDN11" s="114"/>
      <c r="HDO11" s="114"/>
      <c r="HDP11" s="114"/>
      <c r="HDQ11" s="114"/>
      <c r="HDR11" s="114"/>
      <c r="HDS11" s="114"/>
      <c r="HDT11" s="114"/>
      <c r="HDU11" s="114"/>
      <c r="HDV11" s="114"/>
      <c r="HDW11" s="114"/>
      <c r="HDX11" s="114"/>
      <c r="HDY11" s="114"/>
      <c r="HDZ11" s="114"/>
      <c r="HEA11" s="114"/>
      <c r="HEB11" s="114"/>
      <c r="HEC11" s="114"/>
      <c r="HED11" s="114"/>
      <c r="HEE11" s="114"/>
      <c r="HEF11" s="114"/>
      <c r="HEG11" s="114"/>
      <c r="HEH11" s="114"/>
      <c r="HEI11" s="114"/>
      <c r="HEJ11" s="114"/>
      <c r="HEK11" s="114"/>
      <c r="HEL11" s="114"/>
      <c r="HEM11" s="114"/>
      <c r="HEN11" s="114"/>
      <c r="HEO11" s="114"/>
      <c r="HEP11" s="114"/>
      <c r="HEQ11" s="114"/>
      <c r="HER11" s="114"/>
      <c r="HES11" s="114"/>
      <c r="HET11" s="114"/>
      <c r="HEU11" s="114"/>
      <c r="HEV11" s="114"/>
      <c r="HEW11" s="114"/>
      <c r="HEX11" s="114"/>
      <c r="HEY11" s="114"/>
      <c r="HEZ11" s="114"/>
      <c r="HFA11" s="114"/>
      <c r="HFB11" s="114"/>
      <c r="HFC11" s="114"/>
      <c r="HFD11" s="114"/>
      <c r="HFE11" s="114"/>
      <c r="HFF11" s="114"/>
      <c r="HFG11" s="114"/>
      <c r="HFH11" s="114"/>
      <c r="HFI11" s="114"/>
      <c r="HFJ11" s="114"/>
      <c r="HFK11" s="114"/>
      <c r="HFL11" s="114"/>
      <c r="HFM11" s="114"/>
      <c r="HFN11" s="114"/>
      <c r="HFO11" s="114"/>
      <c r="HFP11" s="114"/>
      <c r="HFQ11" s="114"/>
      <c r="HFR11" s="114"/>
      <c r="HFS11" s="114"/>
      <c r="HFT11" s="114"/>
      <c r="HFU11" s="114"/>
      <c r="HFV11" s="114"/>
      <c r="HFW11" s="114"/>
      <c r="HFX11" s="114"/>
      <c r="HFY11" s="114"/>
      <c r="HFZ11" s="114"/>
      <c r="HGA11" s="114"/>
      <c r="HGB11" s="114"/>
      <c r="HGC11" s="114"/>
      <c r="HGD11" s="114"/>
      <c r="HGE11" s="114"/>
      <c r="HGF11" s="114"/>
      <c r="HGG11" s="114"/>
      <c r="HGH11" s="114"/>
      <c r="HGI11" s="114"/>
      <c r="HGJ11" s="114"/>
      <c r="HGK11" s="114"/>
      <c r="HGL11" s="114"/>
      <c r="HGM11" s="114"/>
      <c r="HGN11" s="114"/>
      <c r="HGO11" s="114"/>
      <c r="HGP11" s="114"/>
      <c r="HGQ11" s="114"/>
      <c r="HGR11" s="114"/>
      <c r="HGS11" s="114"/>
      <c r="HGT11" s="114"/>
      <c r="HGU11" s="114"/>
      <c r="HGV11" s="114"/>
      <c r="HGW11" s="114"/>
      <c r="HGX11" s="114"/>
      <c r="HGY11" s="114"/>
      <c r="HGZ11" s="114"/>
      <c r="HHA11" s="114"/>
      <c r="HHB11" s="114"/>
      <c r="HHC11" s="114"/>
      <c r="HHD11" s="114"/>
      <c r="HHE11" s="114"/>
      <c r="HHF11" s="114"/>
      <c r="HHG11" s="114"/>
      <c r="HHH11" s="114"/>
      <c r="HHI11" s="114"/>
      <c r="HHJ11" s="114"/>
      <c r="HHK11" s="114"/>
      <c r="HHL11" s="114"/>
      <c r="HHM11" s="114"/>
      <c r="HHN11" s="114"/>
      <c r="HHO11" s="114"/>
      <c r="HHP11" s="114"/>
      <c r="HHQ11" s="114"/>
      <c r="HHR11" s="114"/>
      <c r="HHS11" s="114"/>
      <c r="HHT11" s="114"/>
      <c r="HHU11" s="114"/>
      <c r="HHV11" s="114"/>
      <c r="HHW11" s="114"/>
      <c r="HHX11" s="114"/>
      <c r="HHY11" s="114"/>
      <c r="HHZ11" s="114"/>
      <c r="HIA11" s="114"/>
      <c r="HIB11" s="114"/>
      <c r="HIC11" s="114"/>
      <c r="HID11" s="114"/>
      <c r="HIE11" s="114"/>
      <c r="HIF11" s="114"/>
      <c r="HIG11" s="114"/>
      <c r="HIH11" s="114"/>
      <c r="HII11" s="114"/>
      <c r="HIJ11" s="114"/>
      <c r="HIK11" s="114"/>
      <c r="HIL11" s="114"/>
      <c r="HIM11" s="114"/>
      <c r="HIN11" s="114"/>
      <c r="HIO11" s="114"/>
      <c r="HIP11" s="114"/>
      <c r="HIQ11" s="114"/>
      <c r="HIR11" s="114"/>
      <c r="HIS11" s="114"/>
      <c r="HIT11" s="114"/>
      <c r="HIU11" s="114"/>
      <c r="HIV11" s="114"/>
      <c r="HIW11" s="114"/>
      <c r="HIX11" s="114"/>
      <c r="HIY11" s="114"/>
      <c r="HIZ11" s="114"/>
      <c r="HJA11" s="114"/>
      <c r="HJB11" s="114"/>
      <c r="HJC11" s="114"/>
      <c r="HJD11" s="114"/>
      <c r="HJE11" s="114"/>
      <c r="HJF11" s="114"/>
      <c r="HJG11" s="114"/>
      <c r="HJH11" s="114"/>
      <c r="HJI11" s="114"/>
      <c r="HJJ11" s="114"/>
      <c r="HJK11" s="114"/>
      <c r="HJL11" s="114"/>
      <c r="HJM11" s="114"/>
      <c r="HJN11" s="114"/>
      <c r="HJO11" s="114"/>
      <c r="HJP11" s="114"/>
      <c r="HJQ11" s="114"/>
      <c r="HJR11" s="114"/>
      <c r="HJS11" s="114"/>
      <c r="HJT11" s="114"/>
      <c r="HJU11" s="114"/>
      <c r="HJV11" s="114"/>
      <c r="HJW11" s="114"/>
      <c r="HJX11" s="114"/>
      <c r="HJY11" s="114"/>
      <c r="HJZ11" s="114"/>
      <c r="HKA11" s="114"/>
      <c r="HKB11" s="114"/>
      <c r="HKC11" s="114"/>
      <c r="HKD11" s="114"/>
      <c r="HKE11" s="114"/>
      <c r="HKF11" s="114"/>
      <c r="HKG11" s="114"/>
      <c r="HKH11" s="114"/>
      <c r="HKI11" s="114"/>
      <c r="HKJ11" s="114"/>
      <c r="HKK11" s="114"/>
      <c r="HKL11" s="114"/>
      <c r="HKM11" s="114"/>
      <c r="HKN11" s="114"/>
      <c r="HKO11" s="114"/>
      <c r="HKP11" s="114"/>
      <c r="HKQ11" s="114"/>
      <c r="HKR11" s="114"/>
      <c r="HKS11" s="114"/>
      <c r="HKT11" s="114"/>
      <c r="HKU11" s="114"/>
      <c r="HKV11" s="114"/>
      <c r="HKW11" s="114"/>
      <c r="HKX11" s="114"/>
      <c r="HKY11" s="114"/>
      <c r="HKZ11" s="114"/>
      <c r="HLA11" s="114"/>
      <c r="HLB11" s="114"/>
      <c r="HLC11" s="114"/>
      <c r="HLD11" s="114"/>
      <c r="HLE11" s="114"/>
      <c r="HLF11" s="114"/>
      <c r="HLG11" s="114"/>
      <c r="HLH11" s="114"/>
      <c r="HLI11" s="114"/>
      <c r="HLJ11" s="114"/>
      <c r="HLK11" s="114"/>
      <c r="HLL11" s="114"/>
      <c r="HLM11" s="114"/>
      <c r="HLN11" s="114"/>
      <c r="HLO11" s="114"/>
      <c r="HLP11" s="114"/>
      <c r="HLQ11" s="114"/>
      <c r="HLR11" s="114"/>
      <c r="HLS11" s="114"/>
      <c r="HLT11" s="114"/>
      <c r="HLU11" s="114"/>
      <c r="HLV11" s="114"/>
      <c r="HLW11" s="114"/>
      <c r="HLX11" s="114"/>
      <c r="HLY11" s="114"/>
      <c r="HLZ11" s="114"/>
      <c r="HMA11" s="114"/>
      <c r="HMB11" s="114"/>
      <c r="HMC11" s="114"/>
      <c r="HMD11" s="114"/>
      <c r="HME11" s="114"/>
      <c r="HMF11" s="114"/>
      <c r="HMG11" s="114"/>
      <c r="HMH11" s="114"/>
      <c r="HMI11" s="114"/>
      <c r="HMJ11" s="114"/>
      <c r="HMK11" s="114"/>
      <c r="HML11" s="114"/>
      <c r="HMM11" s="114"/>
      <c r="HMN11" s="114"/>
      <c r="HMO11" s="114"/>
      <c r="HMP11" s="114"/>
      <c r="HMQ11" s="114"/>
      <c r="HMR11" s="114"/>
      <c r="HMS11" s="114"/>
      <c r="HMT11" s="114"/>
      <c r="HMU11" s="114"/>
      <c r="HMV11" s="114"/>
      <c r="HMW11" s="114"/>
      <c r="HMX11" s="114"/>
      <c r="HMY11" s="114"/>
      <c r="HMZ11" s="114"/>
      <c r="HNA11" s="114"/>
      <c r="HNB11" s="114"/>
      <c r="HNC11" s="114"/>
      <c r="HND11" s="114"/>
      <c r="HNE11" s="114"/>
      <c r="HNF11" s="114"/>
      <c r="HNG11" s="114"/>
      <c r="HNH11" s="114"/>
      <c r="HNI11" s="114"/>
      <c r="HNJ11" s="114"/>
      <c r="HNK11" s="114"/>
      <c r="HNL11" s="114"/>
      <c r="HNM11" s="114"/>
      <c r="HNN11" s="114"/>
      <c r="HNO11" s="114"/>
      <c r="HNP11" s="114"/>
      <c r="HNQ11" s="114"/>
      <c r="HNR11" s="114"/>
      <c r="HNS11" s="114"/>
      <c r="HNT11" s="114"/>
      <c r="HNU11" s="114"/>
      <c r="HNV11" s="114"/>
      <c r="HNW11" s="114"/>
      <c r="HNX11" s="114"/>
      <c r="HNY11" s="114"/>
      <c r="HNZ11" s="114"/>
      <c r="HOA11" s="114"/>
      <c r="HOB11" s="114"/>
      <c r="HOC11" s="114"/>
      <c r="HOD11" s="114"/>
      <c r="HOE11" s="114"/>
      <c r="HOF11" s="114"/>
      <c r="HOG11" s="114"/>
      <c r="HOH11" s="114"/>
      <c r="HOI11" s="114"/>
      <c r="HOJ11" s="114"/>
      <c r="HOK11" s="114"/>
      <c r="HOL11" s="114"/>
      <c r="HOM11" s="114"/>
      <c r="HON11" s="114"/>
      <c r="HOO11" s="114"/>
      <c r="HOP11" s="114"/>
      <c r="HOQ11" s="114"/>
      <c r="HOR11" s="114"/>
      <c r="HOS11" s="114"/>
      <c r="HOT11" s="114"/>
      <c r="HOU11" s="114"/>
      <c r="HOV11" s="114"/>
      <c r="HOW11" s="114"/>
      <c r="HOX11" s="114"/>
      <c r="HOY11" s="114"/>
      <c r="HOZ11" s="114"/>
      <c r="HPA11" s="114"/>
      <c r="HPB11" s="114"/>
      <c r="HPC11" s="114"/>
      <c r="HPD11" s="114"/>
      <c r="HPE11" s="114"/>
      <c r="HPF11" s="114"/>
      <c r="HPG11" s="114"/>
      <c r="HPH11" s="114"/>
      <c r="HPI11" s="114"/>
      <c r="HPJ11" s="114"/>
      <c r="HPK11" s="114"/>
      <c r="HPL11" s="114"/>
      <c r="HPM11" s="114"/>
      <c r="HPN11" s="114"/>
      <c r="HPO11" s="114"/>
      <c r="HPP11" s="114"/>
      <c r="HPQ11" s="114"/>
      <c r="HPR11" s="114"/>
      <c r="HPS11" s="114"/>
      <c r="HPT11" s="114"/>
      <c r="HPU11" s="114"/>
      <c r="HPV11" s="114"/>
      <c r="HPW11" s="114"/>
      <c r="HPX11" s="114"/>
      <c r="HPY11" s="114"/>
      <c r="HPZ11" s="114"/>
      <c r="HQA11" s="114"/>
      <c r="HQB11" s="114"/>
      <c r="HQC11" s="114"/>
      <c r="HQD11" s="114"/>
      <c r="HQE11" s="114"/>
      <c r="HQF11" s="114"/>
      <c r="HQG11" s="114"/>
      <c r="HQH11" s="114"/>
      <c r="HQI11" s="114"/>
      <c r="HQJ11" s="114"/>
      <c r="HQK11" s="114"/>
      <c r="HQL11" s="114"/>
      <c r="HQM11" s="114"/>
      <c r="HQN11" s="114"/>
      <c r="HQO11" s="114"/>
      <c r="HQP11" s="114"/>
      <c r="HQQ11" s="114"/>
      <c r="HQR11" s="114"/>
      <c r="HQS11" s="114"/>
      <c r="HQT11" s="114"/>
      <c r="HQU11" s="114"/>
      <c r="HQV11" s="114"/>
      <c r="HQW11" s="114"/>
      <c r="HQX11" s="114"/>
      <c r="HQY11" s="114"/>
      <c r="HQZ11" s="114"/>
      <c r="HRA11" s="114"/>
      <c r="HRB11" s="114"/>
      <c r="HRC11" s="114"/>
      <c r="HRD11" s="114"/>
      <c r="HRE11" s="114"/>
      <c r="HRF11" s="114"/>
      <c r="HRG11" s="114"/>
      <c r="HRH11" s="114"/>
      <c r="HRI11" s="114"/>
      <c r="HRJ11" s="114"/>
      <c r="HRK11" s="114"/>
      <c r="HRL11" s="114"/>
      <c r="HRM11" s="114"/>
      <c r="HRN11" s="114"/>
      <c r="HRO11" s="114"/>
      <c r="HRP11" s="114"/>
      <c r="HRQ11" s="114"/>
      <c r="HRR11" s="114"/>
      <c r="HRS11" s="114"/>
      <c r="HRT11" s="114"/>
      <c r="HRU11" s="114"/>
      <c r="HRV11" s="114"/>
      <c r="HRW11" s="114"/>
      <c r="HRX11" s="114"/>
      <c r="HRY11" s="114"/>
      <c r="HRZ11" s="114"/>
      <c r="HSA11" s="114"/>
      <c r="HSB11" s="114"/>
      <c r="HSC11" s="114"/>
      <c r="HSD11" s="114"/>
      <c r="HSE11" s="114"/>
      <c r="HSF11" s="114"/>
      <c r="HSG11" s="114"/>
      <c r="HSH11" s="114"/>
      <c r="HSI11" s="114"/>
      <c r="HSJ11" s="114"/>
      <c r="HSK11" s="114"/>
      <c r="HSL11" s="114"/>
      <c r="HSM11" s="114"/>
      <c r="HSN11" s="114"/>
      <c r="HSO11" s="114"/>
      <c r="HSP11" s="114"/>
      <c r="HSQ11" s="114"/>
      <c r="HSR11" s="114"/>
      <c r="HSS11" s="114"/>
      <c r="HST11" s="114"/>
      <c r="HSU11" s="114"/>
      <c r="HSV11" s="114"/>
      <c r="HSW11" s="114"/>
      <c r="HSX11" s="114"/>
      <c r="HSY11" s="114"/>
      <c r="HSZ11" s="114"/>
      <c r="HTA11" s="114"/>
      <c r="HTB11" s="114"/>
      <c r="HTC11" s="114"/>
      <c r="HTD11" s="114"/>
      <c r="HTE11" s="114"/>
      <c r="HTF11" s="114"/>
      <c r="HTG11" s="114"/>
      <c r="HTH11" s="114"/>
      <c r="HTI11" s="114"/>
      <c r="HTJ11" s="114"/>
      <c r="HTK11" s="114"/>
      <c r="HTL11" s="114"/>
      <c r="HTM11" s="114"/>
      <c r="HTN11" s="114"/>
      <c r="HTO11" s="114"/>
      <c r="HTP11" s="114"/>
      <c r="HTQ11" s="114"/>
      <c r="HTR11" s="114"/>
      <c r="HTS11" s="114"/>
      <c r="HTT11" s="114"/>
      <c r="HTU11" s="114"/>
      <c r="HTV11" s="114"/>
      <c r="HTW11" s="114"/>
      <c r="HTX11" s="114"/>
      <c r="HTY11" s="114"/>
      <c r="HTZ11" s="114"/>
      <c r="HUA11" s="114"/>
      <c r="HUB11" s="114"/>
      <c r="HUC11" s="114"/>
      <c r="HUD11" s="114"/>
      <c r="HUE11" s="114"/>
      <c r="HUF11" s="114"/>
      <c r="HUG11" s="114"/>
      <c r="HUH11" s="114"/>
      <c r="HUI11" s="114"/>
      <c r="HUJ11" s="114"/>
      <c r="HUK11" s="114"/>
      <c r="HUL11" s="114"/>
      <c r="HUM11" s="114"/>
      <c r="HUN11" s="114"/>
      <c r="HUO11" s="114"/>
      <c r="HUP11" s="114"/>
      <c r="HUQ11" s="114"/>
      <c r="HUR11" s="114"/>
      <c r="HUS11" s="114"/>
      <c r="HUT11" s="114"/>
      <c r="HUU11" s="114"/>
      <c r="HUV11" s="114"/>
      <c r="HUW11" s="114"/>
      <c r="HUX11" s="114"/>
      <c r="HUY11" s="114"/>
      <c r="HUZ11" s="114"/>
      <c r="HVA11" s="114"/>
      <c r="HVB11" s="114"/>
      <c r="HVC11" s="114"/>
      <c r="HVD11" s="114"/>
      <c r="HVE11" s="114"/>
      <c r="HVF11" s="114"/>
      <c r="HVG11" s="114"/>
      <c r="HVH11" s="114"/>
      <c r="HVI11" s="114"/>
      <c r="HVJ11" s="114"/>
      <c r="HVK11" s="114"/>
      <c r="HVL11" s="114"/>
      <c r="HVM11" s="114"/>
      <c r="HVN11" s="114"/>
      <c r="HVO11" s="114"/>
      <c r="HVP11" s="114"/>
      <c r="HVQ11" s="114"/>
      <c r="HVR11" s="114"/>
      <c r="HVS11" s="114"/>
      <c r="HVT11" s="114"/>
      <c r="HVU11" s="114"/>
      <c r="HVV11" s="114"/>
      <c r="HVW11" s="114"/>
      <c r="HVX11" s="114"/>
      <c r="HVY11" s="114"/>
      <c r="HVZ11" s="114"/>
      <c r="HWA11" s="114"/>
      <c r="HWB11" s="114"/>
      <c r="HWC11" s="114"/>
      <c r="HWD11" s="114"/>
      <c r="HWE11" s="114"/>
      <c r="HWF11" s="114"/>
      <c r="HWG11" s="114"/>
      <c r="HWH11" s="114"/>
      <c r="HWI11" s="114"/>
      <c r="HWJ11" s="114"/>
      <c r="HWK11" s="114"/>
      <c r="HWL11" s="114"/>
      <c r="HWM11" s="114"/>
      <c r="HWN11" s="114"/>
      <c r="HWO11" s="114"/>
      <c r="HWP11" s="114"/>
      <c r="HWQ11" s="114"/>
      <c r="HWR11" s="114"/>
      <c r="HWS11" s="114"/>
      <c r="HWT11" s="114"/>
      <c r="HWU11" s="114"/>
      <c r="HWV11" s="114"/>
      <c r="HWW11" s="114"/>
      <c r="HWX11" s="114"/>
      <c r="HWY11" s="114"/>
      <c r="HWZ11" s="114"/>
      <c r="HXA11" s="114"/>
      <c r="HXB11" s="114"/>
      <c r="HXC11" s="114"/>
      <c r="HXD11" s="114"/>
      <c r="HXE11" s="114"/>
      <c r="HXF11" s="114"/>
      <c r="HXG11" s="114"/>
      <c r="HXH11" s="114"/>
      <c r="HXI11" s="114"/>
      <c r="HXJ11" s="114"/>
      <c r="HXK11" s="114"/>
      <c r="HXL11" s="114"/>
      <c r="HXM11" s="114"/>
      <c r="HXN11" s="114"/>
      <c r="HXO11" s="114"/>
      <c r="HXP11" s="114"/>
      <c r="HXQ11" s="114"/>
      <c r="HXR11" s="114"/>
      <c r="HXS11" s="114"/>
      <c r="HXT11" s="114"/>
      <c r="HXU11" s="114"/>
      <c r="HXV11" s="114"/>
      <c r="HXW11" s="114"/>
      <c r="HXX11" s="114"/>
      <c r="HXY11" s="114"/>
      <c r="HXZ11" s="114"/>
      <c r="HYA11" s="114"/>
      <c r="HYB11" s="114"/>
      <c r="HYC11" s="114"/>
      <c r="HYD11" s="114"/>
      <c r="HYE11" s="114"/>
      <c r="HYF11" s="114"/>
      <c r="HYG11" s="114"/>
      <c r="HYH11" s="114"/>
      <c r="HYI11" s="114"/>
      <c r="HYJ11" s="114"/>
      <c r="HYK11" s="114"/>
      <c r="HYL11" s="114"/>
      <c r="HYM11" s="114"/>
      <c r="HYN11" s="114"/>
      <c r="HYO11" s="114"/>
      <c r="HYP11" s="114"/>
      <c r="HYQ11" s="114"/>
      <c r="HYR11" s="114"/>
      <c r="HYS11" s="114"/>
      <c r="HYT11" s="114"/>
      <c r="HYU11" s="114"/>
      <c r="HYV11" s="114"/>
      <c r="HYW11" s="114"/>
      <c r="HYX11" s="114"/>
      <c r="HYY11" s="114"/>
      <c r="HYZ11" s="114"/>
      <c r="HZA11" s="114"/>
      <c r="HZB11" s="114"/>
      <c r="HZC11" s="114"/>
      <c r="HZD11" s="114"/>
      <c r="HZE11" s="114"/>
      <c r="HZF11" s="114"/>
      <c r="HZG11" s="114"/>
      <c r="HZH11" s="114"/>
      <c r="HZI11" s="114"/>
      <c r="HZJ11" s="114"/>
      <c r="HZK11" s="114"/>
      <c r="HZL11" s="114"/>
      <c r="HZM11" s="114"/>
      <c r="HZN11" s="114"/>
      <c r="HZO11" s="114"/>
      <c r="HZP11" s="114"/>
      <c r="HZQ11" s="114"/>
      <c r="HZR11" s="114"/>
      <c r="HZS11" s="114"/>
      <c r="HZT11" s="114"/>
      <c r="HZU11" s="114"/>
      <c r="HZV11" s="114"/>
      <c r="HZW11" s="114"/>
      <c r="HZX11" s="114"/>
      <c r="HZY11" s="114"/>
      <c r="HZZ11" s="114"/>
      <c r="IAA11" s="114"/>
      <c r="IAB11" s="114"/>
      <c r="IAC11" s="114"/>
      <c r="IAD11" s="114"/>
      <c r="IAE11" s="114"/>
      <c r="IAF11" s="114"/>
      <c r="IAG11" s="114"/>
      <c r="IAH11" s="114"/>
      <c r="IAI11" s="114"/>
      <c r="IAJ11" s="114"/>
      <c r="IAK11" s="114"/>
      <c r="IAL11" s="114"/>
      <c r="IAM11" s="114"/>
      <c r="IAN11" s="114"/>
      <c r="IAO11" s="114"/>
      <c r="IAP11" s="114"/>
      <c r="IAQ11" s="114"/>
      <c r="IAR11" s="114"/>
      <c r="IAS11" s="114"/>
      <c r="IAT11" s="114"/>
      <c r="IAU11" s="114"/>
      <c r="IAV11" s="114"/>
      <c r="IAW11" s="114"/>
      <c r="IAX11" s="114"/>
      <c r="IAY11" s="114"/>
      <c r="IAZ11" s="114"/>
      <c r="IBA11" s="114"/>
      <c r="IBB11" s="114"/>
      <c r="IBC11" s="114"/>
      <c r="IBD11" s="114"/>
      <c r="IBE11" s="114"/>
      <c r="IBF11" s="114"/>
      <c r="IBG11" s="114"/>
      <c r="IBH11" s="114"/>
      <c r="IBI11" s="114"/>
      <c r="IBJ11" s="114"/>
      <c r="IBK11" s="114"/>
      <c r="IBL11" s="114"/>
      <c r="IBM11" s="114"/>
      <c r="IBN11" s="114"/>
      <c r="IBO11" s="114"/>
      <c r="IBP11" s="114"/>
      <c r="IBQ11" s="114"/>
      <c r="IBR11" s="114"/>
      <c r="IBS11" s="114"/>
      <c r="IBT11" s="114"/>
      <c r="IBU11" s="114"/>
      <c r="IBV11" s="114"/>
      <c r="IBW11" s="114"/>
      <c r="IBX11" s="114"/>
      <c r="IBY11" s="114"/>
      <c r="IBZ11" s="114"/>
      <c r="ICA11" s="114"/>
      <c r="ICB11" s="114"/>
      <c r="ICC11" s="114"/>
      <c r="ICD11" s="114"/>
      <c r="ICE11" s="114"/>
      <c r="ICF11" s="114"/>
      <c r="ICG11" s="114"/>
      <c r="ICH11" s="114"/>
      <c r="ICI11" s="114"/>
      <c r="ICJ11" s="114"/>
      <c r="ICK11" s="114"/>
      <c r="ICL11" s="114"/>
      <c r="ICM11" s="114"/>
      <c r="ICN11" s="114"/>
      <c r="ICO11" s="114"/>
      <c r="ICP11" s="114"/>
      <c r="ICQ11" s="114"/>
      <c r="ICR11" s="114"/>
      <c r="ICS11" s="114"/>
      <c r="ICT11" s="114"/>
      <c r="ICU11" s="114"/>
      <c r="ICV11" s="114"/>
      <c r="ICW11" s="114"/>
      <c r="ICX11" s="114"/>
      <c r="ICY11" s="114"/>
      <c r="ICZ11" s="114"/>
      <c r="IDA11" s="114"/>
      <c r="IDB11" s="114"/>
      <c r="IDC11" s="114"/>
      <c r="IDD11" s="114"/>
      <c r="IDE11" s="114"/>
      <c r="IDF11" s="114"/>
      <c r="IDG11" s="114"/>
      <c r="IDH11" s="114"/>
      <c r="IDI11" s="114"/>
      <c r="IDJ11" s="114"/>
      <c r="IDK11" s="114"/>
      <c r="IDL11" s="114"/>
      <c r="IDM11" s="114"/>
      <c r="IDN11" s="114"/>
      <c r="IDO11" s="114"/>
      <c r="IDP11" s="114"/>
      <c r="IDQ11" s="114"/>
      <c r="IDR11" s="114"/>
      <c r="IDS11" s="114"/>
      <c r="IDT11" s="114"/>
      <c r="IDU11" s="114"/>
      <c r="IDV11" s="114"/>
      <c r="IDW11" s="114"/>
      <c r="IDX11" s="114"/>
      <c r="IDY11" s="114"/>
      <c r="IDZ11" s="114"/>
      <c r="IEA11" s="114"/>
      <c r="IEB11" s="114"/>
      <c r="IEC11" s="114"/>
      <c r="IED11" s="114"/>
      <c r="IEE11" s="114"/>
      <c r="IEF11" s="114"/>
      <c r="IEG11" s="114"/>
      <c r="IEH11" s="114"/>
      <c r="IEI11" s="114"/>
      <c r="IEJ11" s="114"/>
      <c r="IEK11" s="114"/>
      <c r="IEL11" s="114"/>
      <c r="IEM11" s="114"/>
      <c r="IEN11" s="114"/>
      <c r="IEO11" s="114"/>
      <c r="IEP11" s="114"/>
      <c r="IEQ11" s="114"/>
      <c r="IER11" s="114"/>
      <c r="IES11" s="114"/>
      <c r="IET11" s="114"/>
      <c r="IEU11" s="114"/>
      <c r="IEV11" s="114"/>
      <c r="IEW11" s="114"/>
      <c r="IEX11" s="114"/>
      <c r="IEY11" s="114"/>
      <c r="IEZ11" s="114"/>
      <c r="IFA11" s="114"/>
      <c r="IFB11" s="114"/>
      <c r="IFC11" s="114"/>
      <c r="IFD11" s="114"/>
      <c r="IFE11" s="114"/>
      <c r="IFF11" s="114"/>
      <c r="IFG11" s="114"/>
      <c r="IFH11" s="114"/>
      <c r="IFI11" s="114"/>
      <c r="IFJ11" s="114"/>
      <c r="IFK11" s="114"/>
      <c r="IFL11" s="114"/>
      <c r="IFM11" s="114"/>
      <c r="IFN11" s="114"/>
      <c r="IFO11" s="114"/>
      <c r="IFP11" s="114"/>
      <c r="IFQ11" s="114"/>
      <c r="IFR11" s="114"/>
      <c r="IFS11" s="114"/>
      <c r="IFT11" s="114"/>
      <c r="IFU11" s="114"/>
      <c r="IFV11" s="114"/>
      <c r="IFW11" s="114"/>
      <c r="IFX11" s="114"/>
      <c r="IFY11" s="114"/>
      <c r="IFZ11" s="114"/>
      <c r="IGA11" s="114"/>
      <c r="IGB11" s="114"/>
      <c r="IGC11" s="114"/>
      <c r="IGD11" s="114"/>
      <c r="IGE11" s="114"/>
      <c r="IGF11" s="114"/>
      <c r="IGG11" s="114"/>
      <c r="IGH11" s="114"/>
      <c r="IGI11" s="114"/>
      <c r="IGJ11" s="114"/>
      <c r="IGK11" s="114"/>
      <c r="IGL11" s="114"/>
      <c r="IGM11" s="114"/>
      <c r="IGN11" s="114"/>
      <c r="IGO11" s="114"/>
      <c r="IGP11" s="114"/>
      <c r="IGQ11" s="114"/>
      <c r="IGR11" s="114"/>
      <c r="IGS11" s="114"/>
      <c r="IGT11" s="114"/>
      <c r="IGU11" s="114"/>
      <c r="IGV11" s="114"/>
      <c r="IGW11" s="114"/>
      <c r="IGX11" s="114"/>
      <c r="IGY11" s="114"/>
      <c r="IGZ11" s="114"/>
      <c r="IHA11" s="114"/>
      <c r="IHB11" s="114"/>
      <c r="IHC11" s="114"/>
      <c r="IHD11" s="114"/>
      <c r="IHE11" s="114"/>
      <c r="IHF11" s="114"/>
      <c r="IHG11" s="114"/>
      <c r="IHH11" s="114"/>
      <c r="IHI11" s="114"/>
      <c r="IHJ11" s="114"/>
      <c r="IHK11" s="114"/>
      <c r="IHL11" s="114"/>
      <c r="IHM11" s="114"/>
      <c r="IHN11" s="114"/>
      <c r="IHO11" s="114"/>
      <c r="IHP11" s="114"/>
      <c r="IHQ11" s="114"/>
      <c r="IHR11" s="114"/>
      <c r="IHS11" s="114"/>
      <c r="IHT11" s="114"/>
      <c r="IHU11" s="114"/>
      <c r="IHV11" s="114"/>
      <c r="IHW11" s="114"/>
      <c r="IHX11" s="114"/>
      <c r="IHY11" s="114"/>
      <c r="IHZ11" s="114"/>
      <c r="IIA11" s="114"/>
      <c r="IIB11" s="114"/>
      <c r="IIC11" s="114"/>
      <c r="IID11" s="114"/>
      <c r="IIE11" s="114"/>
      <c r="IIF11" s="114"/>
      <c r="IIG11" s="114"/>
      <c r="IIH11" s="114"/>
      <c r="III11" s="114"/>
      <c r="IIJ11" s="114"/>
      <c r="IIK11" s="114"/>
      <c r="IIL11" s="114"/>
      <c r="IIM11" s="114"/>
      <c r="IIN11" s="114"/>
      <c r="IIO11" s="114"/>
      <c r="IIP11" s="114"/>
      <c r="IIQ11" s="114"/>
      <c r="IIR11" s="114"/>
      <c r="IIS11" s="114"/>
      <c r="IIT11" s="114"/>
      <c r="IIU11" s="114"/>
      <c r="IIV11" s="114"/>
      <c r="IIW11" s="114"/>
      <c r="IIX11" s="114"/>
      <c r="IIY11" s="114"/>
      <c r="IIZ11" s="114"/>
      <c r="IJA11" s="114"/>
      <c r="IJB11" s="114"/>
      <c r="IJC11" s="114"/>
      <c r="IJD11" s="114"/>
      <c r="IJE11" s="114"/>
      <c r="IJF11" s="114"/>
      <c r="IJG11" s="114"/>
      <c r="IJH11" s="114"/>
      <c r="IJI11" s="114"/>
      <c r="IJJ11" s="114"/>
      <c r="IJK11" s="114"/>
      <c r="IJL11" s="114"/>
      <c r="IJM11" s="114"/>
      <c r="IJN11" s="114"/>
      <c r="IJO11" s="114"/>
      <c r="IJP11" s="114"/>
      <c r="IJQ11" s="114"/>
      <c r="IJR11" s="114"/>
      <c r="IJS11" s="114"/>
      <c r="IJT11" s="114"/>
      <c r="IJU11" s="114"/>
      <c r="IJV11" s="114"/>
      <c r="IJW11" s="114"/>
      <c r="IJX11" s="114"/>
      <c r="IJY11" s="114"/>
      <c r="IJZ11" s="114"/>
      <c r="IKA11" s="114"/>
      <c r="IKB11" s="114"/>
      <c r="IKC11" s="114"/>
      <c r="IKD11" s="114"/>
      <c r="IKE11" s="114"/>
      <c r="IKF11" s="114"/>
      <c r="IKG11" s="114"/>
      <c r="IKH11" s="114"/>
      <c r="IKI11" s="114"/>
      <c r="IKJ11" s="114"/>
      <c r="IKK11" s="114"/>
      <c r="IKL11" s="114"/>
      <c r="IKM11" s="114"/>
      <c r="IKN11" s="114"/>
      <c r="IKO11" s="114"/>
      <c r="IKP11" s="114"/>
      <c r="IKQ11" s="114"/>
      <c r="IKR11" s="114"/>
      <c r="IKS11" s="114"/>
      <c r="IKT11" s="114"/>
      <c r="IKU11" s="114"/>
      <c r="IKV11" s="114"/>
      <c r="IKW11" s="114"/>
      <c r="IKX11" s="114"/>
      <c r="IKY11" s="114"/>
      <c r="IKZ11" s="114"/>
      <c r="ILA11" s="114"/>
      <c r="ILB11" s="114"/>
      <c r="ILC11" s="114"/>
      <c r="ILD11" s="114"/>
      <c r="ILE11" s="114"/>
      <c r="ILF11" s="114"/>
      <c r="ILG11" s="114"/>
      <c r="ILH11" s="114"/>
      <c r="ILI11" s="114"/>
      <c r="ILJ11" s="114"/>
      <c r="ILK11" s="114"/>
      <c r="ILL11" s="114"/>
      <c r="ILM11" s="114"/>
      <c r="ILN11" s="114"/>
      <c r="ILO11" s="114"/>
      <c r="ILP11" s="114"/>
      <c r="ILQ11" s="114"/>
      <c r="ILR11" s="114"/>
      <c r="ILS11" s="114"/>
      <c r="ILT11" s="114"/>
      <c r="ILU11" s="114"/>
      <c r="ILV11" s="114"/>
      <c r="ILW11" s="114"/>
      <c r="ILX11" s="114"/>
      <c r="ILY11" s="114"/>
      <c r="ILZ11" s="114"/>
      <c r="IMA11" s="114"/>
      <c r="IMB11" s="114"/>
      <c r="IMC11" s="114"/>
      <c r="IMD11" s="114"/>
      <c r="IME11" s="114"/>
      <c r="IMF11" s="114"/>
      <c r="IMG11" s="114"/>
      <c r="IMH11" s="114"/>
      <c r="IMI11" s="114"/>
      <c r="IMJ11" s="114"/>
      <c r="IMK11" s="114"/>
      <c r="IML11" s="114"/>
      <c r="IMM11" s="114"/>
      <c r="IMN11" s="114"/>
      <c r="IMO11" s="114"/>
      <c r="IMP11" s="114"/>
      <c r="IMQ11" s="114"/>
      <c r="IMR11" s="114"/>
      <c r="IMS11" s="114"/>
      <c r="IMT11" s="114"/>
      <c r="IMU11" s="114"/>
      <c r="IMV11" s="114"/>
      <c r="IMW11" s="114"/>
      <c r="IMX11" s="114"/>
      <c r="IMY11" s="114"/>
      <c r="IMZ11" s="114"/>
      <c r="INA11" s="114"/>
      <c r="INB11" s="114"/>
      <c r="INC11" s="114"/>
      <c r="IND11" s="114"/>
      <c r="INE11" s="114"/>
      <c r="INF11" s="114"/>
      <c r="ING11" s="114"/>
      <c r="INH11" s="114"/>
      <c r="INI11" s="114"/>
      <c r="INJ11" s="114"/>
      <c r="INK11" s="114"/>
      <c r="INL11" s="114"/>
      <c r="INM11" s="114"/>
      <c r="INN11" s="114"/>
      <c r="INO11" s="114"/>
      <c r="INP11" s="114"/>
      <c r="INQ11" s="114"/>
      <c r="INR11" s="114"/>
      <c r="INS11" s="114"/>
      <c r="INT11" s="114"/>
      <c r="INU11" s="114"/>
      <c r="INV11" s="114"/>
      <c r="INW11" s="114"/>
      <c r="INX11" s="114"/>
      <c r="INY11" s="114"/>
      <c r="INZ11" s="114"/>
      <c r="IOA11" s="114"/>
      <c r="IOB11" s="114"/>
      <c r="IOC11" s="114"/>
      <c r="IOD11" s="114"/>
      <c r="IOE11" s="114"/>
      <c r="IOF11" s="114"/>
      <c r="IOG11" s="114"/>
      <c r="IOH11" s="114"/>
      <c r="IOI11" s="114"/>
      <c r="IOJ11" s="114"/>
      <c r="IOK11" s="114"/>
      <c r="IOL11" s="114"/>
      <c r="IOM11" s="114"/>
      <c r="ION11" s="114"/>
      <c r="IOO11" s="114"/>
      <c r="IOP11" s="114"/>
      <c r="IOQ11" s="114"/>
      <c r="IOR11" s="114"/>
      <c r="IOS11" s="114"/>
      <c r="IOT11" s="114"/>
      <c r="IOU11" s="114"/>
      <c r="IOV11" s="114"/>
      <c r="IOW11" s="114"/>
      <c r="IOX11" s="114"/>
      <c r="IOY11" s="114"/>
      <c r="IOZ11" s="114"/>
      <c r="IPA11" s="114"/>
      <c r="IPB11" s="114"/>
      <c r="IPC11" s="114"/>
      <c r="IPD11" s="114"/>
      <c r="IPE11" s="114"/>
      <c r="IPF11" s="114"/>
      <c r="IPG11" s="114"/>
      <c r="IPH11" s="114"/>
      <c r="IPI11" s="114"/>
      <c r="IPJ11" s="114"/>
      <c r="IPK11" s="114"/>
      <c r="IPL11" s="114"/>
      <c r="IPM11" s="114"/>
      <c r="IPN11" s="114"/>
      <c r="IPO11" s="114"/>
      <c r="IPP11" s="114"/>
      <c r="IPQ11" s="114"/>
      <c r="IPR11" s="114"/>
      <c r="IPS11" s="114"/>
      <c r="IPT11" s="114"/>
      <c r="IPU11" s="114"/>
      <c r="IPV11" s="114"/>
      <c r="IPW11" s="114"/>
      <c r="IPX11" s="114"/>
      <c r="IPY11" s="114"/>
      <c r="IPZ11" s="114"/>
      <c r="IQA11" s="114"/>
      <c r="IQB11" s="114"/>
      <c r="IQC11" s="114"/>
      <c r="IQD11" s="114"/>
      <c r="IQE11" s="114"/>
      <c r="IQF11" s="114"/>
      <c r="IQG11" s="114"/>
      <c r="IQH11" s="114"/>
      <c r="IQI11" s="114"/>
      <c r="IQJ11" s="114"/>
      <c r="IQK11" s="114"/>
      <c r="IQL11" s="114"/>
      <c r="IQM11" s="114"/>
      <c r="IQN11" s="114"/>
      <c r="IQO11" s="114"/>
      <c r="IQP11" s="114"/>
      <c r="IQQ11" s="114"/>
      <c r="IQR11" s="114"/>
      <c r="IQS11" s="114"/>
      <c r="IQT11" s="114"/>
      <c r="IQU11" s="114"/>
      <c r="IQV11" s="114"/>
      <c r="IQW11" s="114"/>
      <c r="IQX11" s="114"/>
      <c r="IQY11" s="114"/>
      <c r="IQZ11" s="114"/>
      <c r="IRA11" s="114"/>
      <c r="IRB11" s="114"/>
      <c r="IRC11" s="114"/>
      <c r="IRD11" s="114"/>
      <c r="IRE11" s="114"/>
      <c r="IRF11" s="114"/>
      <c r="IRG11" s="114"/>
      <c r="IRH11" s="114"/>
      <c r="IRI11" s="114"/>
      <c r="IRJ11" s="114"/>
      <c r="IRK11" s="114"/>
      <c r="IRL11" s="114"/>
      <c r="IRM11" s="114"/>
      <c r="IRN11" s="114"/>
      <c r="IRO11" s="114"/>
      <c r="IRP11" s="114"/>
      <c r="IRQ11" s="114"/>
      <c r="IRR11" s="114"/>
      <c r="IRS11" s="114"/>
      <c r="IRT11" s="114"/>
      <c r="IRU11" s="114"/>
      <c r="IRV11" s="114"/>
      <c r="IRW11" s="114"/>
      <c r="IRX11" s="114"/>
      <c r="IRY11" s="114"/>
      <c r="IRZ11" s="114"/>
      <c r="ISA11" s="114"/>
      <c r="ISB11" s="114"/>
      <c r="ISC11" s="114"/>
      <c r="ISD11" s="114"/>
      <c r="ISE11" s="114"/>
      <c r="ISF11" s="114"/>
      <c r="ISG11" s="114"/>
      <c r="ISH11" s="114"/>
      <c r="ISI11" s="114"/>
      <c r="ISJ11" s="114"/>
      <c r="ISK11" s="114"/>
      <c r="ISL11" s="114"/>
      <c r="ISM11" s="114"/>
      <c r="ISN11" s="114"/>
      <c r="ISO11" s="114"/>
      <c r="ISP11" s="114"/>
      <c r="ISQ11" s="114"/>
      <c r="ISR11" s="114"/>
      <c r="ISS11" s="114"/>
      <c r="IST11" s="114"/>
      <c r="ISU11" s="114"/>
      <c r="ISV11" s="114"/>
      <c r="ISW11" s="114"/>
      <c r="ISX11" s="114"/>
      <c r="ISY11" s="114"/>
      <c r="ISZ11" s="114"/>
      <c r="ITA11" s="114"/>
      <c r="ITB11" s="114"/>
      <c r="ITC11" s="114"/>
      <c r="ITD11" s="114"/>
      <c r="ITE11" s="114"/>
      <c r="ITF11" s="114"/>
      <c r="ITG11" s="114"/>
      <c r="ITH11" s="114"/>
      <c r="ITI11" s="114"/>
      <c r="ITJ11" s="114"/>
      <c r="ITK11" s="114"/>
      <c r="ITL11" s="114"/>
      <c r="ITM11" s="114"/>
      <c r="ITN11" s="114"/>
      <c r="ITO11" s="114"/>
      <c r="ITP11" s="114"/>
      <c r="ITQ11" s="114"/>
      <c r="ITR11" s="114"/>
      <c r="ITS11" s="114"/>
      <c r="ITT11" s="114"/>
      <c r="ITU11" s="114"/>
      <c r="ITV11" s="114"/>
      <c r="ITW11" s="114"/>
      <c r="ITX11" s="114"/>
      <c r="ITY11" s="114"/>
      <c r="ITZ11" s="114"/>
      <c r="IUA11" s="114"/>
      <c r="IUB11" s="114"/>
      <c r="IUC11" s="114"/>
      <c r="IUD11" s="114"/>
      <c r="IUE11" s="114"/>
      <c r="IUF11" s="114"/>
      <c r="IUG11" s="114"/>
      <c r="IUH11" s="114"/>
      <c r="IUI11" s="114"/>
      <c r="IUJ11" s="114"/>
      <c r="IUK11" s="114"/>
      <c r="IUL11" s="114"/>
      <c r="IUM11" s="114"/>
      <c r="IUN11" s="114"/>
      <c r="IUO11" s="114"/>
      <c r="IUP11" s="114"/>
      <c r="IUQ11" s="114"/>
      <c r="IUR11" s="114"/>
      <c r="IUS11" s="114"/>
      <c r="IUT11" s="114"/>
      <c r="IUU11" s="114"/>
      <c r="IUV11" s="114"/>
      <c r="IUW11" s="114"/>
      <c r="IUX11" s="114"/>
      <c r="IUY11" s="114"/>
      <c r="IUZ11" s="114"/>
      <c r="IVA11" s="114"/>
      <c r="IVB11" s="114"/>
      <c r="IVC11" s="114"/>
      <c r="IVD11" s="114"/>
      <c r="IVE11" s="114"/>
      <c r="IVF11" s="114"/>
      <c r="IVG11" s="114"/>
      <c r="IVH11" s="114"/>
      <c r="IVI11" s="114"/>
      <c r="IVJ11" s="114"/>
      <c r="IVK11" s="114"/>
      <c r="IVL11" s="114"/>
      <c r="IVM11" s="114"/>
      <c r="IVN11" s="114"/>
      <c r="IVO11" s="114"/>
      <c r="IVP11" s="114"/>
      <c r="IVQ11" s="114"/>
      <c r="IVR11" s="114"/>
      <c r="IVS11" s="114"/>
      <c r="IVT11" s="114"/>
      <c r="IVU11" s="114"/>
      <c r="IVV11" s="114"/>
      <c r="IVW11" s="114"/>
      <c r="IVX11" s="114"/>
      <c r="IVY11" s="114"/>
      <c r="IVZ11" s="114"/>
      <c r="IWA11" s="114"/>
      <c r="IWB11" s="114"/>
      <c r="IWC11" s="114"/>
      <c r="IWD11" s="114"/>
      <c r="IWE11" s="114"/>
      <c r="IWF11" s="114"/>
      <c r="IWG11" s="114"/>
      <c r="IWH11" s="114"/>
      <c r="IWI11" s="114"/>
      <c r="IWJ11" s="114"/>
      <c r="IWK11" s="114"/>
      <c r="IWL11" s="114"/>
      <c r="IWM11" s="114"/>
      <c r="IWN11" s="114"/>
      <c r="IWO11" s="114"/>
      <c r="IWP11" s="114"/>
      <c r="IWQ11" s="114"/>
      <c r="IWR11" s="114"/>
      <c r="IWS11" s="114"/>
      <c r="IWT11" s="114"/>
      <c r="IWU11" s="114"/>
      <c r="IWV11" s="114"/>
      <c r="IWW11" s="114"/>
      <c r="IWX11" s="114"/>
      <c r="IWY11" s="114"/>
      <c r="IWZ11" s="114"/>
      <c r="IXA11" s="114"/>
      <c r="IXB11" s="114"/>
      <c r="IXC11" s="114"/>
      <c r="IXD11" s="114"/>
      <c r="IXE11" s="114"/>
      <c r="IXF11" s="114"/>
      <c r="IXG11" s="114"/>
      <c r="IXH11" s="114"/>
      <c r="IXI11" s="114"/>
      <c r="IXJ11" s="114"/>
      <c r="IXK11" s="114"/>
      <c r="IXL11" s="114"/>
      <c r="IXM11" s="114"/>
      <c r="IXN11" s="114"/>
      <c r="IXO11" s="114"/>
      <c r="IXP11" s="114"/>
      <c r="IXQ11" s="114"/>
      <c r="IXR11" s="114"/>
      <c r="IXS11" s="114"/>
      <c r="IXT11" s="114"/>
      <c r="IXU11" s="114"/>
      <c r="IXV11" s="114"/>
      <c r="IXW11" s="114"/>
      <c r="IXX11" s="114"/>
      <c r="IXY11" s="114"/>
      <c r="IXZ11" s="114"/>
      <c r="IYA11" s="114"/>
      <c r="IYB11" s="114"/>
      <c r="IYC11" s="114"/>
      <c r="IYD11" s="114"/>
      <c r="IYE11" s="114"/>
      <c r="IYF11" s="114"/>
      <c r="IYG11" s="114"/>
      <c r="IYH11" s="114"/>
      <c r="IYI11" s="114"/>
      <c r="IYJ11" s="114"/>
      <c r="IYK11" s="114"/>
      <c r="IYL11" s="114"/>
      <c r="IYM11" s="114"/>
      <c r="IYN11" s="114"/>
      <c r="IYO11" s="114"/>
      <c r="IYP11" s="114"/>
      <c r="IYQ11" s="114"/>
      <c r="IYR11" s="114"/>
      <c r="IYS11" s="114"/>
      <c r="IYT11" s="114"/>
      <c r="IYU11" s="114"/>
      <c r="IYV11" s="114"/>
      <c r="IYW11" s="114"/>
      <c r="IYX11" s="114"/>
      <c r="IYY11" s="114"/>
      <c r="IYZ11" s="114"/>
      <c r="IZA11" s="114"/>
      <c r="IZB11" s="114"/>
      <c r="IZC11" s="114"/>
      <c r="IZD11" s="114"/>
      <c r="IZE11" s="114"/>
      <c r="IZF11" s="114"/>
      <c r="IZG11" s="114"/>
      <c r="IZH11" s="114"/>
      <c r="IZI11" s="114"/>
      <c r="IZJ11" s="114"/>
      <c r="IZK11" s="114"/>
      <c r="IZL11" s="114"/>
      <c r="IZM11" s="114"/>
      <c r="IZN11" s="114"/>
      <c r="IZO11" s="114"/>
      <c r="IZP11" s="114"/>
      <c r="IZQ11" s="114"/>
      <c r="IZR11" s="114"/>
      <c r="IZS11" s="114"/>
      <c r="IZT11" s="114"/>
      <c r="IZU11" s="114"/>
      <c r="IZV11" s="114"/>
      <c r="IZW11" s="114"/>
      <c r="IZX11" s="114"/>
      <c r="IZY11" s="114"/>
      <c r="IZZ11" s="114"/>
      <c r="JAA11" s="114"/>
      <c r="JAB11" s="114"/>
      <c r="JAC11" s="114"/>
      <c r="JAD11" s="114"/>
      <c r="JAE11" s="114"/>
      <c r="JAF11" s="114"/>
      <c r="JAG11" s="114"/>
      <c r="JAH11" s="114"/>
      <c r="JAI11" s="114"/>
      <c r="JAJ11" s="114"/>
      <c r="JAK11" s="114"/>
      <c r="JAL11" s="114"/>
      <c r="JAM11" s="114"/>
      <c r="JAN11" s="114"/>
      <c r="JAO11" s="114"/>
      <c r="JAP11" s="114"/>
      <c r="JAQ11" s="114"/>
      <c r="JAR11" s="114"/>
      <c r="JAS11" s="114"/>
      <c r="JAT11" s="114"/>
      <c r="JAU11" s="114"/>
      <c r="JAV11" s="114"/>
      <c r="JAW11" s="114"/>
      <c r="JAX11" s="114"/>
      <c r="JAY11" s="114"/>
      <c r="JAZ11" s="114"/>
      <c r="JBA11" s="114"/>
      <c r="JBB11" s="114"/>
      <c r="JBC11" s="114"/>
      <c r="JBD11" s="114"/>
      <c r="JBE11" s="114"/>
      <c r="JBF11" s="114"/>
      <c r="JBG11" s="114"/>
      <c r="JBH11" s="114"/>
      <c r="JBI11" s="114"/>
      <c r="JBJ11" s="114"/>
      <c r="JBK11" s="114"/>
      <c r="JBL11" s="114"/>
      <c r="JBM11" s="114"/>
      <c r="JBN11" s="114"/>
      <c r="JBO11" s="114"/>
      <c r="JBP11" s="114"/>
      <c r="JBQ11" s="114"/>
      <c r="JBR11" s="114"/>
      <c r="JBS11" s="114"/>
      <c r="JBT11" s="114"/>
      <c r="JBU11" s="114"/>
      <c r="JBV11" s="114"/>
      <c r="JBW11" s="114"/>
      <c r="JBX11" s="114"/>
      <c r="JBY11" s="114"/>
      <c r="JBZ11" s="114"/>
      <c r="JCA11" s="114"/>
      <c r="JCB11" s="114"/>
      <c r="JCC11" s="114"/>
      <c r="JCD11" s="114"/>
      <c r="JCE11" s="114"/>
      <c r="JCF11" s="114"/>
      <c r="JCG11" s="114"/>
      <c r="JCH11" s="114"/>
      <c r="JCI11" s="114"/>
      <c r="JCJ11" s="114"/>
      <c r="JCK11" s="114"/>
      <c r="JCL11" s="114"/>
      <c r="JCM11" s="114"/>
      <c r="JCN11" s="114"/>
      <c r="JCO11" s="114"/>
      <c r="JCP11" s="114"/>
      <c r="JCQ11" s="114"/>
      <c r="JCR11" s="114"/>
      <c r="JCS11" s="114"/>
      <c r="JCT11" s="114"/>
      <c r="JCU11" s="114"/>
      <c r="JCV11" s="114"/>
      <c r="JCW11" s="114"/>
      <c r="JCX11" s="114"/>
      <c r="JCY11" s="114"/>
      <c r="JCZ11" s="114"/>
      <c r="JDA11" s="114"/>
      <c r="JDB11" s="114"/>
      <c r="JDC11" s="114"/>
      <c r="JDD11" s="114"/>
      <c r="JDE11" s="114"/>
      <c r="JDF11" s="114"/>
      <c r="JDG11" s="114"/>
      <c r="JDH11" s="114"/>
      <c r="JDI11" s="114"/>
      <c r="JDJ11" s="114"/>
      <c r="JDK11" s="114"/>
      <c r="JDL11" s="114"/>
      <c r="JDM11" s="114"/>
      <c r="JDN11" s="114"/>
      <c r="JDO11" s="114"/>
      <c r="JDP11" s="114"/>
      <c r="JDQ11" s="114"/>
      <c r="JDR11" s="114"/>
      <c r="JDS11" s="114"/>
      <c r="JDT11" s="114"/>
      <c r="JDU11" s="114"/>
      <c r="JDV11" s="114"/>
      <c r="JDW11" s="114"/>
      <c r="JDX11" s="114"/>
      <c r="JDY11" s="114"/>
      <c r="JDZ11" s="114"/>
      <c r="JEA11" s="114"/>
      <c r="JEB11" s="114"/>
      <c r="JEC11" s="114"/>
      <c r="JED11" s="114"/>
      <c r="JEE11" s="114"/>
      <c r="JEF11" s="114"/>
      <c r="JEG11" s="114"/>
      <c r="JEH11" s="114"/>
      <c r="JEI11" s="114"/>
      <c r="JEJ11" s="114"/>
      <c r="JEK11" s="114"/>
      <c r="JEL11" s="114"/>
      <c r="JEM11" s="114"/>
      <c r="JEN11" s="114"/>
      <c r="JEO11" s="114"/>
      <c r="JEP11" s="114"/>
      <c r="JEQ11" s="114"/>
      <c r="JER11" s="114"/>
      <c r="JES11" s="114"/>
      <c r="JET11" s="114"/>
      <c r="JEU11" s="114"/>
      <c r="JEV11" s="114"/>
      <c r="JEW11" s="114"/>
      <c r="JEX11" s="114"/>
      <c r="JEY11" s="114"/>
      <c r="JEZ11" s="114"/>
      <c r="JFA11" s="114"/>
      <c r="JFB11" s="114"/>
      <c r="JFC11" s="114"/>
      <c r="JFD11" s="114"/>
      <c r="JFE11" s="114"/>
      <c r="JFF11" s="114"/>
      <c r="JFG11" s="114"/>
      <c r="JFH11" s="114"/>
      <c r="JFI11" s="114"/>
      <c r="JFJ11" s="114"/>
      <c r="JFK11" s="114"/>
      <c r="JFL11" s="114"/>
      <c r="JFM11" s="114"/>
      <c r="JFN11" s="114"/>
      <c r="JFO11" s="114"/>
      <c r="JFP11" s="114"/>
      <c r="JFQ11" s="114"/>
      <c r="JFR11" s="114"/>
      <c r="JFS11" s="114"/>
      <c r="JFT11" s="114"/>
      <c r="JFU11" s="114"/>
      <c r="JFV11" s="114"/>
      <c r="JFW11" s="114"/>
      <c r="JFX11" s="114"/>
      <c r="JFY11" s="114"/>
      <c r="JFZ11" s="114"/>
      <c r="JGA11" s="114"/>
      <c r="JGB11" s="114"/>
      <c r="JGC11" s="114"/>
      <c r="JGD11" s="114"/>
      <c r="JGE11" s="114"/>
      <c r="JGF11" s="114"/>
      <c r="JGG11" s="114"/>
      <c r="JGH11" s="114"/>
      <c r="JGI11" s="114"/>
      <c r="JGJ11" s="114"/>
      <c r="JGK11" s="114"/>
      <c r="JGL11" s="114"/>
      <c r="JGM11" s="114"/>
      <c r="JGN11" s="114"/>
      <c r="JGO11" s="114"/>
      <c r="JGP11" s="114"/>
      <c r="JGQ11" s="114"/>
      <c r="JGR11" s="114"/>
      <c r="JGS11" s="114"/>
      <c r="JGT11" s="114"/>
      <c r="JGU11" s="114"/>
      <c r="JGV11" s="114"/>
      <c r="JGW11" s="114"/>
      <c r="JGX11" s="114"/>
      <c r="JGY11" s="114"/>
      <c r="JGZ11" s="114"/>
      <c r="JHA11" s="114"/>
      <c r="JHB11" s="114"/>
      <c r="JHC11" s="114"/>
      <c r="JHD11" s="114"/>
      <c r="JHE11" s="114"/>
      <c r="JHF11" s="114"/>
      <c r="JHG11" s="114"/>
      <c r="JHH11" s="114"/>
      <c r="JHI11" s="114"/>
      <c r="JHJ11" s="114"/>
      <c r="JHK11" s="114"/>
      <c r="JHL11" s="114"/>
      <c r="JHM11" s="114"/>
      <c r="JHN11" s="114"/>
      <c r="JHO11" s="114"/>
      <c r="JHP11" s="114"/>
      <c r="JHQ11" s="114"/>
      <c r="JHR11" s="114"/>
      <c r="JHS11" s="114"/>
      <c r="JHT11" s="114"/>
      <c r="JHU11" s="114"/>
      <c r="JHV11" s="114"/>
      <c r="JHW11" s="114"/>
      <c r="JHX11" s="114"/>
      <c r="JHY11" s="114"/>
      <c r="JHZ11" s="114"/>
      <c r="JIA11" s="114"/>
      <c r="JIB11" s="114"/>
      <c r="JIC11" s="114"/>
      <c r="JID11" s="114"/>
      <c r="JIE11" s="114"/>
      <c r="JIF11" s="114"/>
      <c r="JIG11" s="114"/>
      <c r="JIH11" s="114"/>
      <c r="JII11" s="114"/>
      <c r="JIJ11" s="114"/>
      <c r="JIK11" s="114"/>
      <c r="JIL11" s="114"/>
      <c r="JIM11" s="114"/>
      <c r="JIN11" s="114"/>
      <c r="JIO11" s="114"/>
      <c r="JIP11" s="114"/>
      <c r="JIQ11" s="114"/>
      <c r="JIR11" s="114"/>
      <c r="JIS11" s="114"/>
      <c r="JIT11" s="114"/>
      <c r="JIU11" s="114"/>
      <c r="JIV11" s="114"/>
      <c r="JIW11" s="114"/>
      <c r="JIX11" s="114"/>
      <c r="JIY11" s="114"/>
      <c r="JIZ11" s="114"/>
      <c r="JJA11" s="114"/>
      <c r="JJB11" s="114"/>
      <c r="JJC11" s="114"/>
      <c r="JJD11" s="114"/>
      <c r="JJE11" s="114"/>
      <c r="JJF11" s="114"/>
      <c r="JJG11" s="114"/>
      <c r="JJH11" s="114"/>
      <c r="JJI11" s="114"/>
      <c r="JJJ11" s="114"/>
      <c r="JJK11" s="114"/>
      <c r="JJL11" s="114"/>
      <c r="JJM11" s="114"/>
      <c r="JJN11" s="114"/>
      <c r="JJO11" s="114"/>
      <c r="JJP11" s="114"/>
      <c r="JJQ11" s="114"/>
      <c r="JJR11" s="114"/>
      <c r="JJS11" s="114"/>
      <c r="JJT11" s="114"/>
      <c r="JJU11" s="114"/>
      <c r="JJV11" s="114"/>
      <c r="JJW11" s="114"/>
      <c r="JJX11" s="114"/>
      <c r="JJY11" s="114"/>
      <c r="JJZ11" s="114"/>
      <c r="JKA11" s="114"/>
      <c r="JKB11" s="114"/>
      <c r="JKC11" s="114"/>
      <c r="JKD11" s="114"/>
      <c r="JKE11" s="114"/>
      <c r="JKF11" s="114"/>
      <c r="JKG11" s="114"/>
      <c r="JKH11" s="114"/>
      <c r="JKI11" s="114"/>
      <c r="JKJ11" s="114"/>
      <c r="JKK11" s="114"/>
      <c r="JKL11" s="114"/>
      <c r="JKM11" s="114"/>
      <c r="JKN11" s="114"/>
      <c r="JKO11" s="114"/>
      <c r="JKP11" s="114"/>
      <c r="JKQ11" s="114"/>
      <c r="JKR11" s="114"/>
      <c r="JKS11" s="114"/>
      <c r="JKT11" s="114"/>
      <c r="JKU11" s="114"/>
      <c r="JKV11" s="114"/>
      <c r="JKW11" s="114"/>
      <c r="JKX11" s="114"/>
      <c r="JKY11" s="114"/>
      <c r="JKZ11" s="114"/>
      <c r="JLA11" s="114"/>
      <c r="JLB11" s="114"/>
      <c r="JLC11" s="114"/>
      <c r="JLD11" s="114"/>
      <c r="JLE11" s="114"/>
      <c r="JLF11" s="114"/>
      <c r="JLG11" s="114"/>
      <c r="JLH11" s="114"/>
      <c r="JLI11" s="114"/>
      <c r="JLJ11" s="114"/>
      <c r="JLK11" s="114"/>
      <c r="JLL11" s="114"/>
      <c r="JLM11" s="114"/>
      <c r="JLN11" s="114"/>
      <c r="JLO11" s="114"/>
      <c r="JLP11" s="114"/>
      <c r="JLQ11" s="114"/>
      <c r="JLR11" s="114"/>
      <c r="JLS11" s="114"/>
      <c r="JLT11" s="114"/>
      <c r="JLU11" s="114"/>
      <c r="JLV11" s="114"/>
      <c r="JLW11" s="114"/>
      <c r="JLX11" s="114"/>
      <c r="JLY11" s="114"/>
      <c r="JLZ11" s="114"/>
      <c r="JMA11" s="114"/>
      <c r="JMB11" s="114"/>
      <c r="JMC11" s="114"/>
      <c r="JMD11" s="114"/>
      <c r="JME11" s="114"/>
      <c r="JMF11" s="114"/>
      <c r="JMG11" s="114"/>
      <c r="JMH11" s="114"/>
      <c r="JMI11" s="114"/>
      <c r="JMJ11" s="114"/>
      <c r="JMK11" s="114"/>
      <c r="JML11" s="114"/>
      <c r="JMM11" s="114"/>
      <c r="JMN11" s="114"/>
      <c r="JMO11" s="114"/>
      <c r="JMP11" s="114"/>
      <c r="JMQ11" s="114"/>
      <c r="JMR11" s="114"/>
      <c r="JMS11" s="114"/>
      <c r="JMT11" s="114"/>
      <c r="JMU11" s="114"/>
      <c r="JMV11" s="114"/>
      <c r="JMW11" s="114"/>
      <c r="JMX11" s="114"/>
      <c r="JMY11" s="114"/>
      <c r="JMZ11" s="114"/>
      <c r="JNA11" s="114"/>
      <c r="JNB11" s="114"/>
      <c r="JNC11" s="114"/>
      <c r="JND11" s="114"/>
      <c r="JNE11" s="114"/>
      <c r="JNF11" s="114"/>
      <c r="JNG11" s="114"/>
      <c r="JNH11" s="114"/>
      <c r="JNI11" s="114"/>
      <c r="JNJ11" s="114"/>
      <c r="JNK11" s="114"/>
      <c r="JNL11" s="114"/>
      <c r="JNM11" s="114"/>
      <c r="JNN11" s="114"/>
      <c r="JNO11" s="114"/>
      <c r="JNP11" s="114"/>
      <c r="JNQ11" s="114"/>
      <c r="JNR11" s="114"/>
      <c r="JNS11" s="114"/>
      <c r="JNT11" s="114"/>
      <c r="JNU11" s="114"/>
      <c r="JNV11" s="114"/>
      <c r="JNW11" s="114"/>
      <c r="JNX11" s="114"/>
      <c r="JNY11" s="114"/>
      <c r="JNZ11" s="114"/>
      <c r="JOA11" s="114"/>
      <c r="JOB11" s="114"/>
      <c r="JOC11" s="114"/>
      <c r="JOD11" s="114"/>
      <c r="JOE11" s="114"/>
      <c r="JOF11" s="114"/>
      <c r="JOG11" s="114"/>
      <c r="JOH11" s="114"/>
      <c r="JOI11" s="114"/>
      <c r="JOJ11" s="114"/>
      <c r="JOK11" s="114"/>
      <c r="JOL11" s="114"/>
      <c r="JOM11" s="114"/>
      <c r="JON11" s="114"/>
      <c r="JOO11" s="114"/>
      <c r="JOP11" s="114"/>
      <c r="JOQ11" s="114"/>
      <c r="JOR11" s="114"/>
      <c r="JOS11" s="114"/>
      <c r="JOT11" s="114"/>
      <c r="JOU11" s="114"/>
      <c r="JOV11" s="114"/>
      <c r="JOW11" s="114"/>
      <c r="JOX11" s="114"/>
      <c r="JOY11" s="114"/>
      <c r="JOZ11" s="114"/>
      <c r="JPA11" s="114"/>
      <c r="JPB11" s="114"/>
      <c r="JPC11" s="114"/>
      <c r="JPD11" s="114"/>
      <c r="JPE11" s="114"/>
      <c r="JPF11" s="114"/>
      <c r="JPG11" s="114"/>
      <c r="JPH11" s="114"/>
      <c r="JPI11" s="114"/>
      <c r="JPJ11" s="114"/>
      <c r="JPK11" s="114"/>
      <c r="JPL11" s="114"/>
      <c r="JPM11" s="114"/>
      <c r="JPN11" s="114"/>
      <c r="JPO11" s="114"/>
      <c r="JPP11" s="114"/>
      <c r="JPQ11" s="114"/>
      <c r="JPR11" s="114"/>
      <c r="JPS11" s="114"/>
      <c r="JPT11" s="114"/>
      <c r="JPU11" s="114"/>
      <c r="JPV11" s="114"/>
      <c r="JPW11" s="114"/>
      <c r="JPX11" s="114"/>
      <c r="JPY11" s="114"/>
      <c r="JPZ11" s="114"/>
      <c r="JQA11" s="114"/>
      <c r="JQB11" s="114"/>
      <c r="JQC11" s="114"/>
      <c r="JQD11" s="114"/>
      <c r="JQE11" s="114"/>
      <c r="JQF11" s="114"/>
      <c r="JQG11" s="114"/>
      <c r="JQH11" s="114"/>
      <c r="JQI11" s="114"/>
      <c r="JQJ11" s="114"/>
      <c r="JQK11" s="114"/>
      <c r="JQL11" s="114"/>
      <c r="JQM11" s="114"/>
      <c r="JQN11" s="114"/>
      <c r="JQO11" s="114"/>
      <c r="JQP11" s="114"/>
      <c r="JQQ11" s="114"/>
      <c r="JQR11" s="114"/>
      <c r="JQS11" s="114"/>
      <c r="JQT11" s="114"/>
      <c r="JQU11" s="114"/>
      <c r="JQV11" s="114"/>
      <c r="JQW11" s="114"/>
      <c r="JQX11" s="114"/>
      <c r="JQY11" s="114"/>
      <c r="JQZ11" s="114"/>
      <c r="JRA11" s="114"/>
      <c r="JRB11" s="114"/>
      <c r="JRC11" s="114"/>
      <c r="JRD11" s="114"/>
      <c r="JRE11" s="114"/>
      <c r="JRF11" s="114"/>
      <c r="JRG11" s="114"/>
      <c r="JRH11" s="114"/>
      <c r="JRI11" s="114"/>
      <c r="JRJ11" s="114"/>
      <c r="JRK11" s="114"/>
      <c r="JRL11" s="114"/>
      <c r="JRM11" s="114"/>
      <c r="JRN11" s="114"/>
      <c r="JRO11" s="114"/>
      <c r="JRP11" s="114"/>
      <c r="JRQ11" s="114"/>
      <c r="JRR11" s="114"/>
      <c r="JRS11" s="114"/>
      <c r="JRT11" s="114"/>
      <c r="JRU11" s="114"/>
      <c r="JRV11" s="114"/>
      <c r="JRW11" s="114"/>
      <c r="JRX11" s="114"/>
      <c r="JRY11" s="114"/>
      <c r="JRZ11" s="114"/>
      <c r="JSA11" s="114"/>
      <c r="JSB11" s="114"/>
      <c r="JSC11" s="114"/>
      <c r="JSD11" s="114"/>
      <c r="JSE11" s="114"/>
      <c r="JSF11" s="114"/>
      <c r="JSG11" s="114"/>
      <c r="JSH11" s="114"/>
      <c r="JSI11" s="114"/>
      <c r="JSJ11" s="114"/>
      <c r="JSK11" s="114"/>
      <c r="JSL11" s="114"/>
      <c r="JSM11" s="114"/>
      <c r="JSN11" s="114"/>
      <c r="JSO11" s="114"/>
      <c r="JSP11" s="114"/>
      <c r="JSQ11" s="114"/>
      <c r="JSR11" s="114"/>
      <c r="JSS11" s="114"/>
      <c r="JST11" s="114"/>
      <c r="JSU11" s="114"/>
      <c r="JSV11" s="114"/>
      <c r="JSW11" s="114"/>
      <c r="JSX11" s="114"/>
      <c r="JSY11" s="114"/>
      <c r="JSZ11" s="114"/>
      <c r="JTA11" s="114"/>
      <c r="JTB11" s="114"/>
      <c r="JTC11" s="114"/>
      <c r="JTD11" s="114"/>
      <c r="JTE11" s="114"/>
      <c r="JTF11" s="114"/>
      <c r="JTG11" s="114"/>
      <c r="JTH11" s="114"/>
      <c r="JTI11" s="114"/>
      <c r="JTJ11" s="114"/>
      <c r="JTK11" s="114"/>
      <c r="JTL11" s="114"/>
      <c r="JTM11" s="114"/>
      <c r="JTN11" s="114"/>
      <c r="JTO11" s="114"/>
      <c r="JTP11" s="114"/>
      <c r="JTQ11" s="114"/>
      <c r="JTR11" s="114"/>
      <c r="JTS11" s="114"/>
      <c r="JTT11" s="114"/>
      <c r="JTU11" s="114"/>
      <c r="JTV11" s="114"/>
      <c r="JTW11" s="114"/>
      <c r="JTX11" s="114"/>
      <c r="JTY11" s="114"/>
      <c r="JTZ11" s="114"/>
      <c r="JUA11" s="114"/>
      <c r="JUB11" s="114"/>
      <c r="JUC11" s="114"/>
      <c r="JUD11" s="114"/>
      <c r="JUE11" s="114"/>
      <c r="JUF11" s="114"/>
      <c r="JUG11" s="114"/>
      <c r="JUH11" s="114"/>
      <c r="JUI11" s="114"/>
      <c r="JUJ11" s="114"/>
      <c r="JUK11" s="114"/>
      <c r="JUL11" s="114"/>
      <c r="JUM11" s="114"/>
      <c r="JUN11" s="114"/>
      <c r="JUO11" s="114"/>
      <c r="JUP11" s="114"/>
      <c r="JUQ11" s="114"/>
      <c r="JUR11" s="114"/>
      <c r="JUS11" s="114"/>
      <c r="JUT11" s="114"/>
      <c r="JUU11" s="114"/>
      <c r="JUV11" s="114"/>
      <c r="JUW11" s="114"/>
      <c r="JUX11" s="114"/>
      <c r="JUY11" s="114"/>
      <c r="JUZ11" s="114"/>
      <c r="JVA11" s="114"/>
      <c r="JVB11" s="114"/>
      <c r="JVC11" s="114"/>
      <c r="JVD11" s="114"/>
      <c r="JVE11" s="114"/>
      <c r="JVF11" s="114"/>
      <c r="JVG11" s="114"/>
      <c r="JVH11" s="114"/>
      <c r="JVI11" s="114"/>
      <c r="JVJ11" s="114"/>
      <c r="JVK11" s="114"/>
      <c r="JVL11" s="114"/>
      <c r="JVM11" s="114"/>
      <c r="JVN11" s="114"/>
      <c r="JVO11" s="114"/>
      <c r="JVP11" s="114"/>
      <c r="JVQ11" s="114"/>
      <c r="JVR11" s="114"/>
      <c r="JVS11" s="114"/>
      <c r="JVT11" s="114"/>
      <c r="JVU11" s="114"/>
      <c r="JVV11" s="114"/>
      <c r="JVW11" s="114"/>
      <c r="JVX11" s="114"/>
      <c r="JVY11" s="114"/>
      <c r="JVZ11" s="114"/>
      <c r="JWA11" s="114"/>
      <c r="JWB11" s="114"/>
      <c r="JWC11" s="114"/>
      <c r="JWD11" s="114"/>
      <c r="JWE11" s="114"/>
      <c r="JWF11" s="114"/>
      <c r="JWG11" s="114"/>
      <c r="JWH11" s="114"/>
      <c r="JWI11" s="114"/>
      <c r="JWJ11" s="114"/>
      <c r="JWK11" s="114"/>
      <c r="JWL11" s="114"/>
      <c r="JWM11" s="114"/>
      <c r="JWN11" s="114"/>
      <c r="JWO11" s="114"/>
      <c r="JWP11" s="114"/>
      <c r="JWQ11" s="114"/>
      <c r="JWR11" s="114"/>
      <c r="JWS11" s="114"/>
      <c r="JWT11" s="114"/>
      <c r="JWU11" s="114"/>
      <c r="JWV11" s="114"/>
      <c r="JWW11" s="114"/>
      <c r="JWX11" s="114"/>
      <c r="JWY11" s="114"/>
      <c r="JWZ11" s="114"/>
      <c r="JXA11" s="114"/>
      <c r="JXB11" s="114"/>
      <c r="JXC11" s="114"/>
      <c r="JXD11" s="114"/>
      <c r="JXE11" s="114"/>
      <c r="JXF11" s="114"/>
      <c r="JXG11" s="114"/>
      <c r="JXH11" s="114"/>
      <c r="JXI11" s="114"/>
      <c r="JXJ11" s="114"/>
      <c r="JXK11" s="114"/>
      <c r="JXL11" s="114"/>
      <c r="JXM11" s="114"/>
      <c r="JXN11" s="114"/>
      <c r="JXO11" s="114"/>
      <c r="JXP11" s="114"/>
      <c r="JXQ11" s="114"/>
      <c r="JXR11" s="114"/>
      <c r="JXS11" s="114"/>
      <c r="JXT11" s="114"/>
      <c r="JXU11" s="114"/>
      <c r="JXV11" s="114"/>
      <c r="JXW11" s="114"/>
      <c r="JXX11" s="114"/>
      <c r="JXY11" s="114"/>
      <c r="JXZ11" s="114"/>
      <c r="JYA11" s="114"/>
      <c r="JYB11" s="114"/>
      <c r="JYC11" s="114"/>
      <c r="JYD11" s="114"/>
      <c r="JYE11" s="114"/>
      <c r="JYF11" s="114"/>
      <c r="JYG11" s="114"/>
      <c r="JYH11" s="114"/>
      <c r="JYI11" s="114"/>
      <c r="JYJ11" s="114"/>
      <c r="JYK11" s="114"/>
      <c r="JYL11" s="114"/>
      <c r="JYM11" s="114"/>
      <c r="JYN11" s="114"/>
      <c r="JYO11" s="114"/>
      <c r="JYP11" s="114"/>
      <c r="JYQ11" s="114"/>
      <c r="JYR11" s="114"/>
      <c r="JYS11" s="114"/>
      <c r="JYT11" s="114"/>
      <c r="JYU11" s="114"/>
      <c r="JYV11" s="114"/>
      <c r="JYW11" s="114"/>
      <c r="JYX11" s="114"/>
      <c r="JYY11" s="114"/>
      <c r="JYZ11" s="114"/>
      <c r="JZA11" s="114"/>
      <c r="JZB11" s="114"/>
      <c r="JZC11" s="114"/>
      <c r="JZD11" s="114"/>
      <c r="JZE11" s="114"/>
      <c r="JZF11" s="114"/>
      <c r="JZG11" s="114"/>
      <c r="JZH11" s="114"/>
      <c r="JZI11" s="114"/>
      <c r="JZJ11" s="114"/>
      <c r="JZK11" s="114"/>
      <c r="JZL11" s="114"/>
      <c r="JZM11" s="114"/>
      <c r="JZN11" s="114"/>
      <c r="JZO11" s="114"/>
      <c r="JZP11" s="114"/>
      <c r="JZQ11" s="114"/>
      <c r="JZR11" s="114"/>
      <c r="JZS11" s="114"/>
      <c r="JZT11" s="114"/>
      <c r="JZU11" s="114"/>
      <c r="JZV11" s="114"/>
      <c r="JZW11" s="114"/>
      <c r="JZX11" s="114"/>
      <c r="JZY11" s="114"/>
      <c r="JZZ11" s="114"/>
      <c r="KAA11" s="114"/>
      <c r="KAB11" s="114"/>
      <c r="KAC11" s="114"/>
      <c r="KAD11" s="114"/>
      <c r="KAE11" s="114"/>
      <c r="KAF11" s="114"/>
      <c r="KAG11" s="114"/>
      <c r="KAH11" s="114"/>
      <c r="KAI11" s="114"/>
      <c r="KAJ11" s="114"/>
      <c r="KAK11" s="114"/>
      <c r="KAL11" s="114"/>
      <c r="KAM11" s="114"/>
      <c r="KAN11" s="114"/>
      <c r="KAO11" s="114"/>
      <c r="KAP11" s="114"/>
      <c r="KAQ11" s="114"/>
      <c r="KAR11" s="114"/>
      <c r="KAS11" s="114"/>
      <c r="KAT11" s="114"/>
      <c r="KAU11" s="114"/>
      <c r="KAV11" s="114"/>
      <c r="KAW11" s="114"/>
      <c r="KAX11" s="114"/>
      <c r="KAY11" s="114"/>
      <c r="KAZ11" s="114"/>
      <c r="KBA11" s="114"/>
      <c r="KBB11" s="114"/>
      <c r="KBC11" s="114"/>
      <c r="KBD11" s="114"/>
      <c r="KBE11" s="114"/>
      <c r="KBF11" s="114"/>
      <c r="KBG11" s="114"/>
      <c r="KBH11" s="114"/>
      <c r="KBI11" s="114"/>
      <c r="KBJ11" s="114"/>
      <c r="KBK11" s="114"/>
      <c r="KBL11" s="114"/>
      <c r="KBM11" s="114"/>
      <c r="KBN11" s="114"/>
      <c r="KBO11" s="114"/>
      <c r="KBP11" s="114"/>
      <c r="KBQ11" s="114"/>
      <c r="KBR11" s="114"/>
      <c r="KBS11" s="114"/>
      <c r="KBT11" s="114"/>
      <c r="KBU11" s="114"/>
      <c r="KBV11" s="114"/>
      <c r="KBW11" s="114"/>
      <c r="KBX11" s="114"/>
      <c r="KBY11" s="114"/>
      <c r="KBZ11" s="114"/>
      <c r="KCA11" s="114"/>
      <c r="KCB11" s="114"/>
      <c r="KCC11" s="114"/>
      <c r="KCD11" s="114"/>
      <c r="KCE11" s="114"/>
      <c r="KCF11" s="114"/>
      <c r="KCG11" s="114"/>
      <c r="KCH11" s="114"/>
      <c r="KCI11" s="114"/>
      <c r="KCJ11" s="114"/>
      <c r="KCK11" s="114"/>
      <c r="KCL11" s="114"/>
      <c r="KCM11" s="114"/>
      <c r="KCN11" s="114"/>
      <c r="KCO11" s="114"/>
      <c r="KCP11" s="114"/>
      <c r="KCQ11" s="114"/>
      <c r="KCR11" s="114"/>
      <c r="KCS11" s="114"/>
      <c r="KCT11" s="114"/>
      <c r="KCU11" s="114"/>
      <c r="KCV11" s="114"/>
      <c r="KCW11" s="114"/>
      <c r="KCX11" s="114"/>
      <c r="KCY11" s="114"/>
      <c r="KCZ11" s="114"/>
      <c r="KDA11" s="114"/>
      <c r="KDB11" s="114"/>
      <c r="KDC11" s="114"/>
      <c r="KDD11" s="114"/>
      <c r="KDE11" s="114"/>
      <c r="KDF11" s="114"/>
      <c r="KDG11" s="114"/>
      <c r="KDH11" s="114"/>
      <c r="KDI11" s="114"/>
      <c r="KDJ11" s="114"/>
      <c r="KDK11" s="114"/>
      <c r="KDL11" s="114"/>
      <c r="KDM11" s="114"/>
      <c r="KDN11" s="114"/>
      <c r="KDO11" s="114"/>
      <c r="KDP11" s="114"/>
      <c r="KDQ11" s="114"/>
      <c r="KDR11" s="114"/>
      <c r="KDS11" s="114"/>
      <c r="KDT11" s="114"/>
      <c r="KDU11" s="114"/>
      <c r="KDV11" s="114"/>
      <c r="KDW11" s="114"/>
      <c r="KDX11" s="114"/>
      <c r="KDY11" s="114"/>
      <c r="KDZ11" s="114"/>
      <c r="KEA11" s="114"/>
      <c r="KEB11" s="114"/>
      <c r="KEC11" s="114"/>
      <c r="KED11" s="114"/>
      <c r="KEE11" s="114"/>
      <c r="KEF11" s="114"/>
      <c r="KEG11" s="114"/>
      <c r="KEH11" s="114"/>
      <c r="KEI11" s="114"/>
      <c r="KEJ11" s="114"/>
      <c r="KEK11" s="114"/>
      <c r="KEL11" s="114"/>
      <c r="KEM11" s="114"/>
      <c r="KEN11" s="114"/>
      <c r="KEO11" s="114"/>
      <c r="KEP11" s="114"/>
      <c r="KEQ11" s="114"/>
      <c r="KER11" s="114"/>
      <c r="KES11" s="114"/>
      <c r="KET11" s="114"/>
      <c r="KEU11" s="114"/>
      <c r="KEV11" s="114"/>
      <c r="KEW11" s="114"/>
      <c r="KEX11" s="114"/>
      <c r="KEY11" s="114"/>
      <c r="KEZ11" s="114"/>
      <c r="KFA11" s="114"/>
      <c r="KFB11" s="114"/>
      <c r="KFC11" s="114"/>
      <c r="KFD11" s="114"/>
      <c r="KFE11" s="114"/>
      <c r="KFF11" s="114"/>
      <c r="KFG11" s="114"/>
      <c r="KFH11" s="114"/>
      <c r="KFI11" s="114"/>
      <c r="KFJ11" s="114"/>
      <c r="KFK11" s="114"/>
      <c r="KFL11" s="114"/>
      <c r="KFM11" s="114"/>
      <c r="KFN11" s="114"/>
      <c r="KFO11" s="114"/>
      <c r="KFP11" s="114"/>
      <c r="KFQ11" s="114"/>
      <c r="KFR11" s="114"/>
      <c r="KFS11" s="114"/>
      <c r="KFT11" s="114"/>
      <c r="KFU11" s="114"/>
      <c r="KFV11" s="114"/>
      <c r="KFW11" s="114"/>
      <c r="KFX11" s="114"/>
      <c r="KFY11" s="114"/>
      <c r="KFZ11" s="114"/>
      <c r="KGA11" s="114"/>
      <c r="KGB11" s="114"/>
      <c r="KGC11" s="114"/>
      <c r="KGD11" s="114"/>
      <c r="KGE11" s="114"/>
      <c r="KGF11" s="114"/>
      <c r="KGG11" s="114"/>
      <c r="KGH11" s="114"/>
      <c r="KGI11" s="114"/>
      <c r="KGJ11" s="114"/>
      <c r="KGK11" s="114"/>
      <c r="KGL11" s="114"/>
      <c r="KGM11" s="114"/>
      <c r="KGN11" s="114"/>
      <c r="KGO11" s="114"/>
      <c r="KGP11" s="114"/>
      <c r="KGQ11" s="114"/>
      <c r="KGR11" s="114"/>
      <c r="KGS11" s="114"/>
      <c r="KGT11" s="114"/>
      <c r="KGU11" s="114"/>
      <c r="KGV11" s="114"/>
      <c r="KGW11" s="114"/>
      <c r="KGX11" s="114"/>
      <c r="KGY11" s="114"/>
      <c r="KGZ11" s="114"/>
      <c r="KHA11" s="114"/>
      <c r="KHB11" s="114"/>
      <c r="KHC11" s="114"/>
      <c r="KHD11" s="114"/>
      <c r="KHE11" s="114"/>
      <c r="KHF11" s="114"/>
      <c r="KHG11" s="114"/>
      <c r="KHH11" s="114"/>
      <c r="KHI11" s="114"/>
      <c r="KHJ11" s="114"/>
      <c r="KHK11" s="114"/>
      <c r="KHL11" s="114"/>
      <c r="KHM11" s="114"/>
      <c r="KHN11" s="114"/>
      <c r="KHO11" s="114"/>
      <c r="KHP11" s="114"/>
      <c r="KHQ11" s="114"/>
      <c r="KHR11" s="114"/>
      <c r="KHS11" s="114"/>
      <c r="KHT11" s="114"/>
      <c r="KHU11" s="114"/>
      <c r="KHV11" s="114"/>
      <c r="KHW11" s="114"/>
      <c r="KHX11" s="114"/>
      <c r="KHY11" s="114"/>
      <c r="KHZ11" s="114"/>
      <c r="KIA11" s="114"/>
      <c r="KIB11" s="114"/>
      <c r="KIC11" s="114"/>
      <c r="KID11" s="114"/>
      <c r="KIE11" s="114"/>
      <c r="KIF11" s="114"/>
      <c r="KIG11" s="114"/>
      <c r="KIH11" s="114"/>
      <c r="KII11" s="114"/>
      <c r="KIJ11" s="114"/>
      <c r="KIK11" s="114"/>
      <c r="KIL11" s="114"/>
      <c r="KIM11" s="114"/>
      <c r="KIN11" s="114"/>
      <c r="KIO11" s="114"/>
      <c r="KIP11" s="114"/>
      <c r="KIQ11" s="114"/>
      <c r="KIR11" s="114"/>
      <c r="KIS11" s="114"/>
      <c r="KIT11" s="114"/>
      <c r="KIU11" s="114"/>
      <c r="KIV11" s="114"/>
      <c r="KIW11" s="114"/>
      <c r="KIX11" s="114"/>
      <c r="KIY11" s="114"/>
      <c r="KIZ11" s="114"/>
      <c r="KJA11" s="114"/>
      <c r="KJB11" s="114"/>
      <c r="KJC11" s="114"/>
      <c r="KJD11" s="114"/>
      <c r="KJE11" s="114"/>
      <c r="KJF11" s="114"/>
      <c r="KJG11" s="114"/>
      <c r="KJH11" s="114"/>
      <c r="KJI11" s="114"/>
      <c r="KJJ11" s="114"/>
      <c r="KJK11" s="114"/>
      <c r="KJL11" s="114"/>
      <c r="KJM11" s="114"/>
      <c r="KJN11" s="114"/>
      <c r="KJO11" s="114"/>
      <c r="KJP11" s="114"/>
      <c r="KJQ11" s="114"/>
      <c r="KJR11" s="114"/>
      <c r="KJS11" s="114"/>
      <c r="KJT11" s="114"/>
      <c r="KJU11" s="114"/>
      <c r="KJV11" s="114"/>
      <c r="KJW11" s="114"/>
      <c r="KJX11" s="114"/>
      <c r="KJY11" s="114"/>
      <c r="KJZ11" s="114"/>
      <c r="KKA11" s="114"/>
      <c r="KKB11" s="114"/>
      <c r="KKC11" s="114"/>
      <c r="KKD11" s="114"/>
      <c r="KKE11" s="114"/>
      <c r="KKF11" s="114"/>
      <c r="KKG11" s="114"/>
      <c r="KKH11" s="114"/>
      <c r="KKI11" s="114"/>
      <c r="KKJ11" s="114"/>
      <c r="KKK11" s="114"/>
      <c r="KKL11" s="114"/>
      <c r="KKM11" s="114"/>
      <c r="KKN11" s="114"/>
      <c r="KKO11" s="114"/>
      <c r="KKP11" s="114"/>
      <c r="KKQ11" s="114"/>
      <c r="KKR11" s="114"/>
      <c r="KKS11" s="114"/>
      <c r="KKT11" s="114"/>
      <c r="KKU11" s="114"/>
      <c r="KKV11" s="114"/>
      <c r="KKW11" s="114"/>
      <c r="KKX11" s="114"/>
      <c r="KKY11" s="114"/>
      <c r="KKZ11" s="114"/>
      <c r="KLA11" s="114"/>
      <c r="KLB11" s="114"/>
      <c r="KLC11" s="114"/>
      <c r="KLD11" s="114"/>
      <c r="KLE11" s="114"/>
      <c r="KLF11" s="114"/>
      <c r="KLG11" s="114"/>
      <c r="KLH11" s="114"/>
      <c r="KLI11" s="114"/>
      <c r="KLJ11" s="114"/>
      <c r="KLK11" s="114"/>
      <c r="KLL11" s="114"/>
      <c r="KLM11" s="114"/>
      <c r="KLN11" s="114"/>
      <c r="KLO11" s="114"/>
      <c r="KLP11" s="114"/>
      <c r="KLQ11" s="114"/>
      <c r="KLR11" s="114"/>
      <c r="KLS11" s="114"/>
      <c r="KLT11" s="114"/>
      <c r="KLU11" s="114"/>
      <c r="KLV11" s="114"/>
      <c r="KLW11" s="114"/>
      <c r="KLX11" s="114"/>
      <c r="KLY11" s="114"/>
      <c r="KLZ11" s="114"/>
      <c r="KMA11" s="114"/>
      <c r="KMB11" s="114"/>
      <c r="KMC11" s="114"/>
      <c r="KMD11" s="114"/>
      <c r="KME11" s="114"/>
      <c r="KMF11" s="114"/>
      <c r="KMG11" s="114"/>
      <c r="KMH11" s="114"/>
      <c r="KMI11" s="114"/>
      <c r="KMJ11" s="114"/>
      <c r="KMK11" s="114"/>
      <c r="KML11" s="114"/>
      <c r="KMM11" s="114"/>
      <c r="KMN11" s="114"/>
      <c r="KMO11" s="114"/>
      <c r="KMP11" s="114"/>
      <c r="KMQ11" s="114"/>
      <c r="KMR11" s="114"/>
      <c r="KMS11" s="114"/>
      <c r="KMT11" s="114"/>
      <c r="KMU11" s="114"/>
      <c r="KMV11" s="114"/>
      <c r="KMW11" s="114"/>
      <c r="KMX11" s="114"/>
      <c r="KMY11" s="114"/>
      <c r="KMZ11" s="114"/>
      <c r="KNA11" s="114"/>
      <c r="KNB11" s="114"/>
      <c r="KNC11" s="114"/>
      <c r="KND11" s="114"/>
      <c r="KNE11" s="114"/>
      <c r="KNF11" s="114"/>
      <c r="KNG11" s="114"/>
      <c r="KNH11" s="114"/>
      <c r="KNI11" s="114"/>
      <c r="KNJ11" s="114"/>
      <c r="KNK11" s="114"/>
      <c r="KNL11" s="114"/>
      <c r="KNM11" s="114"/>
      <c r="KNN11" s="114"/>
      <c r="KNO11" s="114"/>
      <c r="KNP11" s="114"/>
      <c r="KNQ11" s="114"/>
      <c r="KNR11" s="114"/>
      <c r="KNS11" s="114"/>
      <c r="KNT11" s="114"/>
      <c r="KNU11" s="114"/>
      <c r="KNV11" s="114"/>
      <c r="KNW11" s="114"/>
      <c r="KNX11" s="114"/>
      <c r="KNY11" s="114"/>
      <c r="KNZ11" s="114"/>
      <c r="KOA11" s="114"/>
      <c r="KOB11" s="114"/>
      <c r="KOC11" s="114"/>
      <c r="KOD11" s="114"/>
      <c r="KOE11" s="114"/>
      <c r="KOF11" s="114"/>
      <c r="KOG11" s="114"/>
      <c r="KOH11" s="114"/>
      <c r="KOI11" s="114"/>
      <c r="KOJ11" s="114"/>
      <c r="KOK11" s="114"/>
      <c r="KOL11" s="114"/>
      <c r="KOM11" s="114"/>
      <c r="KON11" s="114"/>
      <c r="KOO11" s="114"/>
      <c r="KOP11" s="114"/>
      <c r="KOQ11" s="114"/>
      <c r="KOR11" s="114"/>
      <c r="KOS11" s="114"/>
      <c r="KOT11" s="114"/>
      <c r="KOU11" s="114"/>
      <c r="KOV11" s="114"/>
      <c r="KOW11" s="114"/>
      <c r="KOX11" s="114"/>
      <c r="KOY11" s="114"/>
      <c r="KOZ11" s="114"/>
      <c r="KPA11" s="114"/>
      <c r="KPB11" s="114"/>
      <c r="KPC11" s="114"/>
      <c r="KPD11" s="114"/>
      <c r="KPE11" s="114"/>
      <c r="KPF11" s="114"/>
      <c r="KPG11" s="114"/>
      <c r="KPH11" s="114"/>
      <c r="KPI11" s="114"/>
      <c r="KPJ11" s="114"/>
      <c r="KPK11" s="114"/>
      <c r="KPL11" s="114"/>
      <c r="KPM11" s="114"/>
      <c r="KPN11" s="114"/>
      <c r="KPO11" s="114"/>
      <c r="KPP11" s="114"/>
      <c r="KPQ11" s="114"/>
      <c r="KPR11" s="114"/>
      <c r="KPS11" s="114"/>
      <c r="KPT11" s="114"/>
      <c r="KPU11" s="114"/>
      <c r="KPV11" s="114"/>
      <c r="KPW11" s="114"/>
      <c r="KPX11" s="114"/>
      <c r="KPY11" s="114"/>
      <c r="KPZ11" s="114"/>
      <c r="KQA11" s="114"/>
      <c r="KQB11" s="114"/>
      <c r="KQC11" s="114"/>
      <c r="KQD11" s="114"/>
      <c r="KQE11" s="114"/>
      <c r="KQF11" s="114"/>
      <c r="KQG11" s="114"/>
      <c r="KQH11" s="114"/>
      <c r="KQI11" s="114"/>
      <c r="KQJ11" s="114"/>
      <c r="KQK11" s="114"/>
      <c r="KQL11" s="114"/>
      <c r="KQM11" s="114"/>
      <c r="KQN11" s="114"/>
      <c r="KQO11" s="114"/>
      <c r="KQP11" s="114"/>
      <c r="KQQ11" s="114"/>
      <c r="KQR11" s="114"/>
      <c r="KQS11" s="114"/>
      <c r="KQT11" s="114"/>
      <c r="KQU11" s="114"/>
      <c r="KQV11" s="114"/>
      <c r="KQW11" s="114"/>
      <c r="KQX11" s="114"/>
      <c r="KQY11" s="114"/>
      <c r="KQZ11" s="114"/>
      <c r="KRA11" s="114"/>
      <c r="KRB11" s="114"/>
      <c r="KRC11" s="114"/>
      <c r="KRD11" s="114"/>
      <c r="KRE11" s="114"/>
      <c r="KRF11" s="114"/>
      <c r="KRG11" s="114"/>
      <c r="KRH11" s="114"/>
      <c r="KRI11" s="114"/>
      <c r="KRJ11" s="114"/>
      <c r="KRK11" s="114"/>
      <c r="KRL11" s="114"/>
      <c r="KRM11" s="114"/>
      <c r="KRN11" s="114"/>
      <c r="KRO11" s="114"/>
      <c r="KRP11" s="114"/>
      <c r="KRQ11" s="114"/>
      <c r="KRR11" s="114"/>
      <c r="KRS11" s="114"/>
      <c r="KRT11" s="114"/>
      <c r="KRU11" s="114"/>
      <c r="KRV11" s="114"/>
      <c r="KRW11" s="114"/>
      <c r="KRX11" s="114"/>
      <c r="KRY11" s="114"/>
      <c r="KRZ11" s="114"/>
      <c r="KSA11" s="114"/>
      <c r="KSB11" s="114"/>
      <c r="KSC11" s="114"/>
      <c r="KSD11" s="114"/>
      <c r="KSE11" s="114"/>
      <c r="KSF11" s="114"/>
      <c r="KSG11" s="114"/>
      <c r="KSH11" s="114"/>
      <c r="KSI11" s="114"/>
      <c r="KSJ11" s="114"/>
      <c r="KSK11" s="114"/>
      <c r="KSL11" s="114"/>
      <c r="KSM11" s="114"/>
      <c r="KSN11" s="114"/>
      <c r="KSO11" s="114"/>
      <c r="KSP11" s="114"/>
      <c r="KSQ11" s="114"/>
      <c r="KSR11" s="114"/>
      <c r="KSS11" s="114"/>
      <c r="KST11" s="114"/>
      <c r="KSU11" s="114"/>
      <c r="KSV11" s="114"/>
      <c r="KSW11" s="114"/>
      <c r="KSX11" s="114"/>
      <c r="KSY11" s="114"/>
      <c r="KSZ11" s="114"/>
      <c r="KTA11" s="114"/>
      <c r="KTB11" s="114"/>
      <c r="KTC11" s="114"/>
      <c r="KTD11" s="114"/>
      <c r="KTE11" s="114"/>
      <c r="KTF11" s="114"/>
      <c r="KTG11" s="114"/>
      <c r="KTH11" s="114"/>
      <c r="KTI11" s="114"/>
      <c r="KTJ11" s="114"/>
      <c r="KTK11" s="114"/>
      <c r="KTL11" s="114"/>
      <c r="KTM11" s="114"/>
      <c r="KTN11" s="114"/>
      <c r="KTO11" s="114"/>
      <c r="KTP11" s="114"/>
      <c r="KTQ11" s="114"/>
      <c r="KTR11" s="114"/>
      <c r="KTS11" s="114"/>
      <c r="KTT11" s="114"/>
      <c r="KTU11" s="114"/>
      <c r="KTV11" s="114"/>
      <c r="KTW11" s="114"/>
      <c r="KTX11" s="114"/>
      <c r="KTY11" s="114"/>
      <c r="KTZ11" s="114"/>
      <c r="KUA11" s="114"/>
      <c r="KUB11" s="114"/>
      <c r="KUC11" s="114"/>
      <c r="KUD11" s="114"/>
      <c r="KUE11" s="114"/>
      <c r="KUF11" s="114"/>
      <c r="KUG11" s="114"/>
      <c r="KUH11" s="114"/>
      <c r="KUI11" s="114"/>
      <c r="KUJ11" s="114"/>
      <c r="KUK11" s="114"/>
      <c r="KUL11" s="114"/>
      <c r="KUM11" s="114"/>
      <c r="KUN11" s="114"/>
      <c r="KUO11" s="114"/>
      <c r="KUP11" s="114"/>
      <c r="KUQ11" s="114"/>
      <c r="KUR11" s="114"/>
      <c r="KUS11" s="114"/>
      <c r="KUT11" s="114"/>
      <c r="KUU11" s="114"/>
      <c r="KUV11" s="114"/>
      <c r="KUW11" s="114"/>
      <c r="KUX11" s="114"/>
      <c r="KUY11" s="114"/>
      <c r="KUZ11" s="114"/>
      <c r="KVA11" s="114"/>
      <c r="KVB11" s="114"/>
      <c r="KVC11" s="114"/>
      <c r="KVD11" s="114"/>
      <c r="KVE11" s="114"/>
      <c r="KVF11" s="114"/>
      <c r="KVG11" s="114"/>
      <c r="KVH11" s="114"/>
      <c r="KVI11" s="114"/>
      <c r="KVJ11" s="114"/>
      <c r="KVK11" s="114"/>
      <c r="KVL11" s="114"/>
      <c r="KVM11" s="114"/>
      <c r="KVN11" s="114"/>
      <c r="KVO11" s="114"/>
      <c r="KVP11" s="114"/>
      <c r="KVQ11" s="114"/>
      <c r="KVR11" s="114"/>
      <c r="KVS11" s="114"/>
      <c r="KVT11" s="114"/>
      <c r="KVU11" s="114"/>
      <c r="KVV11" s="114"/>
      <c r="KVW11" s="114"/>
      <c r="KVX11" s="114"/>
      <c r="KVY11" s="114"/>
      <c r="KVZ11" s="114"/>
      <c r="KWA11" s="114"/>
      <c r="KWB11" s="114"/>
      <c r="KWC11" s="114"/>
      <c r="KWD11" s="114"/>
      <c r="KWE11" s="114"/>
      <c r="KWF11" s="114"/>
      <c r="KWG11" s="114"/>
      <c r="KWH11" s="114"/>
      <c r="KWI11" s="114"/>
      <c r="KWJ11" s="114"/>
      <c r="KWK11" s="114"/>
      <c r="KWL11" s="114"/>
      <c r="KWM11" s="114"/>
      <c r="KWN11" s="114"/>
      <c r="KWO11" s="114"/>
      <c r="KWP11" s="114"/>
      <c r="KWQ11" s="114"/>
      <c r="KWR11" s="114"/>
      <c r="KWS11" s="114"/>
      <c r="KWT11" s="114"/>
      <c r="KWU11" s="114"/>
      <c r="KWV11" s="114"/>
      <c r="KWW11" s="114"/>
      <c r="KWX11" s="114"/>
      <c r="KWY11" s="114"/>
      <c r="KWZ11" s="114"/>
      <c r="KXA11" s="114"/>
      <c r="KXB11" s="114"/>
      <c r="KXC11" s="114"/>
      <c r="KXD11" s="114"/>
      <c r="KXE11" s="114"/>
      <c r="KXF11" s="114"/>
      <c r="KXG11" s="114"/>
      <c r="KXH11" s="114"/>
      <c r="KXI11" s="114"/>
      <c r="KXJ11" s="114"/>
      <c r="KXK11" s="114"/>
      <c r="KXL11" s="114"/>
      <c r="KXM11" s="114"/>
      <c r="KXN11" s="114"/>
      <c r="KXO11" s="114"/>
      <c r="KXP11" s="114"/>
      <c r="KXQ11" s="114"/>
      <c r="KXR11" s="114"/>
      <c r="KXS11" s="114"/>
      <c r="KXT11" s="114"/>
      <c r="KXU11" s="114"/>
      <c r="KXV11" s="114"/>
      <c r="KXW11" s="114"/>
      <c r="KXX11" s="114"/>
      <c r="KXY11" s="114"/>
      <c r="KXZ11" s="114"/>
      <c r="KYA11" s="114"/>
      <c r="KYB11" s="114"/>
      <c r="KYC11" s="114"/>
      <c r="KYD11" s="114"/>
      <c r="KYE11" s="114"/>
      <c r="KYF11" s="114"/>
      <c r="KYG11" s="114"/>
      <c r="KYH11" s="114"/>
      <c r="KYI11" s="114"/>
      <c r="KYJ11" s="114"/>
      <c r="KYK11" s="114"/>
      <c r="KYL11" s="114"/>
      <c r="KYM11" s="114"/>
      <c r="KYN11" s="114"/>
      <c r="KYO11" s="114"/>
      <c r="KYP11" s="114"/>
      <c r="KYQ11" s="114"/>
      <c r="KYR11" s="114"/>
      <c r="KYS11" s="114"/>
      <c r="KYT11" s="114"/>
      <c r="KYU11" s="114"/>
      <c r="KYV11" s="114"/>
      <c r="KYW11" s="114"/>
      <c r="KYX11" s="114"/>
      <c r="KYY11" s="114"/>
      <c r="KYZ11" s="114"/>
      <c r="KZA11" s="114"/>
      <c r="KZB11" s="114"/>
      <c r="KZC11" s="114"/>
      <c r="KZD11" s="114"/>
      <c r="KZE11" s="114"/>
      <c r="KZF11" s="114"/>
      <c r="KZG11" s="114"/>
      <c r="KZH11" s="114"/>
      <c r="KZI11" s="114"/>
      <c r="KZJ11" s="114"/>
      <c r="KZK11" s="114"/>
      <c r="KZL11" s="114"/>
      <c r="KZM11" s="114"/>
      <c r="KZN11" s="114"/>
      <c r="KZO11" s="114"/>
      <c r="KZP11" s="114"/>
      <c r="KZQ11" s="114"/>
      <c r="KZR11" s="114"/>
      <c r="KZS11" s="114"/>
      <c r="KZT11" s="114"/>
      <c r="KZU11" s="114"/>
      <c r="KZV11" s="114"/>
      <c r="KZW11" s="114"/>
      <c r="KZX11" s="114"/>
      <c r="KZY11" s="114"/>
      <c r="KZZ11" s="114"/>
      <c r="LAA11" s="114"/>
      <c r="LAB11" s="114"/>
      <c r="LAC11" s="114"/>
      <c r="LAD11" s="114"/>
      <c r="LAE11" s="114"/>
      <c r="LAF11" s="114"/>
      <c r="LAG11" s="114"/>
      <c r="LAH11" s="114"/>
      <c r="LAI11" s="114"/>
      <c r="LAJ11" s="114"/>
      <c r="LAK11" s="114"/>
      <c r="LAL11" s="114"/>
      <c r="LAM11" s="114"/>
      <c r="LAN11" s="114"/>
      <c r="LAO11" s="114"/>
      <c r="LAP11" s="114"/>
      <c r="LAQ11" s="114"/>
      <c r="LAR11" s="114"/>
      <c r="LAS11" s="114"/>
      <c r="LAT11" s="114"/>
      <c r="LAU11" s="114"/>
      <c r="LAV11" s="114"/>
      <c r="LAW11" s="114"/>
      <c r="LAX11" s="114"/>
      <c r="LAY11" s="114"/>
      <c r="LAZ11" s="114"/>
      <c r="LBA11" s="114"/>
      <c r="LBB11" s="114"/>
      <c r="LBC11" s="114"/>
      <c r="LBD11" s="114"/>
      <c r="LBE11" s="114"/>
      <c r="LBF11" s="114"/>
      <c r="LBG11" s="114"/>
      <c r="LBH11" s="114"/>
      <c r="LBI11" s="114"/>
      <c r="LBJ11" s="114"/>
      <c r="LBK11" s="114"/>
      <c r="LBL11" s="114"/>
      <c r="LBM11" s="114"/>
      <c r="LBN11" s="114"/>
      <c r="LBO11" s="114"/>
      <c r="LBP11" s="114"/>
      <c r="LBQ11" s="114"/>
      <c r="LBR11" s="114"/>
      <c r="LBS11" s="114"/>
      <c r="LBT11" s="114"/>
      <c r="LBU11" s="114"/>
      <c r="LBV11" s="114"/>
      <c r="LBW11" s="114"/>
      <c r="LBX11" s="114"/>
      <c r="LBY11" s="114"/>
      <c r="LBZ11" s="114"/>
      <c r="LCA11" s="114"/>
      <c r="LCB11" s="114"/>
      <c r="LCC11" s="114"/>
      <c r="LCD11" s="114"/>
      <c r="LCE11" s="114"/>
      <c r="LCF11" s="114"/>
      <c r="LCG11" s="114"/>
      <c r="LCH11" s="114"/>
      <c r="LCI11" s="114"/>
      <c r="LCJ11" s="114"/>
      <c r="LCK11" s="114"/>
      <c r="LCL11" s="114"/>
      <c r="LCM11" s="114"/>
      <c r="LCN11" s="114"/>
      <c r="LCO11" s="114"/>
      <c r="LCP11" s="114"/>
      <c r="LCQ11" s="114"/>
      <c r="LCR11" s="114"/>
      <c r="LCS11" s="114"/>
      <c r="LCT11" s="114"/>
      <c r="LCU11" s="114"/>
      <c r="LCV11" s="114"/>
      <c r="LCW11" s="114"/>
      <c r="LCX11" s="114"/>
      <c r="LCY11" s="114"/>
      <c r="LCZ11" s="114"/>
      <c r="LDA11" s="114"/>
      <c r="LDB11" s="114"/>
      <c r="LDC11" s="114"/>
      <c r="LDD11" s="114"/>
      <c r="LDE11" s="114"/>
      <c r="LDF11" s="114"/>
      <c r="LDG11" s="114"/>
      <c r="LDH11" s="114"/>
      <c r="LDI11" s="114"/>
      <c r="LDJ11" s="114"/>
      <c r="LDK11" s="114"/>
      <c r="LDL11" s="114"/>
      <c r="LDM11" s="114"/>
      <c r="LDN11" s="114"/>
      <c r="LDO11" s="114"/>
      <c r="LDP11" s="114"/>
      <c r="LDQ11" s="114"/>
      <c r="LDR11" s="114"/>
      <c r="LDS11" s="114"/>
      <c r="LDT11" s="114"/>
      <c r="LDU11" s="114"/>
      <c r="LDV11" s="114"/>
      <c r="LDW11" s="114"/>
      <c r="LDX11" s="114"/>
      <c r="LDY11" s="114"/>
      <c r="LDZ11" s="114"/>
      <c r="LEA11" s="114"/>
      <c r="LEB11" s="114"/>
      <c r="LEC11" s="114"/>
      <c r="LED11" s="114"/>
      <c r="LEE11" s="114"/>
      <c r="LEF11" s="114"/>
      <c r="LEG11" s="114"/>
      <c r="LEH11" s="114"/>
      <c r="LEI11" s="114"/>
      <c r="LEJ11" s="114"/>
      <c r="LEK11" s="114"/>
      <c r="LEL11" s="114"/>
      <c r="LEM11" s="114"/>
      <c r="LEN11" s="114"/>
      <c r="LEO11" s="114"/>
      <c r="LEP11" s="114"/>
      <c r="LEQ11" s="114"/>
      <c r="LER11" s="114"/>
      <c r="LES11" s="114"/>
      <c r="LET11" s="114"/>
      <c r="LEU11" s="114"/>
      <c r="LEV11" s="114"/>
      <c r="LEW11" s="114"/>
      <c r="LEX11" s="114"/>
      <c r="LEY11" s="114"/>
      <c r="LEZ11" s="114"/>
      <c r="LFA11" s="114"/>
      <c r="LFB11" s="114"/>
      <c r="LFC11" s="114"/>
      <c r="LFD11" s="114"/>
      <c r="LFE11" s="114"/>
      <c r="LFF11" s="114"/>
      <c r="LFG11" s="114"/>
      <c r="LFH11" s="114"/>
      <c r="LFI11" s="114"/>
      <c r="LFJ11" s="114"/>
      <c r="LFK11" s="114"/>
      <c r="LFL11" s="114"/>
      <c r="LFM11" s="114"/>
      <c r="LFN11" s="114"/>
      <c r="LFO11" s="114"/>
      <c r="LFP11" s="114"/>
      <c r="LFQ11" s="114"/>
      <c r="LFR11" s="114"/>
      <c r="LFS11" s="114"/>
      <c r="LFT11" s="114"/>
      <c r="LFU11" s="114"/>
      <c r="LFV11" s="114"/>
      <c r="LFW11" s="114"/>
      <c r="LFX11" s="114"/>
      <c r="LFY11" s="114"/>
      <c r="LFZ11" s="114"/>
      <c r="LGA11" s="114"/>
      <c r="LGB11" s="114"/>
      <c r="LGC11" s="114"/>
      <c r="LGD11" s="114"/>
      <c r="LGE11" s="114"/>
      <c r="LGF11" s="114"/>
      <c r="LGG11" s="114"/>
      <c r="LGH11" s="114"/>
      <c r="LGI11" s="114"/>
      <c r="LGJ11" s="114"/>
      <c r="LGK11" s="114"/>
      <c r="LGL11" s="114"/>
      <c r="LGM11" s="114"/>
      <c r="LGN11" s="114"/>
      <c r="LGO11" s="114"/>
      <c r="LGP11" s="114"/>
      <c r="LGQ11" s="114"/>
      <c r="LGR11" s="114"/>
      <c r="LGS11" s="114"/>
      <c r="LGT11" s="114"/>
      <c r="LGU11" s="114"/>
      <c r="LGV11" s="114"/>
      <c r="LGW11" s="114"/>
      <c r="LGX11" s="114"/>
      <c r="LGY11" s="114"/>
      <c r="LGZ11" s="114"/>
      <c r="LHA11" s="114"/>
      <c r="LHB11" s="114"/>
      <c r="LHC11" s="114"/>
      <c r="LHD11" s="114"/>
      <c r="LHE11" s="114"/>
      <c r="LHF11" s="114"/>
      <c r="LHG11" s="114"/>
      <c r="LHH11" s="114"/>
      <c r="LHI11" s="114"/>
      <c r="LHJ11" s="114"/>
      <c r="LHK11" s="114"/>
      <c r="LHL11" s="114"/>
      <c r="LHM11" s="114"/>
      <c r="LHN11" s="114"/>
      <c r="LHO11" s="114"/>
      <c r="LHP11" s="114"/>
      <c r="LHQ11" s="114"/>
      <c r="LHR11" s="114"/>
      <c r="LHS11" s="114"/>
      <c r="LHT11" s="114"/>
      <c r="LHU11" s="114"/>
      <c r="LHV11" s="114"/>
      <c r="LHW11" s="114"/>
      <c r="LHX11" s="114"/>
      <c r="LHY11" s="114"/>
      <c r="LHZ11" s="114"/>
      <c r="LIA11" s="114"/>
      <c r="LIB11" s="114"/>
      <c r="LIC11" s="114"/>
      <c r="LID11" s="114"/>
      <c r="LIE11" s="114"/>
      <c r="LIF11" s="114"/>
      <c r="LIG11" s="114"/>
      <c r="LIH11" s="114"/>
      <c r="LII11" s="114"/>
      <c r="LIJ11" s="114"/>
      <c r="LIK11" s="114"/>
      <c r="LIL11" s="114"/>
      <c r="LIM11" s="114"/>
      <c r="LIN11" s="114"/>
      <c r="LIO11" s="114"/>
      <c r="LIP11" s="114"/>
      <c r="LIQ11" s="114"/>
      <c r="LIR11" s="114"/>
      <c r="LIS11" s="114"/>
      <c r="LIT11" s="114"/>
      <c r="LIU11" s="114"/>
      <c r="LIV11" s="114"/>
      <c r="LIW11" s="114"/>
      <c r="LIX11" s="114"/>
      <c r="LIY11" s="114"/>
      <c r="LIZ11" s="114"/>
      <c r="LJA11" s="114"/>
      <c r="LJB11" s="114"/>
      <c r="LJC11" s="114"/>
      <c r="LJD11" s="114"/>
      <c r="LJE11" s="114"/>
      <c r="LJF11" s="114"/>
      <c r="LJG11" s="114"/>
      <c r="LJH11" s="114"/>
      <c r="LJI11" s="114"/>
      <c r="LJJ11" s="114"/>
      <c r="LJK11" s="114"/>
      <c r="LJL11" s="114"/>
      <c r="LJM11" s="114"/>
      <c r="LJN11" s="114"/>
      <c r="LJO11" s="114"/>
      <c r="LJP11" s="114"/>
      <c r="LJQ11" s="114"/>
      <c r="LJR11" s="114"/>
      <c r="LJS11" s="114"/>
      <c r="LJT11" s="114"/>
      <c r="LJU11" s="114"/>
      <c r="LJV11" s="114"/>
      <c r="LJW11" s="114"/>
      <c r="LJX11" s="114"/>
      <c r="LJY11" s="114"/>
      <c r="LJZ11" s="114"/>
      <c r="LKA11" s="114"/>
      <c r="LKB11" s="114"/>
      <c r="LKC11" s="114"/>
      <c r="LKD11" s="114"/>
      <c r="LKE11" s="114"/>
      <c r="LKF11" s="114"/>
      <c r="LKG11" s="114"/>
      <c r="LKH11" s="114"/>
      <c r="LKI11" s="114"/>
      <c r="LKJ11" s="114"/>
      <c r="LKK11" s="114"/>
      <c r="LKL11" s="114"/>
      <c r="LKM11" s="114"/>
      <c r="LKN11" s="114"/>
      <c r="LKO11" s="114"/>
      <c r="LKP11" s="114"/>
      <c r="LKQ11" s="114"/>
      <c r="LKR11" s="114"/>
      <c r="LKS11" s="114"/>
      <c r="LKT11" s="114"/>
      <c r="LKU11" s="114"/>
      <c r="LKV11" s="114"/>
      <c r="LKW11" s="114"/>
      <c r="LKX11" s="114"/>
      <c r="LKY11" s="114"/>
      <c r="LKZ11" s="114"/>
      <c r="LLA11" s="114"/>
      <c r="LLB11" s="114"/>
      <c r="LLC11" s="114"/>
      <c r="LLD11" s="114"/>
      <c r="LLE11" s="114"/>
      <c r="LLF11" s="114"/>
      <c r="LLG11" s="114"/>
      <c r="LLH11" s="114"/>
      <c r="LLI11" s="114"/>
      <c r="LLJ11" s="114"/>
      <c r="LLK11" s="114"/>
      <c r="LLL11" s="114"/>
      <c r="LLM11" s="114"/>
      <c r="LLN11" s="114"/>
      <c r="LLO11" s="114"/>
      <c r="LLP11" s="114"/>
      <c r="LLQ11" s="114"/>
      <c r="LLR11" s="114"/>
      <c r="LLS11" s="114"/>
      <c r="LLT11" s="114"/>
      <c r="LLU11" s="114"/>
      <c r="LLV11" s="114"/>
      <c r="LLW11" s="114"/>
      <c r="LLX11" s="114"/>
      <c r="LLY11" s="114"/>
      <c r="LLZ11" s="114"/>
      <c r="LMA11" s="114"/>
      <c r="LMB11" s="114"/>
      <c r="LMC11" s="114"/>
      <c r="LMD11" s="114"/>
      <c r="LME11" s="114"/>
      <c r="LMF11" s="114"/>
      <c r="LMG11" s="114"/>
      <c r="LMH11" s="114"/>
      <c r="LMI11" s="114"/>
      <c r="LMJ11" s="114"/>
      <c r="LMK11" s="114"/>
      <c r="LML11" s="114"/>
      <c r="LMM11" s="114"/>
      <c r="LMN11" s="114"/>
      <c r="LMO11" s="114"/>
      <c r="LMP11" s="114"/>
      <c r="LMQ11" s="114"/>
      <c r="LMR11" s="114"/>
      <c r="LMS11" s="114"/>
      <c r="LMT11" s="114"/>
      <c r="LMU11" s="114"/>
      <c r="LMV11" s="114"/>
      <c r="LMW11" s="114"/>
      <c r="LMX11" s="114"/>
      <c r="LMY11" s="114"/>
      <c r="LMZ11" s="114"/>
      <c r="LNA11" s="114"/>
      <c r="LNB11" s="114"/>
      <c r="LNC11" s="114"/>
      <c r="LND11" s="114"/>
      <c r="LNE11" s="114"/>
      <c r="LNF11" s="114"/>
      <c r="LNG11" s="114"/>
      <c r="LNH11" s="114"/>
      <c r="LNI11" s="114"/>
      <c r="LNJ11" s="114"/>
      <c r="LNK11" s="114"/>
      <c r="LNL11" s="114"/>
      <c r="LNM11" s="114"/>
      <c r="LNN11" s="114"/>
      <c r="LNO11" s="114"/>
      <c r="LNP11" s="114"/>
      <c r="LNQ11" s="114"/>
      <c r="LNR11" s="114"/>
      <c r="LNS11" s="114"/>
      <c r="LNT11" s="114"/>
      <c r="LNU11" s="114"/>
      <c r="LNV11" s="114"/>
      <c r="LNW11" s="114"/>
      <c r="LNX11" s="114"/>
      <c r="LNY11" s="114"/>
      <c r="LNZ11" s="114"/>
      <c r="LOA11" s="114"/>
      <c r="LOB11" s="114"/>
      <c r="LOC11" s="114"/>
      <c r="LOD11" s="114"/>
      <c r="LOE11" s="114"/>
      <c r="LOF11" s="114"/>
      <c r="LOG11" s="114"/>
      <c r="LOH11" s="114"/>
      <c r="LOI11" s="114"/>
      <c r="LOJ11" s="114"/>
      <c r="LOK11" s="114"/>
      <c r="LOL11" s="114"/>
      <c r="LOM11" s="114"/>
      <c r="LON11" s="114"/>
      <c r="LOO11" s="114"/>
      <c r="LOP11" s="114"/>
      <c r="LOQ11" s="114"/>
      <c r="LOR11" s="114"/>
      <c r="LOS11" s="114"/>
      <c r="LOT11" s="114"/>
      <c r="LOU11" s="114"/>
      <c r="LOV11" s="114"/>
      <c r="LOW11" s="114"/>
      <c r="LOX11" s="114"/>
      <c r="LOY11" s="114"/>
      <c r="LOZ11" s="114"/>
      <c r="LPA11" s="114"/>
      <c r="LPB11" s="114"/>
      <c r="LPC11" s="114"/>
      <c r="LPD11" s="114"/>
      <c r="LPE11" s="114"/>
      <c r="LPF11" s="114"/>
      <c r="LPG11" s="114"/>
      <c r="LPH11" s="114"/>
      <c r="LPI11" s="114"/>
      <c r="LPJ11" s="114"/>
      <c r="LPK11" s="114"/>
      <c r="LPL11" s="114"/>
      <c r="LPM11" s="114"/>
      <c r="LPN11" s="114"/>
      <c r="LPO11" s="114"/>
      <c r="LPP11" s="114"/>
      <c r="LPQ11" s="114"/>
      <c r="LPR11" s="114"/>
      <c r="LPS11" s="114"/>
      <c r="LPT11" s="114"/>
      <c r="LPU11" s="114"/>
      <c r="LPV11" s="114"/>
      <c r="LPW11" s="114"/>
      <c r="LPX11" s="114"/>
      <c r="LPY11" s="114"/>
      <c r="LPZ11" s="114"/>
      <c r="LQA11" s="114"/>
      <c r="LQB11" s="114"/>
      <c r="LQC11" s="114"/>
      <c r="LQD11" s="114"/>
      <c r="LQE11" s="114"/>
      <c r="LQF11" s="114"/>
      <c r="LQG11" s="114"/>
      <c r="LQH11" s="114"/>
      <c r="LQI11" s="114"/>
      <c r="LQJ11" s="114"/>
      <c r="LQK11" s="114"/>
      <c r="LQL11" s="114"/>
      <c r="LQM11" s="114"/>
      <c r="LQN11" s="114"/>
      <c r="LQO11" s="114"/>
      <c r="LQP11" s="114"/>
      <c r="LQQ11" s="114"/>
      <c r="LQR11" s="114"/>
      <c r="LQS11" s="114"/>
      <c r="LQT11" s="114"/>
      <c r="LQU11" s="114"/>
      <c r="LQV11" s="114"/>
      <c r="LQW11" s="114"/>
      <c r="LQX11" s="114"/>
      <c r="LQY11" s="114"/>
      <c r="LQZ11" s="114"/>
      <c r="LRA11" s="114"/>
      <c r="LRB11" s="114"/>
      <c r="LRC11" s="114"/>
      <c r="LRD11" s="114"/>
      <c r="LRE11" s="114"/>
      <c r="LRF11" s="114"/>
      <c r="LRG11" s="114"/>
      <c r="LRH11" s="114"/>
      <c r="LRI11" s="114"/>
      <c r="LRJ11" s="114"/>
      <c r="LRK11" s="114"/>
      <c r="LRL11" s="114"/>
      <c r="LRM11" s="114"/>
      <c r="LRN11" s="114"/>
      <c r="LRO11" s="114"/>
      <c r="LRP11" s="114"/>
      <c r="LRQ11" s="114"/>
      <c r="LRR11" s="114"/>
      <c r="LRS11" s="114"/>
      <c r="LRT11" s="114"/>
      <c r="LRU11" s="114"/>
      <c r="LRV11" s="114"/>
      <c r="LRW11" s="114"/>
      <c r="LRX11" s="114"/>
      <c r="LRY11" s="114"/>
      <c r="LRZ11" s="114"/>
      <c r="LSA11" s="114"/>
      <c r="LSB11" s="114"/>
      <c r="LSC11" s="114"/>
      <c r="LSD11" s="114"/>
      <c r="LSE11" s="114"/>
      <c r="LSF11" s="114"/>
      <c r="LSG11" s="114"/>
      <c r="LSH11" s="114"/>
      <c r="LSI11" s="114"/>
      <c r="LSJ11" s="114"/>
      <c r="LSK11" s="114"/>
      <c r="LSL11" s="114"/>
      <c r="LSM11" s="114"/>
      <c r="LSN11" s="114"/>
      <c r="LSO11" s="114"/>
      <c r="LSP11" s="114"/>
      <c r="LSQ11" s="114"/>
      <c r="LSR11" s="114"/>
      <c r="LSS11" s="114"/>
      <c r="LST11" s="114"/>
      <c r="LSU11" s="114"/>
      <c r="LSV11" s="114"/>
      <c r="LSW11" s="114"/>
      <c r="LSX11" s="114"/>
      <c r="LSY11" s="114"/>
      <c r="LSZ11" s="114"/>
      <c r="LTA11" s="114"/>
      <c r="LTB11" s="114"/>
      <c r="LTC11" s="114"/>
      <c r="LTD11" s="114"/>
      <c r="LTE11" s="114"/>
      <c r="LTF11" s="114"/>
      <c r="LTG11" s="114"/>
      <c r="LTH11" s="114"/>
      <c r="LTI11" s="114"/>
      <c r="LTJ11" s="114"/>
      <c r="LTK11" s="114"/>
      <c r="LTL11" s="114"/>
      <c r="LTM11" s="114"/>
      <c r="LTN11" s="114"/>
      <c r="LTO11" s="114"/>
      <c r="LTP11" s="114"/>
      <c r="LTQ11" s="114"/>
      <c r="LTR11" s="114"/>
      <c r="LTS11" s="114"/>
      <c r="LTT11" s="114"/>
      <c r="LTU11" s="114"/>
      <c r="LTV11" s="114"/>
      <c r="LTW11" s="114"/>
      <c r="LTX11" s="114"/>
      <c r="LTY11" s="114"/>
      <c r="LTZ11" s="114"/>
      <c r="LUA11" s="114"/>
      <c r="LUB11" s="114"/>
      <c r="LUC11" s="114"/>
      <c r="LUD11" s="114"/>
      <c r="LUE11" s="114"/>
      <c r="LUF11" s="114"/>
      <c r="LUG11" s="114"/>
      <c r="LUH11" s="114"/>
      <c r="LUI11" s="114"/>
      <c r="LUJ11" s="114"/>
      <c r="LUK11" s="114"/>
      <c r="LUL11" s="114"/>
      <c r="LUM11" s="114"/>
      <c r="LUN11" s="114"/>
      <c r="LUO11" s="114"/>
      <c r="LUP11" s="114"/>
      <c r="LUQ11" s="114"/>
      <c r="LUR11" s="114"/>
      <c r="LUS11" s="114"/>
      <c r="LUT11" s="114"/>
      <c r="LUU11" s="114"/>
      <c r="LUV11" s="114"/>
      <c r="LUW11" s="114"/>
      <c r="LUX11" s="114"/>
      <c r="LUY11" s="114"/>
      <c r="LUZ11" s="114"/>
      <c r="LVA11" s="114"/>
      <c r="LVB11" s="114"/>
      <c r="LVC11" s="114"/>
      <c r="LVD11" s="114"/>
      <c r="LVE11" s="114"/>
      <c r="LVF11" s="114"/>
      <c r="LVG11" s="114"/>
      <c r="LVH11" s="114"/>
      <c r="LVI11" s="114"/>
      <c r="LVJ11" s="114"/>
      <c r="LVK11" s="114"/>
      <c r="LVL11" s="114"/>
      <c r="LVM11" s="114"/>
      <c r="LVN11" s="114"/>
      <c r="LVO11" s="114"/>
      <c r="LVP11" s="114"/>
      <c r="LVQ11" s="114"/>
      <c r="LVR11" s="114"/>
      <c r="LVS11" s="114"/>
      <c r="LVT11" s="114"/>
      <c r="LVU11" s="114"/>
      <c r="LVV11" s="114"/>
      <c r="LVW11" s="114"/>
      <c r="LVX11" s="114"/>
      <c r="LVY11" s="114"/>
      <c r="LVZ11" s="114"/>
      <c r="LWA11" s="114"/>
      <c r="LWB11" s="114"/>
      <c r="LWC11" s="114"/>
      <c r="LWD11" s="114"/>
      <c r="LWE11" s="114"/>
      <c r="LWF11" s="114"/>
      <c r="LWG11" s="114"/>
      <c r="LWH11" s="114"/>
      <c r="LWI11" s="114"/>
      <c r="LWJ11" s="114"/>
      <c r="LWK11" s="114"/>
      <c r="LWL11" s="114"/>
      <c r="LWM11" s="114"/>
      <c r="LWN11" s="114"/>
      <c r="LWO11" s="114"/>
      <c r="LWP11" s="114"/>
      <c r="LWQ11" s="114"/>
      <c r="LWR11" s="114"/>
      <c r="LWS11" s="114"/>
      <c r="LWT11" s="114"/>
      <c r="LWU11" s="114"/>
      <c r="LWV11" s="114"/>
      <c r="LWW11" s="114"/>
      <c r="LWX11" s="114"/>
      <c r="LWY11" s="114"/>
      <c r="LWZ11" s="114"/>
      <c r="LXA11" s="114"/>
      <c r="LXB11" s="114"/>
      <c r="LXC11" s="114"/>
      <c r="LXD11" s="114"/>
      <c r="LXE11" s="114"/>
      <c r="LXF11" s="114"/>
      <c r="LXG11" s="114"/>
      <c r="LXH11" s="114"/>
      <c r="LXI11" s="114"/>
      <c r="LXJ11" s="114"/>
      <c r="LXK11" s="114"/>
      <c r="LXL11" s="114"/>
      <c r="LXM11" s="114"/>
      <c r="LXN11" s="114"/>
      <c r="LXO11" s="114"/>
      <c r="LXP11" s="114"/>
      <c r="LXQ11" s="114"/>
      <c r="LXR11" s="114"/>
      <c r="LXS11" s="114"/>
      <c r="LXT11" s="114"/>
      <c r="LXU11" s="114"/>
      <c r="LXV11" s="114"/>
      <c r="LXW11" s="114"/>
      <c r="LXX11" s="114"/>
      <c r="LXY11" s="114"/>
      <c r="LXZ11" s="114"/>
      <c r="LYA11" s="114"/>
      <c r="LYB11" s="114"/>
      <c r="LYC11" s="114"/>
      <c r="LYD11" s="114"/>
      <c r="LYE11" s="114"/>
      <c r="LYF11" s="114"/>
      <c r="LYG11" s="114"/>
      <c r="LYH11" s="114"/>
      <c r="LYI11" s="114"/>
      <c r="LYJ11" s="114"/>
      <c r="LYK11" s="114"/>
      <c r="LYL11" s="114"/>
      <c r="LYM11" s="114"/>
      <c r="LYN11" s="114"/>
      <c r="LYO11" s="114"/>
      <c r="LYP11" s="114"/>
      <c r="LYQ11" s="114"/>
      <c r="LYR11" s="114"/>
      <c r="LYS11" s="114"/>
      <c r="LYT11" s="114"/>
      <c r="LYU11" s="114"/>
      <c r="LYV11" s="114"/>
      <c r="LYW11" s="114"/>
      <c r="LYX11" s="114"/>
      <c r="LYY11" s="114"/>
      <c r="LYZ11" s="114"/>
      <c r="LZA11" s="114"/>
      <c r="LZB11" s="114"/>
      <c r="LZC11" s="114"/>
      <c r="LZD11" s="114"/>
      <c r="LZE11" s="114"/>
      <c r="LZF11" s="114"/>
      <c r="LZG11" s="114"/>
      <c r="LZH11" s="114"/>
      <c r="LZI11" s="114"/>
      <c r="LZJ11" s="114"/>
      <c r="LZK11" s="114"/>
      <c r="LZL11" s="114"/>
      <c r="LZM11" s="114"/>
      <c r="LZN11" s="114"/>
      <c r="LZO11" s="114"/>
      <c r="LZP11" s="114"/>
      <c r="LZQ11" s="114"/>
      <c r="LZR11" s="114"/>
      <c r="LZS11" s="114"/>
      <c r="LZT11" s="114"/>
      <c r="LZU11" s="114"/>
      <c r="LZV11" s="114"/>
      <c r="LZW11" s="114"/>
      <c r="LZX11" s="114"/>
      <c r="LZY11" s="114"/>
      <c r="LZZ11" s="114"/>
      <c r="MAA11" s="114"/>
      <c r="MAB11" s="114"/>
      <c r="MAC11" s="114"/>
      <c r="MAD11" s="114"/>
      <c r="MAE11" s="114"/>
      <c r="MAF11" s="114"/>
      <c r="MAG11" s="114"/>
      <c r="MAH11" s="114"/>
      <c r="MAI11" s="114"/>
      <c r="MAJ11" s="114"/>
      <c r="MAK11" s="114"/>
      <c r="MAL11" s="114"/>
      <c r="MAM11" s="114"/>
      <c r="MAN11" s="114"/>
      <c r="MAO11" s="114"/>
      <c r="MAP11" s="114"/>
      <c r="MAQ11" s="114"/>
      <c r="MAR11" s="114"/>
      <c r="MAS11" s="114"/>
      <c r="MAT11" s="114"/>
      <c r="MAU11" s="114"/>
      <c r="MAV11" s="114"/>
      <c r="MAW11" s="114"/>
      <c r="MAX11" s="114"/>
      <c r="MAY11" s="114"/>
      <c r="MAZ11" s="114"/>
      <c r="MBA11" s="114"/>
      <c r="MBB11" s="114"/>
      <c r="MBC11" s="114"/>
      <c r="MBD11" s="114"/>
      <c r="MBE11" s="114"/>
      <c r="MBF11" s="114"/>
      <c r="MBG11" s="114"/>
      <c r="MBH11" s="114"/>
      <c r="MBI11" s="114"/>
      <c r="MBJ11" s="114"/>
      <c r="MBK11" s="114"/>
      <c r="MBL11" s="114"/>
      <c r="MBM11" s="114"/>
      <c r="MBN11" s="114"/>
      <c r="MBO11" s="114"/>
      <c r="MBP11" s="114"/>
      <c r="MBQ11" s="114"/>
      <c r="MBR11" s="114"/>
      <c r="MBS11" s="114"/>
      <c r="MBT11" s="114"/>
      <c r="MBU11" s="114"/>
      <c r="MBV11" s="114"/>
      <c r="MBW11" s="114"/>
      <c r="MBX11" s="114"/>
      <c r="MBY11" s="114"/>
      <c r="MBZ11" s="114"/>
      <c r="MCA11" s="114"/>
      <c r="MCB11" s="114"/>
      <c r="MCC11" s="114"/>
      <c r="MCD11" s="114"/>
      <c r="MCE11" s="114"/>
      <c r="MCF11" s="114"/>
      <c r="MCG11" s="114"/>
      <c r="MCH11" s="114"/>
      <c r="MCI11" s="114"/>
      <c r="MCJ11" s="114"/>
      <c r="MCK11" s="114"/>
      <c r="MCL11" s="114"/>
      <c r="MCM11" s="114"/>
      <c r="MCN11" s="114"/>
      <c r="MCO11" s="114"/>
      <c r="MCP11" s="114"/>
      <c r="MCQ11" s="114"/>
      <c r="MCR11" s="114"/>
      <c r="MCS11" s="114"/>
      <c r="MCT11" s="114"/>
      <c r="MCU11" s="114"/>
      <c r="MCV11" s="114"/>
      <c r="MCW11" s="114"/>
      <c r="MCX11" s="114"/>
      <c r="MCY11" s="114"/>
      <c r="MCZ11" s="114"/>
      <c r="MDA11" s="114"/>
      <c r="MDB11" s="114"/>
      <c r="MDC11" s="114"/>
      <c r="MDD11" s="114"/>
      <c r="MDE11" s="114"/>
      <c r="MDF11" s="114"/>
      <c r="MDG11" s="114"/>
      <c r="MDH11" s="114"/>
      <c r="MDI11" s="114"/>
      <c r="MDJ11" s="114"/>
      <c r="MDK11" s="114"/>
      <c r="MDL11" s="114"/>
      <c r="MDM11" s="114"/>
      <c r="MDN11" s="114"/>
      <c r="MDO11" s="114"/>
      <c r="MDP11" s="114"/>
      <c r="MDQ11" s="114"/>
      <c r="MDR11" s="114"/>
      <c r="MDS11" s="114"/>
      <c r="MDT11" s="114"/>
      <c r="MDU11" s="114"/>
      <c r="MDV11" s="114"/>
      <c r="MDW11" s="114"/>
      <c r="MDX11" s="114"/>
      <c r="MDY11" s="114"/>
      <c r="MDZ11" s="114"/>
      <c r="MEA11" s="114"/>
      <c r="MEB11" s="114"/>
      <c r="MEC11" s="114"/>
      <c r="MED11" s="114"/>
      <c r="MEE11" s="114"/>
      <c r="MEF11" s="114"/>
      <c r="MEG11" s="114"/>
      <c r="MEH11" s="114"/>
      <c r="MEI11" s="114"/>
      <c r="MEJ11" s="114"/>
      <c r="MEK11" s="114"/>
      <c r="MEL11" s="114"/>
      <c r="MEM11" s="114"/>
      <c r="MEN11" s="114"/>
      <c r="MEO11" s="114"/>
      <c r="MEP11" s="114"/>
      <c r="MEQ11" s="114"/>
      <c r="MER11" s="114"/>
      <c r="MES11" s="114"/>
      <c r="MET11" s="114"/>
      <c r="MEU11" s="114"/>
      <c r="MEV11" s="114"/>
      <c r="MEW11" s="114"/>
      <c r="MEX11" s="114"/>
      <c r="MEY11" s="114"/>
      <c r="MEZ11" s="114"/>
      <c r="MFA11" s="114"/>
      <c r="MFB11" s="114"/>
      <c r="MFC11" s="114"/>
      <c r="MFD11" s="114"/>
      <c r="MFE11" s="114"/>
      <c r="MFF11" s="114"/>
      <c r="MFG11" s="114"/>
      <c r="MFH11" s="114"/>
      <c r="MFI11" s="114"/>
      <c r="MFJ11" s="114"/>
      <c r="MFK11" s="114"/>
      <c r="MFL11" s="114"/>
      <c r="MFM11" s="114"/>
      <c r="MFN11" s="114"/>
      <c r="MFO11" s="114"/>
      <c r="MFP11" s="114"/>
      <c r="MFQ11" s="114"/>
      <c r="MFR11" s="114"/>
      <c r="MFS11" s="114"/>
      <c r="MFT11" s="114"/>
      <c r="MFU11" s="114"/>
      <c r="MFV11" s="114"/>
      <c r="MFW11" s="114"/>
      <c r="MFX11" s="114"/>
      <c r="MFY11" s="114"/>
      <c r="MFZ11" s="114"/>
      <c r="MGA11" s="114"/>
      <c r="MGB11" s="114"/>
      <c r="MGC11" s="114"/>
      <c r="MGD11" s="114"/>
      <c r="MGE11" s="114"/>
      <c r="MGF11" s="114"/>
      <c r="MGG11" s="114"/>
      <c r="MGH11" s="114"/>
      <c r="MGI11" s="114"/>
      <c r="MGJ11" s="114"/>
      <c r="MGK11" s="114"/>
      <c r="MGL11" s="114"/>
      <c r="MGM11" s="114"/>
      <c r="MGN11" s="114"/>
      <c r="MGO11" s="114"/>
      <c r="MGP11" s="114"/>
      <c r="MGQ11" s="114"/>
      <c r="MGR11" s="114"/>
      <c r="MGS11" s="114"/>
      <c r="MGT11" s="114"/>
      <c r="MGU11" s="114"/>
      <c r="MGV11" s="114"/>
      <c r="MGW11" s="114"/>
      <c r="MGX11" s="114"/>
      <c r="MGY11" s="114"/>
      <c r="MGZ11" s="114"/>
      <c r="MHA11" s="114"/>
      <c r="MHB11" s="114"/>
      <c r="MHC11" s="114"/>
      <c r="MHD11" s="114"/>
      <c r="MHE11" s="114"/>
      <c r="MHF11" s="114"/>
      <c r="MHG11" s="114"/>
      <c r="MHH11" s="114"/>
      <c r="MHI11" s="114"/>
      <c r="MHJ11" s="114"/>
      <c r="MHK11" s="114"/>
      <c r="MHL11" s="114"/>
      <c r="MHM11" s="114"/>
      <c r="MHN11" s="114"/>
      <c r="MHO11" s="114"/>
      <c r="MHP11" s="114"/>
      <c r="MHQ11" s="114"/>
      <c r="MHR11" s="114"/>
      <c r="MHS11" s="114"/>
      <c r="MHT11" s="114"/>
      <c r="MHU11" s="114"/>
      <c r="MHV11" s="114"/>
      <c r="MHW11" s="114"/>
      <c r="MHX11" s="114"/>
      <c r="MHY11" s="114"/>
      <c r="MHZ11" s="114"/>
      <c r="MIA11" s="114"/>
      <c r="MIB11" s="114"/>
      <c r="MIC11" s="114"/>
      <c r="MID11" s="114"/>
      <c r="MIE11" s="114"/>
      <c r="MIF11" s="114"/>
      <c r="MIG11" s="114"/>
      <c r="MIH11" s="114"/>
      <c r="MII11" s="114"/>
      <c r="MIJ11" s="114"/>
      <c r="MIK11" s="114"/>
      <c r="MIL11" s="114"/>
      <c r="MIM11" s="114"/>
      <c r="MIN11" s="114"/>
      <c r="MIO11" s="114"/>
      <c r="MIP11" s="114"/>
      <c r="MIQ11" s="114"/>
      <c r="MIR11" s="114"/>
      <c r="MIS11" s="114"/>
      <c r="MIT11" s="114"/>
      <c r="MIU11" s="114"/>
      <c r="MIV11" s="114"/>
      <c r="MIW11" s="114"/>
      <c r="MIX11" s="114"/>
      <c r="MIY11" s="114"/>
      <c r="MIZ11" s="114"/>
      <c r="MJA11" s="114"/>
      <c r="MJB11" s="114"/>
      <c r="MJC11" s="114"/>
      <c r="MJD11" s="114"/>
      <c r="MJE11" s="114"/>
      <c r="MJF11" s="114"/>
      <c r="MJG11" s="114"/>
      <c r="MJH11" s="114"/>
      <c r="MJI11" s="114"/>
      <c r="MJJ11" s="114"/>
      <c r="MJK11" s="114"/>
      <c r="MJL11" s="114"/>
      <c r="MJM11" s="114"/>
      <c r="MJN11" s="114"/>
      <c r="MJO11" s="114"/>
      <c r="MJP11" s="114"/>
      <c r="MJQ11" s="114"/>
      <c r="MJR11" s="114"/>
      <c r="MJS11" s="114"/>
      <c r="MJT11" s="114"/>
      <c r="MJU11" s="114"/>
      <c r="MJV11" s="114"/>
      <c r="MJW11" s="114"/>
      <c r="MJX11" s="114"/>
      <c r="MJY11" s="114"/>
      <c r="MJZ11" s="114"/>
      <c r="MKA11" s="114"/>
      <c r="MKB11" s="114"/>
      <c r="MKC11" s="114"/>
      <c r="MKD11" s="114"/>
      <c r="MKE11" s="114"/>
      <c r="MKF11" s="114"/>
      <c r="MKG11" s="114"/>
      <c r="MKH11" s="114"/>
      <c r="MKI11" s="114"/>
      <c r="MKJ11" s="114"/>
      <c r="MKK11" s="114"/>
      <c r="MKL11" s="114"/>
      <c r="MKM11" s="114"/>
      <c r="MKN11" s="114"/>
      <c r="MKO11" s="114"/>
      <c r="MKP11" s="114"/>
      <c r="MKQ11" s="114"/>
      <c r="MKR11" s="114"/>
      <c r="MKS11" s="114"/>
      <c r="MKT11" s="114"/>
      <c r="MKU11" s="114"/>
      <c r="MKV11" s="114"/>
      <c r="MKW11" s="114"/>
      <c r="MKX11" s="114"/>
      <c r="MKY11" s="114"/>
      <c r="MKZ11" s="114"/>
      <c r="MLA11" s="114"/>
      <c r="MLB11" s="114"/>
      <c r="MLC11" s="114"/>
      <c r="MLD11" s="114"/>
      <c r="MLE11" s="114"/>
      <c r="MLF11" s="114"/>
      <c r="MLG11" s="114"/>
      <c r="MLH11" s="114"/>
      <c r="MLI11" s="114"/>
      <c r="MLJ11" s="114"/>
      <c r="MLK11" s="114"/>
      <c r="MLL11" s="114"/>
      <c r="MLM11" s="114"/>
      <c r="MLN11" s="114"/>
      <c r="MLO11" s="114"/>
      <c r="MLP11" s="114"/>
      <c r="MLQ11" s="114"/>
      <c r="MLR11" s="114"/>
      <c r="MLS11" s="114"/>
      <c r="MLT11" s="114"/>
      <c r="MLU11" s="114"/>
      <c r="MLV11" s="114"/>
      <c r="MLW11" s="114"/>
      <c r="MLX11" s="114"/>
      <c r="MLY11" s="114"/>
      <c r="MLZ11" s="114"/>
      <c r="MMA11" s="114"/>
      <c r="MMB11" s="114"/>
      <c r="MMC11" s="114"/>
      <c r="MMD11" s="114"/>
      <c r="MME11" s="114"/>
      <c r="MMF11" s="114"/>
      <c r="MMG11" s="114"/>
      <c r="MMH11" s="114"/>
      <c r="MMI11" s="114"/>
      <c r="MMJ11" s="114"/>
      <c r="MMK11" s="114"/>
      <c r="MML11" s="114"/>
      <c r="MMM11" s="114"/>
      <c r="MMN11" s="114"/>
      <c r="MMO11" s="114"/>
      <c r="MMP11" s="114"/>
      <c r="MMQ11" s="114"/>
      <c r="MMR11" s="114"/>
      <c r="MMS11" s="114"/>
      <c r="MMT11" s="114"/>
      <c r="MMU11" s="114"/>
      <c r="MMV11" s="114"/>
      <c r="MMW11" s="114"/>
      <c r="MMX11" s="114"/>
      <c r="MMY11" s="114"/>
      <c r="MMZ11" s="114"/>
      <c r="MNA11" s="114"/>
      <c r="MNB11" s="114"/>
      <c r="MNC11" s="114"/>
      <c r="MND11" s="114"/>
      <c r="MNE11" s="114"/>
      <c r="MNF11" s="114"/>
      <c r="MNG11" s="114"/>
      <c r="MNH11" s="114"/>
      <c r="MNI11" s="114"/>
      <c r="MNJ11" s="114"/>
      <c r="MNK11" s="114"/>
      <c r="MNL11" s="114"/>
      <c r="MNM11" s="114"/>
      <c r="MNN11" s="114"/>
      <c r="MNO11" s="114"/>
      <c r="MNP11" s="114"/>
      <c r="MNQ11" s="114"/>
      <c r="MNR11" s="114"/>
      <c r="MNS11" s="114"/>
      <c r="MNT11" s="114"/>
      <c r="MNU11" s="114"/>
      <c r="MNV11" s="114"/>
      <c r="MNW11" s="114"/>
      <c r="MNX11" s="114"/>
      <c r="MNY11" s="114"/>
      <c r="MNZ11" s="114"/>
      <c r="MOA11" s="114"/>
      <c r="MOB11" s="114"/>
      <c r="MOC11" s="114"/>
      <c r="MOD11" s="114"/>
      <c r="MOE11" s="114"/>
      <c r="MOF11" s="114"/>
      <c r="MOG11" s="114"/>
      <c r="MOH11" s="114"/>
      <c r="MOI11" s="114"/>
      <c r="MOJ11" s="114"/>
      <c r="MOK11" s="114"/>
      <c r="MOL11" s="114"/>
      <c r="MOM11" s="114"/>
      <c r="MON11" s="114"/>
      <c r="MOO11" s="114"/>
      <c r="MOP11" s="114"/>
      <c r="MOQ11" s="114"/>
      <c r="MOR11" s="114"/>
      <c r="MOS11" s="114"/>
      <c r="MOT11" s="114"/>
      <c r="MOU11" s="114"/>
      <c r="MOV11" s="114"/>
      <c r="MOW11" s="114"/>
      <c r="MOX11" s="114"/>
      <c r="MOY11" s="114"/>
      <c r="MOZ11" s="114"/>
      <c r="MPA11" s="114"/>
      <c r="MPB11" s="114"/>
      <c r="MPC11" s="114"/>
      <c r="MPD11" s="114"/>
      <c r="MPE11" s="114"/>
      <c r="MPF11" s="114"/>
      <c r="MPG11" s="114"/>
      <c r="MPH11" s="114"/>
      <c r="MPI11" s="114"/>
      <c r="MPJ11" s="114"/>
      <c r="MPK11" s="114"/>
      <c r="MPL11" s="114"/>
      <c r="MPM11" s="114"/>
      <c r="MPN11" s="114"/>
      <c r="MPO11" s="114"/>
      <c r="MPP11" s="114"/>
      <c r="MPQ11" s="114"/>
      <c r="MPR11" s="114"/>
      <c r="MPS11" s="114"/>
      <c r="MPT11" s="114"/>
      <c r="MPU11" s="114"/>
      <c r="MPV11" s="114"/>
      <c r="MPW11" s="114"/>
      <c r="MPX11" s="114"/>
      <c r="MPY11" s="114"/>
      <c r="MPZ11" s="114"/>
      <c r="MQA11" s="114"/>
      <c r="MQB11" s="114"/>
      <c r="MQC11" s="114"/>
      <c r="MQD11" s="114"/>
      <c r="MQE11" s="114"/>
      <c r="MQF11" s="114"/>
      <c r="MQG11" s="114"/>
      <c r="MQH11" s="114"/>
      <c r="MQI11" s="114"/>
      <c r="MQJ11" s="114"/>
      <c r="MQK11" s="114"/>
      <c r="MQL11" s="114"/>
      <c r="MQM11" s="114"/>
      <c r="MQN11" s="114"/>
      <c r="MQO11" s="114"/>
      <c r="MQP11" s="114"/>
      <c r="MQQ11" s="114"/>
      <c r="MQR11" s="114"/>
      <c r="MQS11" s="114"/>
      <c r="MQT11" s="114"/>
      <c r="MQU11" s="114"/>
      <c r="MQV11" s="114"/>
      <c r="MQW11" s="114"/>
      <c r="MQX11" s="114"/>
      <c r="MQY11" s="114"/>
      <c r="MQZ11" s="114"/>
      <c r="MRA11" s="114"/>
      <c r="MRB11" s="114"/>
      <c r="MRC11" s="114"/>
      <c r="MRD11" s="114"/>
      <c r="MRE11" s="114"/>
      <c r="MRF11" s="114"/>
      <c r="MRG11" s="114"/>
      <c r="MRH11" s="114"/>
      <c r="MRI11" s="114"/>
      <c r="MRJ11" s="114"/>
      <c r="MRK11" s="114"/>
      <c r="MRL11" s="114"/>
      <c r="MRM11" s="114"/>
      <c r="MRN11" s="114"/>
      <c r="MRO11" s="114"/>
      <c r="MRP11" s="114"/>
      <c r="MRQ11" s="114"/>
      <c r="MRR11" s="114"/>
      <c r="MRS11" s="114"/>
      <c r="MRT11" s="114"/>
      <c r="MRU11" s="114"/>
      <c r="MRV11" s="114"/>
      <c r="MRW11" s="114"/>
      <c r="MRX11" s="114"/>
      <c r="MRY11" s="114"/>
      <c r="MRZ11" s="114"/>
      <c r="MSA11" s="114"/>
      <c r="MSB11" s="114"/>
      <c r="MSC11" s="114"/>
      <c r="MSD11" s="114"/>
      <c r="MSE11" s="114"/>
      <c r="MSF11" s="114"/>
      <c r="MSG11" s="114"/>
      <c r="MSH11" s="114"/>
      <c r="MSI11" s="114"/>
      <c r="MSJ11" s="114"/>
      <c r="MSK11" s="114"/>
      <c r="MSL11" s="114"/>
      <c r="MSM11" s="114"/>
      <c r="MSN11" s="114"/>
      <c r="MSO11" s="114"/>
      <c r="MSP11" s="114"/>
      <c r="MSQ11" s="114"/>
      <c r="MSR11" s="114"/>
      <c r="MSS11" s="114"/>
      <c r="MST11" s="114"/>
      <c r="MSU11" s="114"/>
      <c r="MSV11" s="114"/>
      <c r="MSW11" s="114"/>
      <c r="MSX11" s="114"/>
      <c r="MSY11" s="114"/>
      <c r="MSZ11" s="114"/>
      <c r="MTA11" s="114"/>
      <c r="MTB11" s="114"/>
      <c r="MTC11" s="114"/>
      <c r="MTD11" s="114"/>
      <c r="MTE11" s="114"/>
      <c r="MTF11" s="114"/>
      <c r="MTG11" s="114"/>
      <c r="MTH11" s="114"/>
      <c r="MTI11" s="114"/>
      <c r="MTJ11" s="114"/>
      <c r="MTK11" s="114"/>
      <c r="MTL11" s="114"/>
      <c r="MTM11" s="114"/>
      <c r="MTN11" s="114"/>
      <c r="MTO11" s="114"/>
      <c r="MTP11" s="114"/>
      <c r="MTQ11" s="114"/>
      <c r="MTR11" s="114"/>
      <c r="MTS11" s="114"/>
      <c r="MTT11" s="114"/>
      <c r="MTU11" s="114"/>
      <c r="MTV11" s="114"/>
      <c r="MTW11" s="114"/>
      <c r="MTX11" s="114"/>
      <c r="MTY11" s="114"/>
      <c r="MTZ11" s="114"/>
      <c r="MUA11" s="114"/>
      <c r="MUB11" s="114"/>
      <c r="MUC11" s="114"/>
      <c r="MUD11" s="114"/>
      <c r="MUE11" s="114"/>
      <c r="MUF11" s="114"/>
      <c r="MUG11" s="114"/>
      <c r="MUH11" s="114"/>
      <c r="MUI11" s="114"/>
      <c r="MUJ11" s="114"/>
      <c r="MUK11" s="114"/>
      <c r="MUL11" s="114"/>
      <c r="MUM11" s="114"/>
      <c r="MUN11" s="114"/>
      <c r="MUO11" s="114"/>
      <c r="MUP11" s="114"/>
      <c r="MUQ11" s="114"/>
      <c r="MUR11" s="114"/>
      <c r="MUS11" s="114"/>
      <c r="MUT11" s="114"/>
      <c r="MUU11" s="114"/>
      <c r="MUV11" s="114"/>
      <c r="MUW11" s="114"/>
      <c r="MUX11" s="114"/>
      <c r="MUY11" s="114"/>
      <c r="MUZ11" s="114"/>
      <c r="MVA11" s="114"/>
      <c r="MVB11" s="114"/>
      <c r="MVC11" s="114"/>
      <c r="MVD11" s="114"/>
      <c r="MVE11" s="114"/>
      <c r="MVF11" s="114"/>
      <c r="MVG11" s="114"/>
      <c r="MVH11" s="114"/>
      <c r="MVI11" s="114"/>
      <c r="MVJ11" s="114"/>
      <c r="MVK11" s="114"/>
      <c r="MVL11" s="114"/>
      <c r="MVM11" s="114"/>
      <c r="MVN11" s="114"/>
      <c r="MVO11" s="114"/>
      <c r="MVP11" s="114"/>
      <c r="MVQ11" s="114"/>
      <c r="MVR11" s="114"/>
      <c r="MVS11" s="114"/>
      <c r="MVT11" s="114"/>
      <c r="MVU11" s="114"/>
      <c r="MVV11" s="114"/>
      <c r="MVW11" s="114"/>
      <c r="MVX11" s="114"/>
      <c r="MVY11" s="114"/>
      <c r="MVZ11" s="114"/>
      <c r="MWA11" s="114"/>
      <c r="MWB11" s="114"/>
      <c r="MWC11" s="114"/>
      <c r="MWD11" s="114"/>
      <c r="MWE11" s="114"/>
      <c r="MWF11" s="114"/>
      <c r="MWG11" s="114"/>
      <c r="MWH11" s="114"/>
      <c r="MWI11" s="114"/>
      <c r="MWJ11" s="114"/>
      <c r="MWK11" s="114"/>
      <c r="MWL11" s="114"/>
      <c r="MWM11" s="114"/>
      <c r="MWN11" s="114"/>
      <c r="MWO11" s="114"/>
      <c r="MWP11" s="114"/>
      <c r="MWQ11" s="114"/>
      <c r="MWR11" s="114"/>
      <c r="MWS11" s="114"/>
      <c r="MWT11" s="114"/>
      <c r="MWU11" s="114"/>
      <c r="MWV11" s="114"/>
      <c r="MWW11" s="114"/>
      <c r="MWX11" s="114"/>
      <c r="MWY11" s="114"/>
      <c r="MWZ11" s="114"/>
      <c r="MXA11" s="114"/>
      <c r="MXB11" s="114"/>
      <c r="MXC11" s="114"/>
      <c r="MXD11" s="114"/>
      <c r="MXE11" s="114"/>
      <c r="MXF11" s="114"/>
      <c r="MXG11" s="114"/>
      <c r="MXH11" s="114"/>
      <c r="MXI11" s="114"/>
      <c r="MXJ11" s="114"/>
      <c r="MXK11" s="114"/>
      <c r="MXL11" s="114"/>
      <c r="MXM11" s="114"/>
      <c r="MXN11" s="114"/>
      <c r="MXO11" s="114"/>
      <c r="MXP11" s="114"/>
      <c r="MXQ11" s="114"/>
      <c r="MXR11" s="114"/>
      <c r="MXS11" s="114"/>
      <c r="MXT11" s="114"/>
      <c r="MXU11" s="114"/>
      <c r="MXV11" s="114"/>
      <c r="MXW11" s="114"/>
      <c r="MXX11" s="114"/>
      <c r="MXY11" s="114"/>
      <c r="MXZ11" s="114"/>
      <c r="MYA11" s="114"/>
      <c r="MYB11" s="114"/>
      <c r="MYC11" s="114"/>
      <c r="MYD11" s="114"/>
      <c r="MYE11" s="114"/>
      <c r="MYF11" s="114"/>
      <c r="MYG11" s="114"/>
      <c r="MYH11" s="114"/>
      <c r="MYI11" s="114"/>
      <c r="MYJ11" s="114"/>
      <c r="MYK11" s="114"/>
      <c r="MYL11" s="114"/>
      <c r="MYM11" s="114"/>
      <c r="MYN11" s="114"/>
      <c r="MYO11" s="114"/>
      <c r="MYP11" s="114"/>
      <c r="MYQ11" s="114"/>
      <c r="MYR11" s="114"/>
      <c r="MYS11" s="114"/>
      <c r="MYT11" s="114"/>
      <c r="MYU11" s="114"/>
      <c r="MYV11" s="114"/>
      <c r="MYW11" s="114"/>
      <c r="MYX11" s="114"/>
      <c r="MYY11" s="114"/>
      <c r="MYZ11" s="114"/>
      <c r="MZA11" s="114"/>
      <c r="MZB11" s="114"/>
      <c r="MZC11" s="114"/>
      <c r="MZD11" s="114"/>
      <c r="MZE11" s="114"/>
      <c r="MZF11" s="114"/>
      <c r="MZG11" s="114"/>
      <c r="MZH11" s="114"/>
      <c r="MZI11" s="114"/>
      <c r="MZJ11" s="114"/>
      <c r="MZK11" s="114"/>
      <c r="MZL11" s="114"/>
      <c r="MZM11" s="114"/>
      <c r="MZN11" s="114"/>
      <c r="MZO11" s="114"/>
      <c r="MZP11" s="114"/>
      <c r="MZQ11" s="114"/>
      <c r="MZR11" s="114"/>
      <c r="MZS11" s="114"/>
      <c r="MZT11" s="114"/>
      <c r="MZU11" s="114"/>
      <c r="MZV11" s="114"/>
      <c r="MZW11" s="114"/>
      <c r="MZX11" s="114"/>
      <c r="MZY11" s="114"/>
      <c r="MZZ11" s="114"/>
      <c r="NAA11" s="114"/>
      <c r="NAB11" s="114"/>
      <c r="NAC11" s="114"/>
      <c r="NAD11" s="114"/>
      <c r="NAE11" s="114"/>
      <c r="NAF11" s="114"/>
      <c r="NAG11" s="114"/>
      <c r="NAH11" s="114"/>
      <c r="NAI11" s="114"/>
      <c r="NAJ11" s="114"/>
      <c r="NAK11" s="114"/>
      <c r="NAL11" s="114"/>
      <c r="NAM11" s="114"/>
      <c r="NAN11" s="114"/>
      <c r="NAO11" s="114"/>
      <c r="NAP11" s="114"/>
      <c r="NAQ11" s="114"/>
      <c r="NAR11" s="114"/>
      <c r="NAS11" s="114"/>
      <c r="NAT11" s="114"/>
      <c r="NAU11" s="114"/>
      <c r="NAV11" s="114"/>
      <c r="NAW11" s="114"/>
      <c r="NAX11" s="114"/>
      <c r="NAY11" s="114"/>
      <c r="NAZ11" s="114"/>
      <c r="NBA11" s="114"/>
      <c r="NBB11" s="114"/>
      <c r="NBC11" s="114"/>
      <c r="NBD11" s="114"/>
      <c r="NBE11" s="114"/>
      <c r="NBF11" s="114"/>
      <c r="NBG11" s="114"/>
      <c r="NBH11" s="114"/>
      <c r="NBI11" s="114"/>
      <c r="NBJ11" s="114"/>
      <c r="NBK11" s="114"/>
      <c r="NBL11" s="114"/>
      <c r="NBM11" s="114"/>
      <c r="NBN11" s="114"/>
      <c r="NBO11" s="114"/>
      <c r="NBP11" s="114"/>
      <c r="NBQ11" s="114"/>
      <c r="NBR11" s="114"/>
      <c r="NBS11" s="114"/>
      <c r="NBT11" s="114"/>
      <c r="NBU11" s="114"/>
      <c r="NBV11" s="114"/>
      <c r="NBW11" s="114"/>
      <c r="NBX11" s="114"/>
      <c r="NBY11" s="114"/>
      <c r="NBZ11" s="114"/>
      <c r="NCA11" s="114"/>
      <c r="NCB11" s="114"/>
      <c r="NCC11" s="114"/>
      <c r="NCD11" s="114"/>
      <c r="NCE11" s="114"/>
      <c r="NCF11" s="114"/>
      <c r="NCG11" s="114"/>
      <c r="NCH11" s="114"/>
      <c r="NCI11" s="114"/>
      <c r="NCJ11" s="114"/>
      <c r="NCK11" s="114"/>
      <c r="NCL11" s="114"/>
      <c r="NCM11" s="114"/>
      <c r="NCN11" s="114"/>
      <c r="NCO11" s="114"/>
      <c r="NCP11" s="114"/>
      <c r="NCQ11" s="114"/>
      <c r="NCR11" s="114"/>
      <c r="NCS11" s="114"/>
      <c r="NCT11" s="114"/>
      <c r="NCU11" s="114"/>
      <c r="NCV11" s="114"/>
      <c r="NCW11" s="114"/>
      <c r="NCX11" s="114"/>
      <c r="NCY11" s="114"/>
      <c r="NCZ11" s="114"/>
      <c r="NDA11" s="114"/>
      <c r="NDB11" s="114"/>
      <c r="NDC11" s="114"/>
      <c r="NDD11" s="114"/>
      <c r="NDE11" s="114"/>
      <c r="NDF11" s="114"/>
      <c r="NDG11" s="114"/>
      <c r="NDH11" s="114"/>
      <c r="NDI11" s="114"/>
      <c r="NDJ11" s="114"/>
      <c r="NDK11" s="114"/>
      <c r="NDL11" s="114"/>
      <c r="NDM11" s="114"/>
      <c r="NDN11" s="114"/>
      <c r="NDO11" s="114"/>
      <c r="NDP11" s="114"/>
      <c r="NDQ11" s="114"/>
      <c r="NDR11" s="114"/>
      <c r="NDS11" s="114"/>
      <c r="NDT11" s="114"/>
      <c r="NDU11" s="114"/>
      <c r="NDV11" s="114"/>
      <c r="NDW11" s="114"/>
      <c r="NDX11" s="114"/>
      <c r="NDY11" s="114"/>
      <c r="NDZ11" s="114"/>
      <c r="NEA11" s="114"/>
      <c r="NEB11" s="114"/>
      <c r="NEC11" s="114"/>
      <c r="NED11" s="114"/>
      <c r="NEE11" s="114"/>
      <c r="NEF11" s="114"/>
      <c r="NEG11" s="114"/>
      <c r="NEH11" s="114"/>
      <c r="NEI11" s="114"/>
      <c r="NEJ11" s="114"/>
      <c r="NEK11" s="114"/>
      <c r="NEL11" s="114"/>
      <c r="NEM11" s="114"/>
      <c r="NEN11" s="114"/>
      <c r="NEO11" s="114"/>
      <c r="NEP11" s="114"/>
      <c r="NEQ11" s="114"/>
      <c r="NER11" s="114"/>
      <c r="NES11" s="114"/>
      <c r="NET11" s="114"/>
      <c r="NEU11" s="114"/>
      <c r="NEV11" s="114"/>
      <c r="NEW11" s="114"/>
      <c r="NEX11" s="114"/>
      <c r="NEY11" s="114"/>
      <c r="NEZ11" s="114"/>
      <c r="NFA11" s="114"/>
      <c r="NFB11" s="114"/>
      <c r="NFC11" s="114"/>
      <c r="NFD11" s="114"/>
      <c r="NFE11" s="114"/>
      <c r="NFF11" s="114"/>
      <c r="NFG11" s="114"/>
      <c r="NFH11" s="114"/>
      <c r="NFI11" s="114"/>
      <c r="NFJ11" s="114"/>
      <c r="NFK11" s="114"/>
      <c r="NFL11" s="114"/>
      <c r="NFM11" s="114"/>
      <c r="NFN11" s="114"/>
      <c r="NFO11" s="114"/>
      <c r="NFP11" s="114"/>
      <c r="NFQ11" s="114"/>
      <c r="NFR11" s="114"/>
      <c r="NFS11" s="114"/>
      <c r="NFT11" s="114"/>
      <c r="NFU11" s="114"/>
      <c r="NFV11" s="114"/>
      <c r="NFW11" s="114"/>
      <c r="NFX11" s="114"/>
      <c r="NFY11" s="114"/>
      <c r="NFZ11" s="114"/>
      <c r="NGA11" s="114"/>
      <c r="NGB11" s="114"/>
      <c r="NGC11" s="114"/>
      <c r="NGD11" s="114"/>
      <c r="NGE11" s="114"/>
      <c r="NGF11" s="114"/>
      <c r="NGG11" s="114"/>
      <c r="NGH11" s="114"/>
      <c r="NGI11" s="114"/>
      <c r="NGJ11" s="114"/>
      <c r="NGK11" s="114"/>
      <c r="NGL11" s="114"/>
      <c r="NGM11" s="114"/>
      <c r="NGN11" s="114"/>
      <c r="NGO11" s="114"/>
      <c r="NGP11" s="114"/>
      <c r="NGQ11" s="114"/>
      <c r="NGR11" s="114"/>
      <c r="NGS11" s="114"/>
      <c r="NGT11" s="114"/>
      <c r="NGU11" s="114"/>
      <c r="NGV11" s="114"/>
      <c r="NGW11" s="114"/>
      <c r="NGX11" s="114"/>
      <c r="NGY11" s="114"/>
      <c r="NGZ11" s="114"/>
      <c r="NHA11" s="114"/>
      <c r="NHB11" s="114"/>
      <c r="NHC11" s="114"/>
      <c r="NHD11" s="114"/>
      <c r="NHE11" s="114"/>
      <c r="NHF11" s="114"/>
      <c r="NHG11" s="114"/>
      <c r="NHH11" s="114"/>
      <c r="NHI11" s="114"/>
      <c r="NHJ11" s="114"/>
      <c r="NHK11" s="114"/>
      <c r="NHL11" s="114"/>
      <c r="NHM11" s="114"/>
      <c r="NHN11" s="114"/>
      <c r="NHO11" s="114"/>
      <c r="NHP11" s="114"/>
      <c r="NHQ11" s="114"/>
      <c r="NHR11" s="114"/>
      <c r="NHS11" s="114"/>
      <c r="NHT11" s="114"/>
      <c r="NHU11" s="114"/>
      <c r="NHV11" s="114"/>
      <c r="NHW11" s="114"/>
      <c r="NHX11" s="114"/>
      <c r="NHY11" s="114"/>
      <c r="NHZ11" s="114"/>
      <c r="NIA11" s="114"/>
      <c r="NIB11" s="114"/>
      <c r="NIC11" s="114"/>
      <c r="NID11" s="114"/>
      <c r="NIE11" s="114"/>
      <c r="NIF11" s="114"/>
      <c r="NIG11" s="114"/>
      <c r="NIH11" s="114"/>
      <c r="NII11" s="114"/>
      <c r="NIJ11" s="114"/>
      <c r="NIK11" s="114"/>
      <c r="NIL11" s="114"/>
      <c r="NIM11" s="114"/>
      <c r="NIN11" s="114"/>
      <c r="NIO11" s="114"/>
      <c r="NIP11" s="114"/>
      <c r="NIQ11" s="114"/>
      <c r="NIR11" s="114"/>
      <c r="NIS11" s="114"/>
      <c r="NIT11" s="114"/>
      <c r="NIU11" s="114"/>
      <c r="NIV11" s="114"/>
      <c r="NIW11" s="114"/>
      <c r="NIX11" s="114"/>
      <c r="NIY11" s="114"/>
      <c r="NIZ11" s="114"/>
      <c r="NJA11" s="114"/>
      <c r="NJB11" s="114"/>
      <c r="NJC11" s="114"/>
      <c r="NJD11" s="114"/>
      <c r="NJE11" s="114"/>
      <c r="NJF11" s="114"/>
      <c r="NJG11" s="114"/>
      <c r="NJH11" s="114"/>
      <c r="NJI11" s="114"/>
      <c r="NJJ11" s="114"/>
      <c r="NJK11" s="114"/>
      <c r="NJL11" s="114"/>
      <c r="NJM11" s="114"/>
      <c r="NJN11" s="114"/>
      <c r="NJO11" s="114"/>
      <c r="NJP11" s="114"/>
      <c r="NJQ11" s="114"/>
      <c r="NJR11" s="114"/>
      <c r="NJS11" s="114"/>
      <c r="NJT11" s="114"/>
      <c r="NJU11" s="114"/>
      <c r="NJV11" s="114"/>
      <c r="NJW11" s="114"/>
      <c r="NJX11" s="114"/>
      <c r="NJY11" s="114"/>
      <c r="NJZ11" s="114"/>
      <c r="NKA11" s="114"/>
      <c r="NKB11" s="114"/>
      <c r="NKC11" s="114"/>
      <c r="NKD11" s="114"/>
      <c r="NKE11" s="114"/>
      <c r="NKF11" s="114"/>
      <c r="NKG11" s="114"/>
      <c r="NKH11" s="114"/>
      <c r="NKI11" s="114"/>
      <c r="NKJ11" s="114"/>
      <c r="NKK11" s="114"/>
      <c r="NKL11" s="114"/>
      <c r="NKM11" s="114"/>
      <c r="NKN11" s="114"/>
      <c r="NKO11" s="114"/>
      <c r="NKP11" s="114"/>
      <c r="NKQ11" s="114"/>
      <c r="NKR11" s="114"/>
      <c r="NKS11" s="114"/>
      <c r="NKT11" s="114"/>
      <c r="NKU11" s="114"/>
      <c r="NKV11" s="114"/>
      <c r="NKW11" s="114"/>
      <c r="NKX11" s="114"/>
      <c r="NKY11" s="114"/>
      <c r="NKZ11" s="114"/>
      <c r="NLA11" s="114"/>
      <c r="NLB11" s="114"/>
      <c r="NLC11" s="114"/>
      <c r="NLD11" s="114"/>
      <c r="NLE11" s="114"/>
      <c r="NLF11" s="114"/>
      <c r="NLG11" s="114"/>
      <c r="NLH11" s="114"/>
      <c r="NLI11" s="114"/>
      <c r="NLJ11" s="114"/>
      <c r="NLK11" s="114"/>
      <c r="NLL11" s="114"/>
      <c r="NLM11" s="114"/>
      <c r="NLN11" s="114"/>
      <c r="NLO11" s="114"/>
      <c r="NLP11" s="114"/>
      <c r="NLQ11" s="114"/>
      <c r="NLR11" s="114"/>
      <c r="NLS11" s="114"/>
      <c r="NLT11" s="114"/>
      <c r="NLU11" s="114"/>
      <c r="NLV11" s="114"/>
      <c r="NLW11" s="114"/>
      <c r="NLX11" s="114"/>
      <c r="NLY11" s="114"/>
      <c r="NLZ11" s="114"/>
      <c r="NMA11" s="114"/>
      <c r="NMB11" s="114"/>
      <c r="NMC11" s="114"/>
      <c r="NMD11" s="114"/>
      <c r="NME11" s="114"/>
      <c r="NMF11" s="114"/>
      <c r="NMG11" s="114"/>
      <c r="NMH11" s="114"/>
      <c r="NMI11" s="114"/>
      <c r="NMJ11" s="114"/>
      <c r="NMK11" s="114"/>
      <c r="NML11" s="114"/>
      <c r="NMM11" s="114"/>
      <c r="NMN11" s="114"/>
      <c r="NMO11" s="114"/>
      <c r="NMP11" s="114"/>
      <c r="NMQ11" s="114"/>
      <c r="NMR11" s="114"/>
      <c r="NMS11" s="114"/>
      <c r="NMT11" s="114"/>
      <c r="NMU11" s="114"/>
      <c r="NMV11" s="114"/>
      <c r="NMW11" s="114"/>
      <c r="NMX11" s="114"/>
      <c r="NMY11" s="114"/>
      <c r="NMZ11" s="114"/>
      <c r="NNA11" s="114"/>
      <c r="NNB11" s="114"/>
      <c r="NNC11" s="114"/>
      <c r="NND11" s="114"/>
      <c r="NNE11" s="114"/>
      <c r="NNF11" s="114"/>
      <c r="NNG11" s="114"/>
      <c r="NNH11" s="114"/>
      <c r="NNI11" s="114"/>
      <c r="NNJ11" s="114"/>
      <c r="NNK11" s="114"/>
      <c r="NNL11" s="114"/>
      <c r="NNM11" s="114"/>
      <c r="NNN11" s="114"/>
      <c r="NNO11" s="114"/>
      <c r="NNP11" s="114"/>
      <c r="NNQ11" s="114"/>
      <c r="NNR11" s="114"/>
      <c r="NNS11" s="114"/>
      <c r="NNT11" s="114"/>
      <c r="NNU11" s="114"/>
      <c r="NNV11" s="114"/>
      <c r="NNW11" s="114"/>
      <c r="NNX11" s="114"/>
      <c r="NNY11" s="114"/>
      <c r="NNZ11" s="114"/>
      <c r="NOA11" s="114"/>
      <c r="NOB11" s="114"/>
      <c r="NOC11" s="114"/>
      <c r="NOD11" s="114"/>
      <c r="NOE11" s="114"/>
      <c r="NOF11" s="114"/>
      <c r="NOG11" s="114"/>
      <c r="NOH11" s="114"/>
      <c r="NOI11" s="114"/>
      <c r="NOJ11" s="114"/>
      <c r="NOK11" s="114"/>
      <c r="NOL11" s="114"/>
      <c r="NOM11" s="114"/>
      <c r="NON11" s="114"/>
      <c r="NOO11" s="114"/>
      <c r="NOP11" s="114"/>
      <c r="NOQ11" s="114"/>
      <c r="NOR11" s="114"/>
      <c r="NOS11" s="114"/>
      <c r="NOT11" s="114"/>
      <c r="NOU11" s="114"/>
      <c r="NOV11" s="114"/>
      <c r="NOW11" s="114"/>
      <c r="NOX11" s="114"/>
      <c r="NOY11" s="114"/>
      <c r="NOZ11" s="114"/>
      <c r="NPA11" s="114"/>
      <c r="NPB11" s="114"/>
      <c r="NPC11" s="114"/>
      <c r="NPD11" s="114"/>
      <c r="NPE11" s="114"/>
      <c r="NPF11" s="114"/>
      <c r="NPG11" s="114"/>
      <c r="NPH11" s="114"/>
      <c r="NPI11" s="114"/>
      <c r="NPJ11" s="114"/>
      <c r="NPK11" s="114"/>
      <c r="NPL11" s="114"/>
      <c r="NPM11" s="114"/>
      <c r="NPN11" s="114"/>
      <c r="NPO11" s="114"/>
      <c r="NPP11" s="114"/>
      <c r="NPQ11" s="114"/>
      <c r="NPR11" s="114"/>
      <c r="NPS11" s="114"/>
      <c r="NPT11" s="114"/>
      <c r="NPU11" s="114"/>
      <c r="NPV11" s="114"/>
      <c r="NPW11" s="114"/>
      <c r="NPX11" s="114"/>
      <c r="NPY11" s="114"/>
      <c r="NPZ11" s="114"/>
      <c r="NQA11" s="114"/>
      <c r="NQB11" s="114"/>
      <c r="NQC11" s="114"/>
      <c r="NQD11" s="114"/>
      <c r="NQE11" s="114"/>
      <c r="NQF11" s="114"/>
      <c r="NQG11" s="114"/>
      <c r="NQH11" s="114"/>
      <c r="NQI11" s="114"/>
      <c r="NQJ11" s="114"/>
      <c r="NQK11" s="114"/>
      <c r="NQL11" s="114"/>
      <c r="NQM11" s="114"/>
      <c r="NQN11" s="114"/>
      <c r="NQO11" s="114"/>
      <c r="NQP11" s="114"/>
      <c r="NQQ11" s="114"/>
      <c r="NQR11" s="114"/>
      <c r="NQS11" s="114"/>
      <c r="NQT11" s="114"/>
      <c r="NQU11" s="114"/>
      <c r="NQV11" s="114"/>
      <c r="NQW11" s="114"/>
      <c r="NQX11" s="114"/>
      <c r="NQY11" s="114"/>
      <c r="NQZ11" s="114"/>
      <c r="NRA11" s="114"/>
      <c r="NRB11" s="114"/>
      <c r="NRC11" s="114"/>
      <c r="NRD11" s="114"/>
      <c r="NRE11" s="114"/>
      <c r="NRF11" s="114"/>
      <c r="NRG11" s="114"/>
      <c r="NRH11" s="114"/>
      <c r="NRI11" s="114"/>
      <c r="NRJ11" s="114"/>
      <c r="NRK11" s="114"/>
      <c r="NRL11" s="114"/>
      <c r="NRM11" s="114"/>
      <c r="NRN11" s="114"/>
      <c r="NRO11" s="114"/>
      <c r="NRP11" s="114"/>
      <c r="NRQ11" s="114"/>
      <c r="NRR11" s="114"/>
      <c r="NRS11" s="114"/>
      <c r="NRT11" s="114"/>
      <c r="NRU11" s="114"/>
      <c r="NRV11" s="114"/>
      <c r="NRW11" s="114"/>
      <c r="NRX11" s="114"/>
      <c r="NRY11" s="114"/>
      <c r="NRZ11" s="114"/>
      <c r="NSA11" s="114"/>
      <c r="NSB11" s="114"/>
      <c r="NSC11" s="114"/>
      <c r="NSD11" s="114"/>
      <c r="NSE11" s="114"/>
      <c r="NSF11" s="114"/>
      <c r="NSG11" s="114"/>
      <c r="NSH11" s="114"/>
      <c r="NSI11" s="114"/>
      <c r="NSJ11" s="114"/>
      <c r="NSK11" s="114"/>
      <c r="NSL11" s="114"/>
      <c r="NSM11" s="114"/>
      <c r="NSN11" s="114"/>
      <c r="NSO11" s="114"/>
      <c r="NSP11" s="114"/>
      <c r="NSQ11" s="114"/>
      <c r="NSR11" s="114"/>
      <c r="NSS11" s="114"/>
      <c r="NST11" s="114"/>
      <c r="NSU11" s="114"/>
      <c r="NSV11" s="114"/>
      <c r="NSW11" s="114"/>
      <c r="NSX11" s="114"/>
      <c r="NSY11" s="114"/>
      <c r="NSZ11" s="114"/>
      <c r="NTA11" s="114"/>
      <c r="NTB11" s="114"/>
      <c r="NTC11" s="114"/>
      <c r="NTD11" s="114"/>
      <c r="NTE11" s="114"/>
      <c r="NTF11" s="114"/>
      <c r="NTG11" s="114"/>
      <c r="NTH11" s="114"/>
      <c r="NTI11" s="114"/>
      <c r="NTJ11" s="114"/>
      <c r="NTK11" s="114"/>
      <c r="NTL11" s="114"/>
      <c r="NTM11" s="114"/>
      <c r="NTN11" s="114"/>
      <c r="NTO11" s="114"/>
      <c r="NTP11" s="114"/>
      <c r="NTQ11" s="114"/>
      <c r="NTR11" s="114"/>
      <c r="NTS11" s="114"/>
      <c r="NTT11" s="114"/>
      <c r="NTU11" s="114"/>
      <c r="NTV11" s="114"/>
      <c r="NTW11" s="114"/>
      <c r="NTX11" s="114"/>
      <c r="NTY11" s="114"/>
      <c r="NTZ11" s="114"/>
      <c r="NUA11" s="114"/>
      <c r="NUB11" s="114"/>
      <c r="NUC11" s="114"/>
      <c r="NUD11" s="114"/>
      <c r="NUE11" s="114"/>
      <c r="NUF11" s="114"/>
      <c r="NUG11" s="114"/>
      <c r="NUH11" s="114"/>
      <c r="NUI11" s="114"/>
      <c r="NUJ11" s="114"/>
      <c r="NUK11" s="114"/>
      <c r="NUL11" s="114"/>
      <c r="NUM11" s="114"/>
      <c r="NUN11" s="114"/>
      <c r="NUO11" s="114"/>
      <c r="NUP11" s="114"/>
      <c r="NUQ11" s="114"/>
      <c r="NUR11" s="114"/>
      <c r="NUS11" s="114"/>
      <c r="NUT11" s="114"/>
      <c r="NUU11" s="114"/>
      <c r="NUV11" s="114"/>
      <c r="NUW11" s="114"/>
      <c r="NUX11" s="114"/>
      <c r="NUY11" s="114"/>
      <c r="NUZ11" s="114"/>
      <c r="NVA11" s="114"/>
      <c r="NVB11" s="114"/>
      <c r="NVC11" s="114"/>
      <c r="NVD11" s="114"/>
      <c r="NVE11" s="114"/>
      <c r="NVF11" s="114"/>
      <c r="NVG11" s="114"/>
      <c r="NVH11" s="114"/>
      <c r="NVI11" s="114"/>
      <c r="NVJ11" s="114"/>
      <c r="NVK11" s="114"/>
      <c r="NVL11" s="114"/>
      <c r="NVM11" s="114"/>
      <c r="NVN11" s="114"/>
      <c r="NVO11" s="114"/>
      <c r="NVP11" s="114"/>
      <c r="NVQ11" s="114"/>
      <c r="NVR11" s="114"/>
      <c r="NVS11" s="114"/>
      <c r="NVT11" s="114"/>
      <c r="NVU11" s="114"/>
      <c r="NVV11" s="114"/>
      <c r="NVW11" s="114"/>
      <c r="NVX11" s="114"/>
      <c r="NVY11" s="114"/>
      <c r="NVZ11" s="114"/>
      <c r="NWA11" s="114"/>
      <c r="NWB11" s="114"/>
      <c r="NWC11" s="114"/>
      <c r="NWD11" s="114"/>
      <c r="NWE11" s="114"/>
      <c r="NWF11" s="114"/>
      <c r="NWG11" s="114"/>
      <c r="NWH11" s="114"/>
      <c r="NWI11" s="114"/>
      <c r="NWJ11" s="114"/>
      <c r="NWK11" s="114"/>
      <c r="NWL11" s="114"/>
      <c r="NWM11" s="114"/>
      <c r="NWN11" s="114"/>
      <c r="NWO11" s="114"/>
      <c r="NWP11" s="114"/>
      <c r="NWQ11" s="114"/>
      <c r="NWR11" s="114"/>
      <c r="NWS11" s="114"/>
      <c r="NWT11" s="114"/>
      <c r="NWU11" s="114"/>
      <c r="NWV11" s="114"/>
      <c r="NWW11" s="114"/>
      <c r="NWX11" s="114"/>
      <c r="NWY11" s="114"/>
      <c r="NWZ11" s="114"/>
      <c r="NXA11" s="114"/>
      <c r="NXB11" s="114"/>
      <c r="NXC11" s="114"/>
      <c r="NXD11" s="114"/>
      <c r="NXE11" s="114"/>
      <c r="NXF11" s="114"/>
      <c r="NXG11" s="114"/>
      <c r="NXH11" s="114"/>
      <c r="NXI11" s="114"/>
      <c r="NXJ11" s="114"/>
      <c r="NXK11" s="114"/>
      <c r="NXL11" s="114"/>
      <c r="NXM11" s="114"/>
      <c r="NXN11" s="114"/>
      <c r="NXO11" s="114"/>
      <c r="NXP11" s="114"/>
      <c r="NXQ11" s="114"/>
      <c r="NXR11" s="114"/>
      <c r="NXS11" s="114"/>
      <c r="NXT11" s="114"/>
      <c r="NXU11" s="114"/>
      <c r="NXV11" s="114"/>
      <c r="NXW11" s="114"/>
      <c r="NXX11" s="114"/>
      <c r="NXY11" s="114"/>
      <c r="NXZ11" s="114"/>
      <c r="NYA11" s="114"/>
      <c r="NYB11" s="114"/>
      <c r="NYC11" s="114"/>
      <c r="NYD11" s="114"/>
      <c r="NYE11" s="114"/>
      <c r="NYF11" s="114"/>
      <c r="NYG11" s="114"/>
      <c r="NYH11" s="114"/>
      <c r="NYI11" s="114"/>
      <c r="NYJ11" s="114"/>
      <c r="NYK11" s="114"/>
      <c r="NYL11" s="114"/>
      <c r="NYM11" s="114"/>
      <c r="NYN11" s="114"/>
      <c r="NYO11" s="114"/>
      <c r="NYP11" s="114"/>
      <c r="NYQ11" s="114"/>
      <c r="NYR11" s="114"/>
      <c r="NYS11" s="114"/>
      <c r="NYT11" s="114"/>
      <c r="NYU11" s="114"/>
      <c r="NYV11" s="114"/>
      <c r="NYW11" s="114"/>
      <c r="NYX11" s="114"/>
      <c r="NYY11" s="114"/>
      <c r="NYZ11" s="114"/>
      <c r="NZA11" s="114"/>
      <c r="NZB11" s="114"/>
      <c r="NZC11" s="114"/>
      <c r="NZD11" s="114"/>
      <c r="NZE11" s="114"/>
      <c r="NZF11" s="114"/>
      <c r="NZG11" s="114"/>
      <c r="NZH11" s="114"/>
      <c r="NZI11" s="114"/>
      <c r="NZJ11" s="114"/>
      <c r="NZK11" s="114"/>
      <c r="NZL11" s="114"/>
      <c r="NZM11" s="114"/>
      <c r="NZN11" s="114"/>
      <c r="NZO11" s="114"/>
      <c r="NZP11" s="114"/>
      <c r="NZQ11" s="114"/>
      <c r="NZR11" s="114"/>
      <c r="NZS11" s="114"/>
      <c r="NZT11" s="114"/>
      <c r="NZU11" s="114"/>
      <c r="NZV11" s="114"/>
      <c r="NZW11" s="114"/>
      <c r="NZX11" s="114"/>
      <c r="NZY11" s="114"/>
      <c r="NZZ11" s="114"/>
      <c r="OAA11" s="114"/>
      <c r="OAB11" s="114"/>
      <c r="OAC11" s="114"/>
      <c r="OAD11" s="114"/>
      <c r="OAE11" s="114"/>
      <c r="OAF11" s="114"/>
      <c r="OAG11" s="114"/>
      <c r="OAH11" s="114"/>
      <c r="OAI11" s="114"/>
      <c r="OAJ11" s="114"/>
      <c r="OAK11" s="114"/>
      <c r="OAL11" s="114"/>
      <c r="OAM11" s="114"/>
      <c r="OAN11" s="114"/>
      <c r="OAO11" s="114"/>
      <c r="OAP11" s="114"/>
      <c r="OAQ11" s="114"/>
      <c r="OAR11" s="114"/>
      <c r="OAS11" s="114"/>
      <c r="OAT11" s="114"/>
      <c r="OAU11" s="114"/>
      <c r="OAV11" s="114"/>
      <c r="OAW11" s="114"/>
      <c r="OAX11" s="114"/>
      <c r="OAY11" s="114"/>
      <c r="OAZ11" s="114"/>
      <c r="OBA11" s="114"/>
      <c r="OBB11" s="114"/>
      <c r="OBC11" s="114"/>
      <c r="OBD11" s="114"/>
      <c r="OBE11" s="114"/>
      <c r="OBF11" s="114"/>
      <c r="OBG11" s="114"/>
      <c r="OBH11" s="114"/>
      <c r="OBI11" s="114"/>
      <c r="OBJ11" s="114"/>
      <c r="OBK11" s="114"/>
      <c r="OBL11" s="114"/>
      <c r="OBM11" s="114"/>
      <c r="OBN11" s="114"/>
      <c r="OBO11" s="114"/>
      <c r="OBP11" s="114"/>
      <c r="OBQ11" s="114"/>
      <c r="OBR11" s="114"/>
      <c r="OBS11" s="114"/>
      <c r="OBT11" s="114"/>
      <c r="OBU11" s="114"/>
      <c r="OBV11" s="114"/>
      <c r="OBW11" s="114"/>
      <c r="OBX11" s="114"/>
      <c r="OBY11" s="114"/>
      <c r="OBZ11" s="114"/>
      <c r="OCA11" s="114"/>
      <c r="OCB11" s="114"/>
      <c r="OCC11" s="114"/>
      <c r="OCD11" s="114"/>
      <c r="OCE11" s="114"/>
      <c r="OCF11" s="114"/>
      <c r="OCG11" s="114"/>
      <c r="OCH11" s="114"/>
      <c r="OCI11" s="114"/>
      <c r="OCJ11" s="114"/>
      <c r="OCK11" s="114"/>
      <c r="OCL11" s="114"/>
      <c r="OCM11" s="114"/>
      <c r="OCN11" s="114"/>
      <c r="OCO11" s="114"/>
      <c r="OCP11" s="114"/>
      <c r="OCQ11" s="114"/>
      <c r="OCR11" s="114"/>
      <c r="OCS11" s="114"/>
      <c r="OCT11" s="114"/>
      <c r="OCU11" s="114"/>
      <c r="OCV11" s="114"/>
      <c r="OCW11" s="114"/>
      <c r="OCX11" s="114"/>
      <c r="OCY11" s="114"/>
      <c r="OCZ11" s="114"/>
      <c r="ODA11" s="114"/>
      <c r="ODB11" s="114"/>
      <c r="ODC11" s="114"/>
      <c r="ODD11" s="114"/>
      <c r="ODE11" s="114"/>
      <c r="ODF11" s="114"/>
      <c r="ODG11" s="114"/>
      <c r="ODH11" s="114"/>
      <c r="ODI11" s="114"/>
      <c r="ODJ11" s="114"/>
      <c r="ODK11" s="114"/>
      <c r="ODL11" s="114"/>
      <c r="ODM11" s="114"/>
      <c r="ODN11" s="114"/>
      <c r="ODO11" s="114"/>
      <c r="ODP11" s="114"/>
      <c r="ODQ11" s="114"/>
      <c r="ODR11" s="114"/>
      <c r="ODS11" s="114"/>
      <c r="ODT11" s="114"/>
      <c r="ODU11" s="114"/>
      <c r="ODV11" s="114"/>
      <c r="ODW11" s="114"/>
      <c r="ODX11" s="114"/>
      <c r="ODY11" s="114"/>
      <c r="ODZ11" s="114"/>
      <c r="OEA11" s="114"/>
      <c r="OEB11" s="114"/>
      <c r="OEC11" s="114"/>
      <c r="OED11" s="114"/>
      <c r="OEE11" s="114"/>
      <c r="OEF11" s="114"/>
      <c r="OEG11" s="114"/>
      <c r="OEH11" s="114"/>
      <c r="OEI11" s="114"/>
      <c r="OEJ11" s="114"/>
      <c r="OEK11" s="114"/>
      <c r="OEL11" s="114"/>
      <c r="OEM11" s="114"/>
      <c r="OEN11" s="114"/>
      <c r="OEO11" s="114"/>
      <c r="OEP11" s="114"/>
      <c r="OEQ11" s="114"/>
      <c r="OER11" s="114"/>
      <c r="OES11" s="114"/>
      <c r="OET11" s="114"/>
      <c r="OEU11" s="114"/>
      <c r="OEV11" s="114"/>
      <c r="OEW11" s="114"/>
      <c r="OEX11" s="114"/>
      <c r="OEY11" s="114"/>
      <c r="OEZ11" s="114"/>
      <c r="OFA11" s="114"/>
      <c r="OFB11" s="114"/>
      <c r="OFC11" s="114"/>
      <c r="OFD11" s="114"/>
      <c r="OFE11" s="114"/>
      <c r="OFF11" s="114"/>
      <c r="OFG11" s="114"/>
      <c r="OFH11" s="114"/>
      <c r="OFI11" s="114"/>
      <c r="OFJ11" s="114"/>
      <c r="OFK11" s="114"/>
      <c r="OFL11" s="114"/>
      <c r="OFM11" s="114"/>
      <c r="OFN11" s="114"/>
      <c r="OFO11" s="114"/>
      <c r="OFP11" s="114"/>
      <c r="OFQ11" s="114"/>
      <c r="OFR11" s="114"/>
      <c r="OFS11" s="114"/>
      <c r="OFT11" s="114"/>
      <c r="OFU11" s="114"/>
      <c r="OFV11" s="114"/>
      <c r="OFW11" s="114"/>
      <c r="OFX11" s="114"/>
      <c r="OFY11" s="114"/>
      <c r="OFZ11" s="114"/>
      <c r="OGA11" s="114"/>
      <c r="OGB11" s="114"/>
      <c r="OGC11" s="114"/>
      <c r="OGD11" s="114"/>
      <c r="OGE11" s="114"/>
      <c r="OGF11" s="114"/>
      <c r="OGG11" s="114"/>
      <c r="OGH11" s="114"/>
      <c r="OGI11" s="114"/>
      <c r="OGJ11" s="114"/>
      <c r="OGK11" s="114"/>
      <c r="OGL11" s="114"/>
      <c r="OGM11" s="114"/>
      <c r="OGN11" s="114"/>
      <c r="OGO11" s="114"/>
      <c r="OGP11" s="114"/>
      <c r="OGQ11" s="114"/>
      <c r="OGR11" s="114"/>
      <c r="OGS11" s="114"/>
      <c r="OGT11" s="114"/>
      <c r="OGU11" s="114"/>
      <c r="OGV11" s="114"/>
      <c r="OGW11" s="114"/>
      <c r="OGX11" s="114"/>
      <c r="OGY11" s="114"/>
      <c r="OGZ11" s="114"/>
      <c r="OHA11" s="114"/>
      <c r="OHB11" s="114"/>
      <c r="OHC11" s="114"/>
      <c r="OHD11" s="114"/>
      <c r="OHE11" s="114"/>
      <c r="OHF11" s="114"/>
      <c r="OHG11" s="114"/>
      <c r="OHH11" s="114"/>
      <c r="OHI11" s="114"/>
      <c r="OHJ11" s="114"/>
      <c r="OHK11" s="114"/>
      <c r="OHL11" s="114"/>
      <c r="OHM11" s="114"/>
      <c r="OHN11" s="114"/>
      <c r="OHO11" s="114"/>
      <c r="OHP11" s="114"/>
      <c r="OHQ11" s="114"/>
      <c r="OHR11" s="114"/>
      <c r="OHS11" s="114"/>
      <c r="OHT11" s="114"/>
      <c r="OHU11" s="114"/>
      <c r="OHV11" s="114"/>
      <c r="OHW11" s="114"/>
      <c r="OHX11" s="114"/>
      <c r="OHY11" s="114"/>
      <c r="OHZ11" s="114"/>
      <c r="OIA11" s="114"/>
      <c r="OIB11" s="114"/>
      <c r="OIC11" s="114"/>
      <c r="OID11" s="114"/>
      <c r="OIE11" s="114"/>
      <c r="OIF11" s="114"/>
      <c r="OIG11" s="114"/>
      <c r="OIH11" s="114"/>
      <c r="OII11" s="114"/>
      <c r="OIJ11" s="114"/>
      <c r="OIK11" s="114"/>
      <c r="OIL11" s="114"/>
      <c r="OIM11" s="114"/>
      <c r="OIN11" s="114"/>
      <c r="OIO11" s="114"/>
      <c r="OIP11" s="114"/>
      <c r="OIQ11" s="114"/>
      <c r="OIR11" s="114"/>
      <c r="OIS11" s="114"/>
      <c r="OIT11" s="114"/>
      <c r="OIU11" s="114"/>
      <c r="OIV11" s="114"/>
      <c r="OIW11" s="114"/>
      <c r="OIX11" s="114"/>
      <c r="OIY11" s="114"/>
      <c r="OIZ11" s="114"/>
      <c r="OJA11" s="114"/>
      <c r="OJB11" s="114"/>
      <c r="OJC11" s="114"/>
      <c r="OJD11" s="114"/>
      <c r="OJE11" s="114"/>
      <c r="OJF11" s="114"/>
      <c r="OJG11" s="114"/>
      <c r="OJH11" s="114"/>
      <c r="OJI11" s="114"/>
      <c r="OJJ11" s="114"/>
      <c r="OJK11" s="114"/>
      <c r="OJL11" s="114"/>
      <c r="OJM11" s="114"/>
      <c r="OJN11" s="114"/>
      <c r="OJO11" s="114"/>
      <c r="OJP11" s="114"/>
      <c r="OJQ11" s="114"/>
      <c r="OJR11" s="114"/>
      <c r="OJS11" s="114"/>
      <c r="OJT11" s="114"/>
      <c r="OJU11" s="114"/>
      <c r="OJV11" s="114"/>
      <c r="OJW11" s="114"/>
      <c r="OJX11" s="114"/>
      <c r="OJY11" s="114"/>
      <c r="OJZ11" s="114"/>
      <c r="OKA11" s="114"/>
      <c r="OKB11" s="114"/>
      <c r="OKC11" s="114"/>
      <c r="OKD11" s="114"/>
      <c r="OKE11" s="114"/>
      <c r="OKF11" s="114"/>
      <c r="OKG11" s="114"/>
      <c r="OKH11" s="114"/>
      <c r="OKI11" s="114"/>
      <c r="OKJ11" s="114"/>
      <c r="OKK11" s="114"/>
      <c r="OKL11" s="114"/>
      <c r="OKM11" s="114"/>
      <c r="OKN11" s="114"/>
      <c r="OKO11" s="114"/>
      <c r="OKP11" s="114"/>
      <c r="OKQ11" s="114"/>
      <c r="OKR11" s="114"/>
      <c r="OKS11" s="114"/>
      <c r="OKT11" s="114"/>
      <c r="OKU11" s="114"/>
      <c r="OKV11" s="114"/>
      <c r="OKW11" s="114"/>
      <c r="OKX11" s="114"/>
      <c r="OKY11" s="114"/>
      <c r="OKZ11" s="114"/>
      <c r="OLA11" s="114"/>
      <c r="OLB11" s="114"/>
      <c r="OLC11" s="114"/>
      <c r="OLD11" s="114"/>
      <c r="OLE11" s="114"/>
      <c r="OLF11" s="114"/>
      <c r="OLG11" s="114"/>
      <c r="OLH11" s="114"/>
      <c r="OLI11" s="114"/>
      <c r="OLJ11" s="114"/>
      <c r="OLK11" s="114"/>
      <c r="OLL11" s="114"/>
      <c r="OLM11" s="114"/>
      <c r="OLN11" s="114"/>
      <c r="OLO11" s="114"/>
      <c r="OLP11" s="114"/>
      <c r="OLQ11" s="114"/>
      <c r="OLR11" s="114"/>
      <c r="OLS11" s="114"/>
      <c r="OLT11" s="114"/>
      <c r="OLU11" s="114"/>
      <c r="OLV11" s="114"/>
      <c r="OLW11" s="114"/>
      <c r="OLX11" s="114"/>
      <c r="OLY11" s="114"/>
      <c r="OLZ11" s="114"/>
      <c r="OMA11" s="114"/>
      <c r="OMB11" s="114"/>
      <c r="OMC11" s="114"/>
      <c r="OMD11" s="114"/>
      <c r="OME11" s="114"/>
      <c r="OMF11" s="114"/>
      <c r="OMG11" s="114"/>
      <c r="OMH11" s="114"/>
      <c r="OMI11" s="114"/>
      <c r="OMJ11" s="114"/>
      <c r="OMK11" s="114"/>
      <c r="OML11" s="114"/>
      <c r="OMM11" s="114"/>
      <c r="OMN11" s="114"/>
      <c r="OMO11" s="114"/>
      <c r="OMP11" s="114"/>
      <c r="OMQ11" s="114"/>
      <c r="OMR11" s="114"/>
      <c r="OMS11" s="114"/>
      <c r="OMT11" s="114"/>
      <c r="OMU11" s="114"/>
      <c r="OMV11" s="114"/>
      <c r="OMW11" s="114"/>
      <c r="OMX11" s="114"/>
      <c r="OMY11" s="114"/>
      <c r="OMZ11" s="114"/>
      <c r="ONA11" s="114"/>
      <c r="ONB11" s="114"/>
      <c r="ONC11" s="114"/>
      <c r="OND11" s="114"/>
      <c r="ONE11" s="114"/>
      <c r="ONF11" s="114"/>
      <c r="ONG11" s="114"/>
      <c r="ONH11" s="114"/>
      <c r="ONI11" s="114"/>
      <c r="ONJ11" s="114"/>
      <c r="ONK11" s="114"/>
      <c r="ONL11" s="114"/>
      <c r="ONM11" s="114"/>
      <c r="ONN11" s="114"/>
      <c r="ONO11" s="114"/>
      <c r="ONP11" s="114"/>
      <c r="ONQ11" s="114"/>
      <c r="ONR11" s="114"/>
      <c r="ONS11" s="114"/>
      <c r="ONT11" s="114"/>
      <c r="ONU11" s="114"/>
      <c r="ONV11" s="114"/>
      <c r="ONW11" s="114"/>
      <c r="ONX11" s="114"/>
      <c r="ONY11" s="114"/>
      <c r="ONZ11" s="114"/>
      <c r="OOA11" s="114"/>
      <c r="OOB11" s="114"/>
      <c r="OOC11" s="114"/>
      <c r="OOD11" s="114"/>
      <c r="OOE11" s="114"/>
      <c r="OOF11" s="114"/>
      <c r="OOG11" s="114"/>
      <c r="OOH11" s="114"/>
      <c r="OOI11" s="114"/>
      <c r="OOJ11" s="114"/>
      <c r="OOK11" s="114"/>
      <c r="OOL11" s="114"/>
      <c r="OOM11" s="114"/>
      <c r="OON11" s="114"/>
      <c r="OOO11" s="114"/>
      <c r="OOP11" s="114"/>
      <c r="OOQ11" s="114"/>
      <c r="OOR11" s="114"/>
      <c r="OOS11" s="114"/>
      <c r="OOT11" s="114"/>
      <c r="OOU11" s="114"/>
      <c r="OOV11" s="114"/>
      <c r="OOW11" s="114"/>
      <c r="OOX11" s="114"/>
      <c r="OOY11" s="114"/>
      <c r="OOZ11" s="114"/>
      <c r="OPA11" s="114"/>
      <c r="OPB11" s="114"/>
      <c r="OPC11" s="114"/>
      <c r="OPD11" s="114"/>
      <c r="OPE11" s="114"/>
      <c r="OPF11" s="114"/>
      <c r="OPG11" s="114"/>
      <c r="OPH11" s="114"/>
      <c r="OPI11" s="114"/>
      <c r="OPJ11" s="114"/>
      <c r="OPK11" s="114"/>
      <c r="OPL11" s="114"/>
      <c r="OPM11" s="114"/>
      <c r="OPN11" s="114"/>
      <c r="OPO11" s="114"/>
      <c r="OPP11" s="114"/>
      <c r="OPQ11" s="114"/>
      <c r="OPR11" s="114"/>
      <c r="OPS11" s="114"/>
      <c r="OPT11" s="114"/>
      <c r="OPU11" s="114"/>
      <c r="OPV11" s="114"/>
      <c r="OPW11" s="114"/>
      <c r="OPX11" s="114"/>
      <c r="OPY11" s="114"/>
      <c r="OPZ11" s="114"/>
      <c r="OQA11" s="114"/>
      <c r="OQB11" s="114"/>
      <c r="OQC11" s="114"/>
      <c r="OQD11" s="114"/>
      <c r="OQE11" s="114"/>
      <c r="OQF11" s="114"/>
      <c r="OQG11" s="114"/>
      <c r="OQH11" s="114"/>
      <c r="OQI11" s="114"/>
      <c r="OQJ11" s="114"/>
      <c r="OQK11" s="114"/>
      <c r="OQL11" s="114"/>
      <c r="OQM11" s="114"/>
      <c r="OQN11" s="114"/>
      <c r="OQO11" s="114"/>
      <c r="OQP11" s="114"/>
      <c r="OQQ11" s="114"/>
      <c r="OQR11" s="114"/>
      <c r="OQS11" s="114"/>
      <c r="OQT11" s="114"/>
      <c r="OQU11" s="114"/>
      <c r="OQV11" s="114"/>
      <c r="OQW11" s="114"/>
      <c r="OQX11" s="114"/>
      <c r="OQY11" s="114"/>
      <c r="OQZ11" s="114"/>
      <c r="ORA11" s="114"/>
      <c r="ORB11" s="114"/>
      <c r="ORC11" s="114"/>
      <c r="ORD11" s="114"/>
      <c r="ORE11" s="114"/>
      <c r="ORF11" s="114"/>
      <c r="ORG11" s="114"/>
      <c r="ORH11" s="114"/>
      <c r="ORI11" s="114"/>
      <c r="ORJ11" s="114"/>
      <c r="ORK11" s="114"/>
      <c r="ORL11" s="114"/>
      <c r="ORM11" s="114"/>
      <c r="ORN11" s="114"/>
      <c r="ORO11" s="114"/>
      <c r="ORP11" s="114"/>
      <c r="ORQ11" s="114"/>
      <c r="ORR11" s="114"/>
      <c r="ORS11" s="114"/>
      <c r="ORT11" s="114"/>
      <c r="ORU11" s="114"/>
      <c r="ORV11" s="114"/>
      <c r="ORW11" s="114"/>
      <c r="ORX11" s="114"/>
      <c r="ORY11" s="114"/>
      <c r="ORZ11" s="114"/>
      <c r="OSA11" s="114"/>
      <c r="OSB11" s="114"/>
      <c r="OSC11" s="114"/>
      <c r="OSD11" s="114"/>
      <c r="OSE11" s="114"/>
      <c r="OSF11" s="114"/>
      <c r="OSG11" s="114"/>
      <c r="OSH11" s="114"/>
      <c r="OSI11" s="114"/>
      <c r="OSJ11" s="114"/>
      <c r="OSK11" s="114"/>
      <c r="OSL11" s="114"/>
      <c r="OSM11" s="114"/>
      <c r="OSN11" s="114"/>
      <c r="OSO11" s="114"/>
      <c r="OSP11" s="114"/>
      <c r="OSQ11" s="114"/>
      <c r="OSR11" s="114"/>
      <c r="OSS11" s="114"/>
      <c r="OST11" s="114"/>
      <c r="OSU11" s="114"/>
      <c r="OSV11" s="114"/>
      <c r="OSW11" s="114"/>
      <c r="OSX11" s="114"/>
      <c r="OSY11" s="114"/>
      <c r="OSZ11" s="114"/>
      <c r="OTA11" s="114"/>
      <c r="OTB11" s="114"/>
      <c r="OTC11" s="114"/>
      <c r="OTD11" s="114"/>
      <c r="OTE11" s="114"/>
      <c r="OTF11" s="114"/>
      <c r="OTG11" s="114"/>
      <c r="OTH11" s="114"/>
      <c r="OTI11" s="114"/>
      <c r="OTJ11" s="114"/>
      <c r="OTK11" s="114"/>
      <c r="OTL11" s="114"/>
      <c r="OTM11" s="114"/>
      <c r="OTN11" s="114"/>
      <c r="OTO11" s="114"/>
      <c r="OTP11" s="114"/>
      <c r="OTQ11" s="114"/>
      <c r="OTR11" s="114"/>
      <c r="OTS11" s="114"/>
      <c r="OTT11" s="114"/>
      <c r="OTU11" s="114"/>
      <c r="OTV11" s="114"/>
      <c r="OTW11" s="114"/>
      <c r="OTX11" s="114"/>
      <c r="OTY11" s="114"/>
      <c r="OTZ11" s="114"/>
      <c r="OUA11" s="114"/>
      <c r="OUB11" s="114"/>
      <c r="OUC11" s="114"/>
      <c r="OUD11" s="114"/>
      <c r="OUE11" s="114"/>
      <c r="OUF11" s="114"/>
      <c r="OUG11" s="114"/>
      <c r="OUH11" s="114"/>
      <c r="OUI11" s="114"/>
      <c r="OUJ11" s="114"/>
      <c r="OUK11" s="114"/>
      <c r="OUL11" s="114"/>
      <c r="OUM11" s="114"/>
      <c r="OUN11" s="114"/>
      <c r="OUO11" s="114"/>
      <c r="OUP11" s="114"/>
      <c r="OUQ11" s="114"/>
      <c r="OUR11" s="114"/>
      <c r="OUS11" s="114"/>
      <c r="OUT11" s="114"/>
      <c r="OUU11" s="114"/>
      <c r="OUV11" s="114"/>
      <c r="OUW11" s="114"/>
      <c r="OUX11" s="114"/>
      <c r="OUY11" s="114"/>
      <c r="OUZ11" s="114"/>
      <c r="OVA11" s="114"/>
      <c r="OVB11" s="114"/>
      <c r="OVC11" s="114"/>
      <c r="OVD11" s="114"/>
      <c r="OVE11" s="114"/>
      <c r="OVF11" s="114"/>
      <c r="OVG11" s="114"/>
      <c r="OVH11" s="114"/>
      <c r="OVI11" s="114"/>
      <c r="OVJ11" s="114"/>
      <c r="OVK11" s="114"/>
      <c r="OVL11" s="114"/>
      <c r="OVM11" s="114"/>
      <c r="OVN11" s="114"/>
      <c r="OVO11" s="114"/>
      <c r="OVP11" s="114"/>
      <c r="OVQ11" s="114"/>
      <c r="OVR11" s="114"/>
      <c r="OVS11" s="114"/>
      <c r="OVT11" s="114"/>
      <c r="OVU11" s="114"/>
      <c r="OVV11" s="114"/>
      <c r="OVW11" s="114"/>
      <c r="OVX11" s="114"/>
      <c r="OVY11" s="114"/>
      <c r="OVZ11" s="114"/>
      <c r="OWA11" s="114"/>
      <c r="OWB11" s="114"/>
      <c r="OWC11" s="114"/>
      <c r="OWD11" s="114"/>
      <c r="OWE11" s="114"/>
      <c r="OWF11" s="114"/>
      <c r="OWG11" s="114"/>
      <c r="OWH11" s="114"/>
      <c r="OWI11" s="114"/>
      <c r="OWJ11" s="114"/>
      <c r="OWK11" s="114"/>
      <c r="OWL11" s="114"/>
      <c r="OWM11" s="114"/>
      <c r="OWN11" s="114"/>
      <c r="OWO11" s="114"/>
      <c r="OWP11" s="114"/>
      <c r="OWQ11" s="114"/>
      <c r="OWR11" s="114"/>
      <c r="OWS11" s="114"/>
      <c r="OWT11" s="114"/>
      <c r="OWU11" s="114"/>
      <c r="OWV11" s="114"/>
      <c r="OWW11" s="114"/>
      <c r="OWX11" s="114"/>
      <c r="OWY11" s="114"/>
      <c r="OWZ11" s="114"/>
      <c r="OXA11" s="114"/>
      <c r="OXB11" s="114"/>
      <c r="OXC11" s="114"/>
      <c r="OXD11" s="114"/>
      <c r="OXE11" s="114"/>
      <c r="OXF11" s="114"/>
      <c r="OXG11" s="114"/>
      <c r="OXH11" s="114"/>
      <c r="OXI11" s="114"/>
      <c r="OXJ11" s="114"/>
      <c r="OXK11" s="114"/>
      <c r="OXL11" s="114"/>
      <c r="OXM11" s="114"/>
      <c r="OXN11" s="114"/>
      <c r="OXO11" s="114"/>
      <c r="OXP11" s="114"/>
      <c r="OXQ11" s="114"/>
      <c r="OXR11" s="114"/>
      <c r="OXS11" s="114"/>
      <c r="OXT11" s="114"/>
      <c r="OXU11" s="114"/>
      <c r="OXV11" s="114"/>
      <c r="OXW11" s="114"/>
      <c r="OXX11" s="114"/>
      <c r="OXY11" s="114"/>
      <c r="OXZ11" s="114"/>
      <c r="OYA11" s="114"/>
      <c r="OYB11" s="114"/>
      <c r="OYC11" s="114"/>
      <c r="OYD11" s="114"/>
      <c r="OYE11" s="114"/>
      <c r="OYF11" s="114"/>
      <c r="OYG11" s="114"/>
      <c r="OYH11" s="114"/>
      <c r="OYI11" s="114"/>
      <c r="OYJ11" s="114"/>
      <c r="OYK11" s="114"/>
      <c r="OYL11" s="114"/>
      <c r="OYM11" s="114"/>
      <c r="OYN11" s="114"/>
      <c r="OYO11" s="114"/>
      <c r="OYP11" s="114"/>
      <c r="OYQ11" s="114"/>
      <c r="OYR11" s="114"/>
      <c r="OYS11" s="114"/>
      <c r="OYT11" s="114"/>
      <c r="OYU11" s="114"/>
      <c r="OYV11" s="114"/>
      <c r="OYW11" s="114"/>
      <c r="OYX11" s="114"/>
      <c r="OYY11" s="114"/>
      <c r="OYZ11" s="114"/>
      <c r="OZA11" s="114"/>
      <c r="OZB11" s="114"/>
      <c r="OZC11" s="114"/>
      <c r="OZD11" s="114"/>
      <c r="OZE11" s="114"/>
      <c r="OZF11" s="114"/>
      <c r="OZG11" s="114"/>
      <c r="OZH11" s="114"/>
      <c r="OZI11" s="114"/>
      <c r="OZJ11" s="114"/>
      <c r="OZK11" s="114"/>
      <c r="OZL11" s="114"/>
      <c r="OZM11" s="114"/>
      <c r="OZN11" s="114"/>
      <c r="OZO11" s="114"/>
      <c r="OZP11" s="114"/>
      <c r="OZQ11" s="114"/>
      <c r="OZR11" s="114"/>
      <c r="OZS11" s="114"/>
      <c r="OZT11" s="114"/>
      <c r="OZU11" s="114"/>
      <c r="OZV11" s="114"/>
      <c r="OZW11" s="114"/>
      <c r="OZX11" s="114"/>
      <c r="OZY11" s="114"/>
      <c r="OZZ11" s="114"/>
      <c r="PAA11" s="114"/>
      <c r="PAB11" s="114"/>
      <c r="PAC11" s="114"/>
      <c r="PAD11" s="114"/>
      <c r="PAE11" s="114"/>
      <c r="PAF11" s="114"/>
      <c r="PAG11" s="114"/>
      <c r="PAH11" s="114"/>
      <c r="PAI11" s="114"/>
      <c r="PAJ11" s="114"/>
      <c r="PAK11" s="114"/>
      <c r="PAL11" s="114"/>
      <c r="PAM11" s="114"/>
      <c r="PAN11" s="114"/>
      <c r="PAO11" s="114"/>
      <c r="PAP11" s="114"/>
      <c r="PAQ11" s="114"/>
      <c r="PAR11" s="114"/>
      <c r="PAS11" s="114"/>
      <c r="PAT11" s="114"/>
      <c r="PAU11" s="114"/>
      <c r="PAV11" s="114"/>
      <c r="PAW11" s="114"/>
      <c r="PAX11" s="114"/>
      <c r="PAY11" s="114"/>
      <c r="PAZ11" s="114"/>
      <c r="PBA11" s="114"/>
      <c r="PBB11" s="114"/>
      <c r="PBC11" s="114"/>
      <c r="PBD11" s="114"/>
      <c r="PBE11" s="114"/>
      <c r="PBF11" s="114"/>
      <c r="PBG11" s="114"/>
      <c r="PBH11" s="114"/>
      <c r="PBI11" s="114"/>
      <c r="PBJ11" s="114"/>
      <c r="PBK11" s="114"/>
      <c r="PBL11" s="114"/>
      <c r="PBM11" s="114"/>
      <c r="PBN11" s="114"/>
      <c r="PBO11" s="114"/>
      <c r="PBP11" s="114"/>
      <c r="PBQ11" s="114"/>
      <c r="PBR11" s="114"/>
      <c r="PBS11" s="114"/>
      <c r="PBT11" s="114"/>
      <c r="PBU11" s="114"/>
      <c r="PBV11" s="114"/>
      <c r="PBW11" s="114"/>
      <c r="PBX11" s="114"/>
      <c r="PBY11" s="114"/>
      <c r="PBZ11" s="114"/>
      <c r="PCA11" s="114"/>
      <c r="PCB11" s="114"/>
      <c r="PCC11" s="114"/>
      <c r="PCD11" s="114"/>
      <c r="PCE11" s="114"/>
      <c r="PCF11" s="114"/>
      <c r="PCG11" s="114"/>
      <c r="PCH11" s="114"/>
      <c r="PCI11" s="114"/>
      <c r="PCJ11" s="114"/>
      <c r="PCK11" s="114"/>
      <c r="PCL11" s="114"/>
      <c r="PCM11" s="114"/>
      <c r="PCN11" s="114"/>
      <c r="PCO11" s="114"/>
      <c r="PCP11" s="114"/>
      <c r="PCQ11" s="114"/>
      <c r="PCR11" s="114"/>
      <c r="PCS11" s="114"/>
      <c r="PCT11" s="114"/>
      <c r="PCU11" s="114"/>
      <c r="PCV11" s="114"/>
      <c r="PCW11" s="114"/>
      <c r="PCX11" s="114"/>
      <c r="PCY11" s="114"/>
      <c r="PCZ11" s="114"/>
      <c r="PDA11" s="114"/>
      <c r="PDB11" s="114"/>
      <c r="PDC11" s="114"/>
      <c r="PDD11" s="114"/>
      <c r="PDE11" s="114"/>
      <c r="PDF11" s="114"/>
      <c r="PDG11" s="114"/>
      <c r="PDH11" s="114"/>
      <c r="PDI11" s="114"/>
      <c r="PDJ11" s="114"/>
      <c r="PDK11" s="114"/>
      <c r="PDL11" s="114"/>
      <c r="PDM11" s="114"/>
      <c r="PDN11" s="114"/>
      <c r="PDO11" s="114"/>
      <c r="PDP11" s="114"/>
      <c r="PDQ11" s="114"/>
      <c r="PDR11" s="114"/>
      <c r="PDS11" s="114"/>
      <c r="PDT11" s="114"/>
      <c r="PDU11" s="114"/>
      <c r="PDV11" s="114"/>
      <c r="PDW11" s="114"/>
      <c r="PDX11" s="114"/>
      <c r="PDY11" s="114"/>
      <c r="PDZ11" s="114"/>
      <c r="PEA11" s="114"/>
      <c r="PEB11" s="114"/>
      <c r="PEC11" s="114"/>
      <c r="PED11" s="114"/>
      <c r="PEE11" s="114"/>
      <c r="PEF11" s="114"/>
      <c r="PEG11" s="114"/>
      <c r="PEH11" s="114"/>
      <c r="PEI11" s="114"/>
      <c r="PEJ11" s="114"/>
      <c r="PEK11" s="114"/>
      <c r="PEL11" s="114"/>
      <c r="PEM11" s="114"/>
      <c r="PEN11" s="114"/>
      <c r="PEO11" s="114"/>
      <c r="PEP11" s="114"/>
      <c r="PEQ11" s="114"/>
      <c r="PER11" s="114"/>
      <c r="PES11" s="114"/>
      <c r="PET11" s="114"/>
      <c r="PEU11" s="114"/>
      <c r="PEV11" s="114"/>
      <c r="PEW11" s="114"/>
      <c r="PEX11" s="114"/>
      <c r="PEY11" s="114"/>
      <c r="PEZ11" s="114"/>
      <c r="PFA11" s="114"/>
      <c r="PFB11" s="114"/>
      <c r="PFC11" s="114"/>
      <c r="PFD11" s="114"/>
      <c r="PFE11" s="114"/>
      <c r="PFF11" s="114"/>
      <c r="PFG11" s="114"/>
      <c r="PFH11" s="114"/>
      <c r="PFI11" s="114"/>
      <c r="PFJ11" s="114"/>
      <c r="PFK11" s="114"/>
      <c r="PFL11" s="114"/>
      <c r="PFM11" s="114"/>
      <c r="PFN11" s="114"/>
      <c r="PFO11" s="114"/>
      <c r="PFP11" s="114"/>
      <c r="PFQ11" s="114"/>
      <c r="PFR11" s="114"/>
      <c r="PFS11" s="114"/>
      <c r="PFT11" s="114"/>
      <c r="PFU11" s="114"/>
      <c r="PFV11" s="114"/>
      <c r="PFW11" s="114"/>
      <c r="PFX11" s="114"/>
      <c r="PFY11" s="114"/>
      <c r="PFZ11" s="114"/>
      <c r="PGA11" s="114"/>
      <c r="PGB11" s="114"/>
      <c r="PGC11" s="114"/>
      <c r="PGD11" s="114"/>
      <c r="PGE11" s="114"/>
      <c r="PGF11" s="114"/>
      <c r="PGG11" s="114"/>
      <c r="PGH11" s="114"/>
      <c r="PGI11" s="114"/>
      <c r="PGJ11" s="114"/>
      <c r="PGK11" s="114"/>
      <c r="PGL11" s="114"/>
      <c r="PGM11" s="114"/>
      <c r="PGN11" s="114"/>
      <c r="PGO11" s="114"/>
      <c r="PGP11" s="114"/>
      <c r="PGQ11" s="114"/>
      <c r="PGR11" s="114"/>
      <c r="PGS11" s="114"/>
      <c r="PGT11" s="114"/>
      <c r="PGU11" s="114"/>
      <c r="PGV11" s="114"/>
      <c r="PGW11" s="114"/>
      <c r="PGX11" s="114"/>
      <c r="PGY11" s="114"/>
      <c r="PGZ11" s="114"/>
      <c r="PHA11" s="114"/>
      <c r="PHB11" s="114"/>
      <c r="PHC11" s="114"/>
      <c r="PHD11" s="114"/>
      <c r="PHE11" s="114"/>
      <c r="PHF11" s="114"/>
      <c r="PHG11" s="114"/>
      <c r="PHH11" s="114"/>
      <c r="PHI11" s="114"/>
      <c r="PHJ11" s="114"/>
      <c r="PHK11" s="114"/>
      <c r="PHL11" s="114"/>
      <c r="PHM11" s="114"/>
      <c r="PHN11" s="114"/>
      <c r="PHO11" s="114"/>
      <c r="PHP11" s="114"/>
      <c r="PHQ11" s="114"/>
      <c r="PHR11" s="114"/>
      <c r="PHS11" s="114"/>
      <c r="PHT11" s="114"/>
      <c r="PHU11" s="114"/>
      <c r="PHV11" s="114"/>
      <c r="PHW11" s="114"/>
      <c r="PHX11" s="114"/>
      <c r="PHY11" s="114"/>
      <c r="PHZ11" s="114"/>
      <c r="PIA11" s="114"/>
      <c r="PIB11" s="114"/>
      <c r="PIC11" s="114"/>
      <c r="PID11" s="114"/>
      <c r="PIE11" s="114"/>
      <c r="PIF11" s="114"/>
      <c r="PIG11" s="114"/>
      <c r="PIH11" s="114"/>
      <c r="PII11" s="114"/>
      <c r="PIJ11" s="114"/>
      <c r="PIK11" s="114"/>
      <c r="PIL11" s="114"/>
      <c r="PIM11" s="114"/>
      <c r="PIN11" s="114"/>
      <c r="PIO11" s="114"/>
      <c r="PIP11" s="114"/>
      <c r="PIQ11" s="114"/>
      <c r="PIR11" s="114"/>
      <c r="PIS11" s="114"/>
      <c r="PIT11" s="114"/>
      <c r="PIU11" s="114"/>
      <c r="PIV11" s="114"/>
      <c r="PIW11" s="114"/>
      <c r="PIX11" s="114"/>
      <c r="PIY11" s="114"/>
      <c r="PIZ11" s="114"/>
      <c r="PJA11" s="114"/>
      <c r="PJB11" s="114"/>
      <c r="PJC11" s="114"/>
      <c r="PJD11" s="114"/>
      <c r="PJE11" s="114"/>
      <c r="PJF11" s="114"/>
      <c r="PJG11" s="114"/>
      <c r="PJH11" s="114"/>
      <c r="PJI11" s="114"/>
      <c r="PJJ11" s="114"/>
      <c r="PJK11" s="114"/>
      <c r="PJL11" s="114"/>
      <c r="PJM11" s="114"/>
      <c r="PJN11" s="114"/>
      <c r="PJO11" s="114"/>
      <c r="PJP11" s="114"/>
      <c r="PJQ11" s="114"/>
      <c r="PJR11" s="114"/>
      <c r="PJS11" s="114"/>
      <c r="PJT11" s="114"/>
      <c r="PJU11" s="114"/>
      <c r="PJV11" s="114"/>
      <c r="PJW11" s="114"/>
      <c r="PJX11" s="114"/>
      <c r="PJY11" s="114"/>
      <c r="PJZ11" s="114"/>
      <c r="PKA11" s="114"/>
      <c r="PKB11" s="114"/>
      <c r="PKC11" s="114"/>
      <c r="PKD11" s="114"/>
      <c r="PKE11" s="114"/>
      <c r="PKF11" s="114"/>
      <c r="PKG11" s="114"/>
      <c r="PKH11" s="114"/>
      <c r="PKI11" s="114"/>
      <c r="PKJ11" s="114"/>
      <c r="PKK11" s="114"/>
      <c r="PKL11" s="114"/>
      <c r="PKM11" s="114"/>
      <c r="PKN11" s="114"/>
      <c r="PKO11" s="114"/>
      <c r="PKP11" s="114"/>
      <c r="PKQ11" s="114"/>
      <c r="PKR11" s="114"/>
      <c r="PKS11" s="114"/>
      <c r="PKT11" s="114"/>
      <c r="PKU11" s="114"/>
      <c r="PKV11" s="114"/>
      <c r="PKW11" s="114"/>
      <c r="PKX11" s="114"/>
      <c r="PKY11" s="114"/>
      <c r="PKZ11" s="114"/>
      <c r="PLA11" s="114"/>
      <c r="PLB11" s="114"/>
      <c r="PLC11" s="114"/>
      <c r="PLD11" s="114"/>
      <c r="PLE11" s="114"/>
      <c r="PLF11" s="114"/>
      <c r="PLG11" s="114"/>
      <c r="PLH11" s="114"/>
      <c r="PLI11" s="114"/>
      <c r="PLJ11" s="114"/>
      <c r="PLK11" s="114"/>
      <c r="PLL11" s="114"/>
      <c r="PLM11" s="114"/>
      <c r="PLN11" s="114"/>
      <c r="PLO11" s="114"/>
      <c r="PLP11" s="114"/>
      <c r="PLQ11" s="114"/>
      <c r="PLR11" s="114"/>
      <c r="PLS11" s="114"/>
      <c r="PLT11" s="114"/>
      <c r="PLU11" s="114"/>
      <c r="PLV11" s="114"/>
      <c r="PLW11" s="114"/>
      <c r="PLX11" s="114"/>
      <c r="PLY11" s="114"/>
      <c r="PLZ11" s="114"/>
      <c r="PMA11" s="114"/>
      <c r="PMB11" s="114"/>
      <c r="PMC11" s="114"/>
      <c r="PMD11" s="114"/>
      <c r="PME11" s="114"/>
      <c r="PMF11" s="114"/>
      <c r="PMG11" s="114"/>
      <c r="PMH11" s="114"/>
      <c r="PMI11" s="114"/>
      <c r="PMJ11" s="114"/>
      <c r="PMK11" s="114"/>
      <c r="PML11" s="114"/>
      <c r="PMM11" s="114"/>
      <c r="PMN11" s="114"/>
      <c r="PMO11" s="114"/>
      <c r="PMP11" s="114"/>
      <c r="PMQ11" s="114"/>
      <c r="PMR11" s="114"/>
      <c r="PMS11" s="114"/>
      <c r="PMT11" s="114"/>
      <c r="PMU11" s="114"/>
      <c r="PMV11" s="114"/>
      <c r="PMW11" s="114"/>
      <c r="PMX11" s="114"/>
      <c r="PMY11" s="114"/>
      <c r="PMZ11" s="114"/>
      <c r="PNA11" s="114"/>
      <c r="PNB11" s="114"/>
      <c r="PNC11" s="114"/>
      <c r="PND11" s="114"/>
      <c r="PNE11" s="114"/>
      <c r="PNF11" s="114"/>
      <c r="PNG11" s="114"/>
      <c r="PNH11" s="114"/>
      <c r="PNI11" s="114"/>
      <c r="PNJ11" s="114"/>
      <c r="PNK11" s="114"/>
      <c r="PNL11" s="114"/>
      <c r="PNM11" s="114"/>
      <c r="PNN11" s="114"/>
      <c r="PNO11" s="114"/>
      <c r="PNP11" s="114"/>
      <c r="PNQ11" s="114"/>
      <c r="PNR11" s="114"/>
      <c r="PNS11" s="114"/>
      <c r="PNT11" s="114"/>
      <c r="PNU11" s="114"/>
      <c r="PNV11" s="114"/>
      <c r="PNW11" s="114"/>
      <c r="PNX11" s="114"/>
      <c r="PNY11" s="114"/>
      <c r="PNZ11" s="114"/>
      <c r="POA11" s="114"/>
      <c r="POB11" s="114"/>
      <c r="POC11" s="114"/>
      <c r="POD11" s="114"/>
      <c r="POE11" s="114"/>
      <c r="POF11" s="114"/>
      <c r="POG11" s="114"/>
      <c r="POH11" s="114"/>
      <c r="POI11" s="114"/>
      <c r="POJ11" s="114"/>
      <c r="POK11" s="114"/>
      <c r="POL11" s="114"/>
      <c r="POM11" s="114"/>
      <c r="PON11" s="114"/>
      <c r="POO11" s="114"/>
      <c r="POP11" s="114"/>
      <c r="POQ11" s="114"/>
      <c r="POR11" s="114"/>
      <c r="POS11" s="114"/>
      <c r="POT11" s="114"/>
      <c r="POU11" s="114"/>
      <c r="POV11" s="114"/>
      <c r="POW11" s="114"/>
      <c r="POX11" s="114"/>
      <c r="POY11" s="114"/>
      <c r="POZ11" s="114"/>
      <c r="PPA11" s="114"/>
      <c r="PPB11" s="114"/>
      <c r="PPC11" s="114"/>
      <c r="PPD11" s="114"/>
      <c r="PPE11" s="114"/>
      <c r="PPF11" s="114"/>
      <c r="PPG11" s="114"/>
      <c r="PPH11" s="114"/>
      <c r="PPI11" s="114"/>
      <c r="PPJ11" s="114"/>
      <c r="PPK11" s="114"/>
      <c r="PPL11" s="114"/>
      <c r="PPM11" s="114"/>
      <c r="PPN11" s="114"/>
      <c r="PPO11" s="114"/>
      <c r="PPP11" s="114"/>
      <c r="PPQ11" s="114"/>
      <c r="PPR11" s="114"/>
      <c r="PPS11" s="114"/>
      <c r="PPT11" s="114"/>
      <c r="PPU11" s="114"/>
      <c r="PPV11" s="114"/>
      <c r="PPW11" s="114"/>
      <c r="PPX11" s="114"/>
      <c r="PPY11" s="114"/>
      <c r="PPZ11" s="114"/>
      <c r="PQA11" s="114"/>
      <c r="PQB11" s="114"/>
      <c r="PQC11" s="114"/>
      <c r="PQD11" s="114"/>
      <c r="PQE11" s="114"/>
      <c r="PQF11" s="114"/>
      <c r="PQG11" s="114"/>
      <c r="PQH11" s="114"/>
      <c r="PQI11" s="114"/>
      <c r="PQJ11" s="114"/>
      <c r="PQK11" s="114"/>
      <c r="PQL11" s="114"/>
      <c r="PQM11" s="114"/>
      <c r="PQN11" s="114"/>
      <c r="PQO11" s="114"/>
      <c r="PQP11" s="114"/>
      <c r="PQQ11" s="114"/>
      <c r="PQR11" s="114"/>
      <c r="PQS11" s="114"/>
      <c r="PQT11" s="114"/>
      <c r="PQU11" s="114"/>
      <c r="PQV11" s="114"/>
      <c r="PQW11" s="114"/>
      <c r="PQX11" s="114"/>
      <c r="PQY11" s="114"/>
      <c r="PQZ11" s="114"/>
      <c r="PRA11" s="114"/>
      <c r="PRB11" s="114"/>
      <c r="PRC11" s="114"/>
      <c r="PRD11" s="114"/>
      <c r="PRE11" s="114"/>
      <c r="PRF11" s="114"/>
      <c r="PRG11" s="114"/>
      <c r="PRH11" s="114"/>
      <c r="PRI11" s="114"/>
      <c r="PRJ11" s="114"/>
      <c r="PRK11" s="114"/>
      <c r="PRL11" s="114"/>
      <c r="PRM11" s="114"/>
      <c r="PRN11" s="114"/>
      <c r="PRO11" s="114"/>
      <c r="PRP11" s="114"/>
      <c r="PRQ11" s="114"/>
      <c r="PRR11" s="114"/>
      <c r="PRS11" s="114"/>
      <c r="PRT11" s="114"/>
      <c r="PRU11" s="114"/>
      <c r="PRV11" s="114"/>
      <c r="PRW11" s="114"/>
      <c r="PRX11" s="114"/>
      <c r="PRY11" s="114"/>
      <c r="PRZ11" s="114"/>
      <c r="PSA11" s="114"/>
      <c r="PSB11" s="114"/>
      <c r="PSC11" s="114"/>
      <c r="PSD11" s="114"/>
      <c r="PSE11" s="114"/>
      <c r="PSF11" s="114"/>
      <c r="PSG11" s="114"/>
      <c r="PSH11" s="114"/>
      <c r="PSI11" s="114"/>
      <c r="PSJ11" s="114"/>
      <c r="PSK11" s="114"/>
      <c r="PSL11" s="114"/>
      <c r="PSM11" s="114"/>
      <c r="PSN11" s="114"/>
      <c r="PSO11" s="114"/>
      <c r="PSP11" s="114"/>
      <c r="PSQ11" s="114"/>
      <c r="PSR11" s="114"/>
      <c r="PSS11" s="114"/>
      <c r="PST11" s="114"/>
      <c r="PSU11" s="114"/>
      <c r="PSV11" s="114"/>
      <c r="PSW11" s="114"/>
      <c r="PSX11" s="114"/>
      <c r="PSY11" s="114"/>
      <c r="PSZ11" s="114"/>
      <c r="PTA11" s="114"/>
      <c r="PTB11" s="114"/>
      <c r="PTC11" s="114"/>
      <c r="PTD11" s="114"/>
      <c r="PTE11" s="114"/>
      <c r="PTF11" s="114"/>
      <c r="PTG11" s="114"/>
      <c r="PTH11" s="114"/>
      <c r="PTI11" s="114"/>
      <c r="PTJ11" s="114"/>
      <c r="PTK11" s="114"/>
      <c r="PTL11" s="114"/>
      <c r="PTM11" s="114"/>
      <c r="PTN11" s="114"/>
      <c r="PTO11" s="114"/>
      <c r="PTP11" s="114"/>
      <c r="PTQ11" s="114"/>
      <c r="PTR11" s="114"/>
      <c r="PTS11" s="114"/>
      <c r="PTT11" s="114"/>
      <c r="PTU11" s="114"/>
      <c r="PTV11" s="114"/>
      <c r="PTW11" s="114"/>
      <c r="PTX11" s="114"/>
      <c r="PTY11" s="114"/>
      <c r="PTZ11" s="114"/>
      <c r="PUA11" s="114"/>
      <c r="PUB11" s="114"/>
      <c r="PUC11" s="114"/>
      <c r="PUD11" s="114"/>
      <c r="PUE11" s="114"/>
      <c r="PUF11" s="114"/>
      <c r="PUG11" s="114"/>
      <c r="PUH11" s="114"/>
      <c r="PUI11" s="114"/>
      <c r="PUJ11" s="114"/>
      <c r="PUK11" s="114"/>
      <c r="PUL11" s="114"/>
      <c r="PUM11" s="114"/>
      <c r="PUN11" s="114"/>
      <c r="PUO11" s="114"/>
      <c r="PUP11" s="114"/>
      <c r="PUQ11" s="114"/>
      <c r="PUR11" s="114"/>
      <c r="PUS11" s="114"/>
      <c r="PUT11" s="114"/>
      <c r="PUU11" s="114"/>
      <c r="PUV11" s="114"/>
      <c r="PUW11" s="114"/>
      <c r="PUX11" s="114"/>
      <c r="PUY11" s="114"/>
      <c r="PUZ11" s="114"/>
      <c r="PVA11" s="114"/>
      <c r="PVB11" s="114"/>
      <c r="PVC11" s="114"/>
      <c r="PVD11" s="114"/>
      <c r="PVE11" s="114"/>
      <c r="PVF11" s="114"/>
      <c r="PVG11" s="114"/>
      <c r="PVH11" s="114"/>
      <c r="PVI11" s="114"/>
      <c r="PVJ11" s="114"/>
      <c r="PVK11" s="114"/>
      <c r="PVL11" s="114"/>
      <c r="PVM11" s="114"/>
      <c r="PVN11" s="114"/>
      <c r="PVO11" s="114"/>
      <c r="PVP11" s="114"/>
      <c r="PVQ11" s="114"/>
      <c r="PVR11" s="114"/>
      <c r="PVS11" s="114"/>
      <c r="PVT11" s="114"/>
      <c r="PVU11" s="114"/>
      <c r="PVV11" s="114"/>
      <c r="PVW11" s="114"/>
      <c r="PVX11" s="114"/>
      <c r="PVY11" s="114"/>
      <c r="PVZ11" s="114"/>
      <c r="PWA11" s="114"/>
      <c r="PWB11" s="114"/>
      <c r="PWC11" s="114"/>
      <c r="PWD11" s="114"/>
      <c r="PWE11" s="114"/>
      <c r="PWF11" s="114"/>
      <c r="PWG11" s="114"/>
      <c r="PWH11" s="114"/>
      <c r="PWI11" s="114"/>
      <c r="PWJ11" s="114"/>
      <c r="PWK11" s="114"/>
      <c r="PWL11" s="114"/>
      <c r="PWM11" s="114"/>
      <c r="PWN11" s="114"/>
      <c r="PWO11" s="114"/>
      <c r="PWP11" s="114"/>
      <c r="PWQ11" s="114"/>
      <c r="PWR11" s="114"/>
      <c r="PWS11" s="114"/>
      <c r="PWT11" s="114"/>
      <c r="PWU11" s="114"/>
      <c r="PWV11" s="114"/>
      <c r="PWW11" s="114"/>
      <c r="PWX11" s="114"/>
      <c r="PWY11" s="114"/>
      <c r="PWZ11" s="114"/>
      <c r="PXA11" s="114"/>
      <c r="PXB11" s="114"/>
      <c r="PXC11" s="114"/>
      <c r="PXD11" s="114"/>
      <c r="PXE11" s="114"/>
      <c r="PXF11" s="114"/>
      <c r="PXG11" s="114"/>
      <c r="PXH11" s="114"/>
      <c r="PXI11" s="114"/>
      <c r="PXJ11" s="114"/>
      <c r="PXK11" s="114"/>
      <c r="PXL11" s="114"/>
      <c r="PXM11" s="114"/>
      <c r="PXN11" s="114"/>
      <c r="PXO11" s="114"/>
      <c r="PXP11" s="114"/>
      <c r="PXQ11" s="114"/>
      <c r="PXR11" s="114"/>
      <c r="PXS11" s="114"/>
      <c r="PXT11" s="114"/>
      <c r="PXU11" s="114"/>
      <c r="PXV11" s="114"/>
      <c r="PXW11" s="114"/>
      <c r="PXX11" s="114"/>
      <c r="PXY11" s="114"/>
      <c r="PXZ11" s="114"/>
      <c r="PYA11" s="114"/>
      <c r="PYB11" s="114"/>
      <c r="PYC11" s="114"/>
      <c r="PYD11" s="114"/>
      <c r="PYE11" s="114"/>
      <c r="PYF11" s="114"/>
      <c r="PYG11" s="114"/>
      <c r="PYH11" s="114"/>
      <c r="PYI11" s="114"/>
      <c r="PYJ11" s="114"/>
      <c r="PYK11" s="114"/>
      <c r="PYL11" s="114"/>
      <c r="PYM11" s="114"/>
      <c r="PYN11" s="114"/>
      <c r="PYO11" s="114"/>
      <c r="PYP11" s="114"/>
      <c r="PYQ11" s="114"/>
      <c r="PYR11" s="114"/>
      <c r="PYS11" s="114"/>
      <c r="PYT11" s="114"/>
      <c r="PYU11" s="114"/>
      <c r="PYV11" s="114"/>
      <c r="PYW11" s="114"/>
      <c r="PYX11" s="114"/>
      <c r="PYY11" s="114"/>
      <c r="PYZ11" s="114"/>
      <c r="PZA11" s="114"/>
      <c r="PZB11" s="114"/>
      <c r="PZC11" s="114"/>
      <c r="PZD11" s="114"/>
      <c r="PZE11" s="114"/>
      <c r="PZF11" s="114"/>
      <c r="PZG11" s="114"/>
      <c r="PZH11" s="114"/>
      <c r="PZI11" s="114"/>
      <c r="PZJ11" s="114"/>
      <c r="PZK11" s="114"/>
      <c r="PZL11" s="114"/>
      <c r="PZM11" s="114"/>
      <c r="PZN11" s="114"/>
      <c r="PZO11" s="114"/>
      <c r="PZP11" s="114"/>
      <c r="PZQ11" s="114"/>
      <c r="PZR11" s="114"/>
      <c r="PZS11" s="114"/>
      <c r="PZT11" s="114"/>
      <c r="PZU11" s="114"/>
      <c r="PZV11" s="114"/>
      <c r="PZW11" s="114"/>
      <c r="PZX11" s="114"/>
      <c r="PZY11" s="114"/>
      <c r="PZZ11" s="114"/>
      <c r="QAA11" s="114"/>
      <c r="QAB11" s="114"/>
      <c r="QAC11" s="114"/>
      <c r="QAD11" s="114"/>
      <c r="QAE11" s="114"/>
      <c r="QAF11" s="114"/>
      <c r="QAG11" s="114"/>
      <c r="QAH11" s="114"/>
      <c r="QAI11" s="114"/>
      <c r="QAJ11" s="114"/>
      <c r="QAK11" s="114"/>
      <c r="QAL11" s="114"/>
      <c r="QAM11" s="114"/>
      <c r="QAN11" s="114"/>
      <c r="QAO11" s="114"/>
      <c r="QAP11" s="114"/>
      <c r="QAQ11" s="114"/>
      <c r="QAR11" s="114"/>
      <c r="QAS11" s="114"/>
      <c r="QAT11" s="114"/>
      <c r="QAU11" s="114"/>
      <c r="QAV11" s="114"/>
      <c r="QAW11" s="114"/>
      <c r="QAX11" s="114"/>
      <c r="QAY11" s="114"/>
      <c r="QAZ11" s="114"/>
      <c r="QBA11" s="114"/>
      <c r="QBB11" s="114"/>
      <c r="QBC11" s="114"/>
      <c r="QBD11" s="114"/>
      <c r="QBE11" s="114"/>
      <c r="QBF11" s="114"/>
      <c r="QBG11" s="114"/>
      <c r="QBH11" s="114"/>
      <c r="QBI11" s="114"/>
      <c r="QBJ11" s="114"/>
      <c r="QBK11" s="114"/>
      <c r="QBL11" s="114"/>
      <c r="QBM11" s="114"/>
      <c r="QBN11" s="114"/>
      <c r="QBO11" s="114"/>
      <c r="QBP11" s="114"/>
      <c r="QBQ11" s="114"/>
      <c r="QBR11" s="114"/>
      <c r="QBS11" s="114"/>
      <c r="QBT11" s="114"/>
      <c r="QBU11" s="114"/>
      <c r="QBV11" s="114"/>
      <c r="QBW11" s="114"/>
      <c r="QBX11" s="114"/>
      <c r="QBY11" s="114"/>
      <c r="QBZ11" s="114"/>
      <c r="QCA11" s="114"/>
      <c r="QCB11" s="114"/>
      <c r="QCC11" s="114"/>
      <c r="QCD11" s="114"/>
      <c r="QCE11" s="114"/>
      <c r="QCF11" s="114"/>
      <c r="QCG11" s="114"/>
      <c r="QCH11" s="114"/>
      <c r="QCI11" s="114"/>
      <c r="QCJ11" s="114"/>
      <c r="QCK11" s="114"/>
      <c r="QCL11" s="114"/>
      <c r="QCM11" s="114"/>
      <c r="QCN11" s="114"/>
      <c r="QCO11" s="114"/>
      <c r="QCP11" s="114"/>
      <c r="QCQ11" s="114"/>
      <c r="QCR11" s="114"/>
      <c r="QCS11" s="114"/>
      <c r="QCT11" s="114"/>
      <c r="QCU11" s="114"/>
      <c r="QCV11" s="114"/>
      <c r="QCW11" s="114"/>
      <c r="QCX11" s="114"/>
      <c r="QCY11" s="114"/>
      <c r="QCZ11" s="114"/>
      <c r="QDA11" s="114"/>
      <c r="QDB11" s="114"/>
      <c r="QDC11" s="114"/>
      <c r="QDD11" s="114"/>
      <c r="QDE11" s="114"/>
      <c r="QDF11" s="114"/>
      <c r="QDG11" s="114"/>
      <c r="QDH11" s="114"/>
      <c r="QDI11" s="114"/>
      <c r="QDJ11" s="114"/>
      <c r="QDK11" s="114"/>
      <c r="QDL11" s="114"/>
      <c r="QDM11" s="114"/>
      <c r="QDN11" s="114"/>
      <c r="QDO11" s="114"/>
      <c r="QDP11" s="114"/>
      <c r="QDQ11" s="114"/>
      <c r="QDR11" s="114"/>
      <c r="QDS11" s="114"/>
      <c r="QDT11" s="114"/>
      <c r="QDU11" s="114"/>
      <c r="QDV11" s="114"/>
      <c r="QDW11" s="114"/>
      <c r="QDX11" s="114"/>
      <c r="QDY11" s="114"/>
      <c r="QDZ11" s="114"/>
      <c r="QEA11" s="114"/>
      <c r="QEB11" s="114"/>
      <c r="QEC11" s="114"/>
      <c r="QED11" s="114"/>
      <c r="QEE11" s="114"/>
      <c r="QEF11" s="114"/>
      <c r="QEG11" s="114"/>
      <c r="QEH11" s="114"/>
      <c r="QEI11" s="114"/>
      <c r="QEJ11" s="114"/>
      <c r="QEK11" s="114"/>
      <c r="QEL11" s="114"/>
      <c r="QEM11" s="114"/>
      <c r="QEN11" s="114"/>
      <c r="QEO11" s="114"/>
      <c r="QEP11" s="114"/>
      <c r="QEQ11" s="114"/>
      <c r="QER11" s="114"/>
      <c r="QES11" s="114"/>
      <c r="QET11" s="114"/>
      <c r="QEU11" s="114"/>
      <c r="QEV11" s="114"/>
      <c r="QEW11" s="114"/>
      <c r="QEX11" s="114"/>
      <c r="QEY11" s="114"/>
      <c r="QEZ11" s="114"/>
      <c r="QFA11" s="114"/>
      <c r="QFB11" s="114"/>
      <c r="QFC11" s="114"/>
      <c r="QFD11" s="114"/>
      <c r="QFE11" s="114"/>
      <c r="QFF11" s="114"/>
      <c r="QFG11" s="114"/>
      <c r="QFH11" s="114"/>
      <c r="QFI11" s="114"/>
      <c r="QFJ11" s="114"/>
      <c r="QFK11" s="114"/>
      <c r="QFL11" s="114"/>
      <c r="QFM11" s="114"/>
      <c r="QFN11" s="114"/>
      <c r="QFO11" s="114"/>
      <c r="QFP11" s="114"/>
      <c r="QFQ11" s="114"/>
      <c r="QFR11" s="114"/>
      <c r="QFS11" s="114"/>
      <c r="QFT11" s="114"/>
      <c r="QFU11" s="114"/>
      <c r="QFV11" s="114"/>
      <c r="QFW11" s="114"/>
      <c r="QFX11" s="114"/>
      <c r="QFY11" s="114"/>
      <c r="QFZ11" s="114"/>
      <c r="QGA11" s="114"/>
      <c r="QGB11" s="114"/>
      <c r="QGC11" s="114"/>
      <c r="QGD11" s="114"/>
      <c r="QGE11" s="114"/>
      <c r="QGF11" s="114"/>
      <c r="QGG11" s="114"/>
      <c r="QGH11" s="114"/>
      <c r="QGI11" s="114"/>
      <c r="QGJ11" s="114"/>
      <c r="QGK11" s="114"/>
      <c r="QGL11" s="114"/>
      <c r="QGM11" s="114"/>
      <c r="QGN11" s="114"/>
      <c r="QGO11" s="114"/>
      <c r="QGP11" s="114"/>
      <c r="QGQ11" s="114"/>
      <c r="QGR11" s="114"/>
      <c r="QGS11" s="114"/>
      <c r="QGT11" s="114"/>
      <c r="QGU11" s="114"/>
      <c r="QGV11" s="114"/>
      <c r="QGW11" s="114"/>
      <c r="QGX11" s="114"/>
      <c r="QGY11" s="114"/>
      <c r="QGZ11" s="114"/>
      <c r="QHA11" s="114"/>
      <c r="QHB11" s="114"/>
      <c r="QHC11" s="114"/>
      <c r="QHD11" s="114"/>
      <c r="QHE11" s="114"/>
      <c r="QHF11" s="114"/>
      <c r="QHG11" s="114"/>
      <c r="QHH11" s="114"/>
      <c r="QHI11" s="114"/>
      <c r="QHJ11" s="114"/>
      <c r="QHK11" s="114"/>
      <c r="QHL11" s="114"/>
      <c r="QHM11" s="114"/>
      <c r="QHN11" s="114"/>
      <c r="QHO11" s="114"/>
      <c r="QHP11" s="114"/>
      <c r="QHQ11" s="114"/>
      <c r="QHR11" s="114"/>
      <c r="QHS11" s="114"/>
      <c r="QHT11" s="114"/>
      <c r="QHU11" s="114"/>
      <c r="QHV11" s="114"/>
      <c r="QHW11" s="114"/>
      <c r="QHX11" s="114"/>
      <c r="QHY11" s="114"/>
      <c r="QHZ11" s="114"/>
      <c r="QIA11" s="114"/>
      <c r="QIB11" s="114"/>
      <c r="QIC11" s="114"/>
      <c r="QID11" s="114"/>
      <c r="QIE11" s="114"/>
      <c r="QIF11" s="114"/>
      <c r="QIG11" s="114"/>
      <c r="QIH11" s="114"/>
      <c r="QII11" s="114"/>
      <c r="QIJ11" s="114"/>
      <c r="QIK11" s="114"/>
      <c r="QIL11" s="114"/>
      <c r="QIM11" s="114"/>
      <c r="QIN11" s="114"/>
      <c r="QIO11" s="114"/>
      <c r="QIP11" s="114"/>
      <c r="QIQ11" s="114"/>
      <c r="QIR11" s="114"/>
      <c r="QIS11" s="114"/>
      <c r="QIT11" s="114"/>
      <c r="QIU11" s="114"/>
      <c r="QIV11" s="114"/>
      <c r="QIW11" s="114"/>
      <c r="QIX11" s="114"/>
      <c r="QIY11" s="114"/>
      <c r="QIZ11" s="114"/>
      <c r="QJA11" s="114"/>
      <c r="QJB11" s="114"/>
      <c r="QJC11" s="114"/>
      <c r="QJD11" s="114"/>
      <c r="QJE11" s="114"/>
      <c r="QJF11" s="114"/>
      <c r="QJG11" s="114"/>
      <c r="QJH11" s="114"/>
      <c r="QJI11" s="114"/>
      <c r="QJJ11" s="114"/>
      <c r="QJK11" s="114"/>
      <c r="QJL11" s="114"/>
      <c r="QJM11" s="114"/>
      <c r="QJN11" s="114"/>
      <c r="QJO11" s="114"/>
      <c r="QJP11" s="114"/>
      <c r="QJQ11" s="114"/>
      <c r="QJR11" s="114"/>
      <c r="QJS11" s="114"/>
      <c r="QJT11" s="114"/>
      <c r="QJU11" s="114"/>
      <c r="QJV11" s="114"/>
      <c r="QJW11" s="114"/>
      <c r="QJX11" s="114"/>
      <c r="QJY11" s="114"/>
      <c r="QJZ11" s="114"/>
      <c r="QKA11" s="114"/>
      <c r="QKB11" s="114"/>
      <c r="QKC11" s="114"/>
      <c r="QKD11" s="114"/>
      <c r="QKE11" s="114"/>
      <c r="QKF11" s="114"/>
      <c r="QKG11" s="114"/>
      <c r="QKH11" s="114"/>
      <c r="QKI11" s="114"/>
      <c r="QKJ11" s="114"/>
      <c r="QKK11" s="114"/>
      <c r="QKL11" s="114"/>
      <c r="QKM11" s="114"/>
      <c r="QKN11" s="114"/>
      <c r="QKO11" s="114"/>
      <c r="QKP11" s="114"/>
      <c r="QKQ11" s="114"/>
      <c r="QKR11" s="114"/>
      <c r="QKS11" s="114"/>
      <c r="QKT11" s="114"/>
      <c r="QKU11" s="114"/>
      <c r="QKV11" s="114"/>
      <c r="QKW11" s="114"/>
      <c r="QKX11" s="114"/>
      <c r="QKY11" s="114"/>
      <c r="QKZ11" s="114"/>
      <c r="QLA11" s="114"/>
      <c r="QLB11" s="114"/>
      <c r="QLC11" s="114"/>
      <c r="QLD11" s="114"/>
      <c r="QLE11" s="114"/>
      <c r="QLF11" s="114"/>
      <c r="QLG11" s="114"/>
      <c r="QLH11" s="114"/>
      <c r="QLI11" s="114"/>
      <c r="QLJ11" s="114"/>
      <c r="QLK11" s="114"/>
      <c r="QLL11" s="114"/>
      <c r="QLM11" s="114"/>
      <c r="QLN11" s="114"/>
      <c r="QLO11" s="114"/>
      <c r="QLP11" s="114"/>
      <c r="QLQ11" s="114"/>
      <c r="QLR11" s="114"/>
      <c r="QLS11" s="114"/>
      <c r="QLT11" s="114"/>
      <c r="QLU11" s="114"/>
      <c r="QLV11" s="114"/>
      <c r="QLW11" s="114"/>
      <c r="QLX11" s="114"/>
      <c r="QLY11" s="114"/>
      <c r="QLZ11" s="114"/>
      <c r="QMA11" s="114"/>
      <c r="QMB11" s="114"/>
      <c r="QMC11" s="114"/>
      <c r="QMD11" s="114"/>
      <c r="QME11" s="114"/>
      <c r="QMF11" s="114"/>
      <c r="QMG11" s="114"/>
      <c r="QMH11" s="114"/>
      <c r="QMI11" s="114"/>
      <c r="QMJ11" s="114"/>
      <c r="QMK11" s="114"/>
      <c r="QML11" s="114"/>
      <c r="QMM11" s="114"/>
      <c r="QMN11" s="114"/>
      <c r="QMO11" s="114"/>
      <c r="QMP11" s="114"/>
      <c r="QMQ11" s="114"/>
      <c r="QMR11" s="114"/>
      <c r="QMS11" s="114"/>
      <c r="QMT11" s="114"/>
      <c r="QMU11" s="114"/>
      <c r="QMV11" s="114"/>
      <c r="QMW11" s="114"/>
      <c r="QMX11" s="114"/>
      <c r="QMY11" s="114"/>
      <c r="QMZ11" s="114"/>
      <c r="QNA11" s="114"/>
      <c r="QNB11" s="114"/>
      <c r="QNC11" s="114"/>
      <c r="QND11" s="114"/>
      <c r="QNE11" s="114"/>
      <c r="QNF11" s="114"/>
      <c r="QNG11" s="114"/>
      <c r="QNH11" s="114"/>
      <c r="QNI11" s="114"/>
      <c r="QNJ11" s="114"/>
      <c r="QNK11" s="114"/>
      <c r="QNL11" s="114"/>
      <c r="QNM11" s="114"/>
      <c r="QNN11" s="114"/>
      <c r="QNO11" s="114"/>
      <c r="QNP11" s="114"/>
      <c r="QNQ11" s="114"/>
      <c r="QNR11" s="114"/>
      <c r="QNS11" s="114"/>
      <c r="QNT11" s="114"/>
      <c r="QNU11" s="114"/>
      <c r="QNV11" s="114"/>
      <c r="QNW11" s="114"/>
      <c r="QNX11" s="114"/>
      <c r="QNY11" s="114"/>
      <c r="QNZ11" s="114"/>
      <c r="QOA11" s="114"/>
      <c r="QOB11" s="114"/>
      <c r="QOC11" s="114"/>
      <c r="QOD11" s="114"/>
      <c r="QOE11" s="114"/>
      <c r="QOF11" s="114"/>
      <c r="QOG11" s="114"/>
      <c r="QOH11" s="114"/>
      <c r="QOI11" s="114"/>
      <c r="QOJ11" s="114"/>
      <c r="QOK11" s="114"/>
      <c r="QOL11" s="114"/>
      <c r="QOM11" s="114"/>
      <c r="QON11" s="114"/>
      <c r="QOO11" s="114"/>
      <c r="QOP11" s="114"/>
      <c r="QOQ11" s="114"/>
      <c r="QOR11" s="114"/>
      <c r="QOS11" s="114"/>
      <c r="QOT11" s="114"/>
      <c r="QOU11" s="114"/>
      <c r="QOV11" s="114"/>
      <c r="QOW11" s="114"/>
      <c r="QOX11" s="114"/>
      <c r="QOY11" s="114"/>
      <c r="QOZ11" s="114"/>
      <c r="QPA11" s="114"/>
      <c r="QPB11" s="114"/>
      <c r="QPC11" s="114"/>
      <c r="QPD11" s="114"/>
      <c r="QPE11" s="114"/>
      <c r="QPF11" s="114"/>
      <c r="QPG11" s="114"/>
      <c r="QPH11" s="114"/>
      <c r="QPI11" s="114"/>
      <c r="QPJ11" s="114"/>
      <c r="QPK11" s="114"/>
      <c r="QPL11" s="114"/>
      <c r="QPM11" s="114"/>
      <c r="QPN11" s="114"/>
      <c r="QPO11" s="114"/>
      <c r="QPP11" s="114"/>
      <c r="QPQ11" s="114"/>
      <c r="QPR11" s="114"/>
      <c r="QPS11" s="114"/>
      <c r="QPT11" s="114"/>
      <c r="QPU11" s="114"/>
      <c r="QPV11" s="114"/>
      <c r="QPW11" s="114"/>
      <c r="QPX11" s="114"/>
      <c r="QPY11" s="114"/>
      <c r="QPZ11" s="114"/>
      <c r="QQA11" s="114"/>
      <c r="QQB11" s="114"/>
      <c r="QQC11" s="114"/>
      <c r="QQD11" s="114"/>
      <c r="QQE11" s="114"/>
      <c r="QQF11" s="114"/>
      <c r="QQG11" s="114"/>
      <c r="QQH11" s="114"/>
      <c r="QQI11" s="114"/>
      <c r="QQJ11" s="114"/>
      <c r="QQK11" s="114"/>
      <c r="QQL11" s="114"/>
      <c r="QQM11" s="114"/>
      <c r="QQN11" s="114"/>
      <c r="QQO11" s="114"/>
      <c r="QQP11" s="114"/>
      <c r="QQQ11" s="114"/>
      <c r="QQR11" s="114"/>
      <c r="QQS11" s="114"/>
      <c r="QQT11" s="114"/>
      <c r="QQU11" s="114"/>
      <c r="QQV11" s="114"/>
      <c r="QQW11" s="114"/>
      <c r="QQX11" s="114"/>
      <c r="QQY11" s="114"/>
      <c r="QQZ11" s="114"/>
      <c r="QRA11" s="114"/>
      <c r="QRB11" s="114"/>
      <c r="QRC11" s="114"/>
      <c r="QRD11" s="114"/>
      <c r="QRE11" s="114"/>
      <c r="QRF11" s="114"/>
      <c r="QRG11" s="114"/>
      <c r="QRH11" s="114"/>
      <c r="QRI11" s="114"/>
      <c r="QRJ11" s="114"/>
      <c r="QRK11" s="114"/>
      <c r="QRL11" s="114"/>
      <c r="QRM11" s="114"/>
      <c r="QRN11" s="114"/>
      <c r="QRO11" s="114"/>
      <c r="QRP11" s="114"/>
      <c r="QRQ11" s="114"/>
      <c r="QRR11" s="114"/>
      <c r="QRS11" s="114"/>
      <c r="QRT11" s="114"/>
      <c r="QRU11" s="114"/>
      <c r="QRV11" s="114"/>
      <c r="QRW11" s="114"/>
      <c r="QRX11" s="114"/>
      <c r="QRY11" s="114"/>
      <c r="QRZ11" s="114"/>
      <c r="QSA11" s="114"/>
      <c r="QSB11" s="114"/>
      <c r="QSC11" s="114"/>
      <c r="QSD11" s="114"/>
      <c r="QSE11" s="114"/>
      <c r="QSF11" s="114"/>
      <c r="QSG11" s="114"/>
      <c r="QSH11" s="114"/>
      <c r="QSI11" s="114"/>
      <c r="QSJ11" s="114"/>
      <c r="QSK11" s="114"/>
      <c r="QSL11" s="114"/>
      <c r="QSM11" s="114"/>
      <c r="QSN11" s="114"/>
      <c r="QSO11" s="114"/>
      <c r="QSP11" s="114"/>
      <c r="QSQ11" s="114"/>
      <c r="QSR11" s="114"/>
      <c r="QSS11" s="114"/>
      <c r="QST11" s="114"/>
      <c r="QSU11" s="114"/>
      <c r="QSV11" s="114"/>
      <c r="QSW11" s="114"/>
      <c r="QSX11" s="114"/>
      <c r="QSY11" s="114"/>
      <c r="QSZ11" s="114"/>
      <c r="QTA11" s="114"/>
      <c r="QTB11" s="114"/>
      <c r="QTC11" s="114"/>
      <c r="QTD11" s="114"/>
      <c r="QTE11" s="114"/>
      <c r="QTF11" s="114"/>
      <c r="QTG11" s="114"/>
      <c r="QTH11" s="114"/>
      <c r="QTI11" s="114"/>
      <c r="QTJ11" s="114"/>
      <c r="QTK11" s="114"/>
      <c r="QTL11" s="114"/>
      <c r="QTM11" s="114"/>
      <c r="QTN11" s="114"/>
      <c r="QTO11" s="114"/>
      <c r="QTP11" s="114"/>
      <c r="QTQ11" s="114"/>
      <c r="QTR11" s="114"/>
      <c r="QTS11" s="114"/>
      <c r="QTT11" s="114"/>
      <c r="QTU11" s="114"/>
      <c r="QTV11" s="114"/>
      <c r="QTW11" s="114"/>
      <c r="QTX11" s="114"/>
      <c r="QTY11" s="114"/>
      <c r="QTZ11" s="114"/>
      <c r="QUA11" s="114"/>
      <c r="QUB11" s="114"/>
      <c r="QUC11" s="114"/>
      <c r="QUD11" s="114"/>
      <c r="QUE11" s="114"/>
      <c r="QUF11" s="114"/>
      <c r="QUG11" s="114"/>
      <c r="QUH11" s="114"/>
      <c r="QUI11" s="114"/>
      <c r="QUJ11" s="114"/>
      <c r="QUK11" s="114"/>
      <c r="QUL11" s="114"/>
      <c r="QUM11" s="114"/>
      <c r="QUN11" s="114"/>
      <c r="QUO11" s="114"/>
      <c r="QUP11" s="114"/>
      <c r="QUQ11" s="114"/>
      <c r="QUR11" s="114"/>
      <c r="QUS11" s="114"/>
      <c r="QUT11" s="114"/>
      <c r="QUU11" s="114"/>
      <c r="QUV11" s="114"/>
      <c r="QUW11" s="114"/>
      <c r="QUX11" s="114"/>
      <c r="QUY11" s="114"/>
      <c r="QUZ11" s="114"/>
      <c r="QVA11" s="114"/>
      <c r="QVB11" s="114"/>
      <c r="QVC11" s="114"/>
      <c r="QVD11" s="114"/>
      <c r="QVE11" s="114"/>
      <c r="QVF11" s="114"/>
      <c r="QVG11" s="114"/>
      <c r="QVH11" s="114"/>
      <c r="QVI11" s="114"/>
      <c r="QVJ11" s="114"/>
      <c r="QVK11" s="114"/>
      <c r="QVL11" s="114"/>
      <c r="QVM11" s="114"/>
      <c r="QVN11" s="114"/>
      <c r="QVO11" s="114"/>
      <c r="QVP11" s="114"/>
      <c r="QVQ11" s="114"/>
      <c r="QVR11" s="114"/>
      <c r="QVS11" s="114"/>
      <c r="QVT11" s="114"/>
      <c r="QVU11" s="114"/>
      <c r="QVV11" s="114"/>
      <c r="QVW11" s="114"/>
      <c r="QVX11" s="114"/>
      <c r="QVY11" s="114"/>
      <c r="QVZ11" s="114"/>
      <c r="QWA11" s="114"/>
      <c r="QWB11" s="114"/>
      <c r="QWC11" s="114"/>
      <c r="QWD11" s="114"/>
      <c r="QWE11" s="114"/>
      <c r="QWF11" s="114"/>
      <c r="QWG11" s="114"/>
      <c r="QWH11" s="114"/>
      <c r="QWI11" s="114"/>
      <c r="QWJ11" s="114"/>
      <c r="QWK11" s="114"/>
      <c r="QWL11" s="114"/>
      <c r="QWM11" s="114"/>
      <c r="QWN11" s="114"/>
      <c r="QWO11" s="114"/>
      <c r="QWP11" s="114"/>
      <c r="QWQ11" s="114"/>
      <c r="QWR11" s="114"/>
      <c r="QWS11" s="114"/>
      <c r="QWT11" s="114"/>
      <c r="QWU11" s="114"/>
      <c r="QWV11" s="114"/>
      <c r="QWW11" s="114"/>
      <c r="QWX11" s="114"/>
      <c r="QWY11" s="114"/>
      <c r="QWZ11" s="114"/>
      <c r="QXA11" s="114"/>
      <c r="QXB11" s="114"/>
      <c r="QXC11" s="114"/>
      <c r="QXD11" s="114"/>
      <c r="QXE11" s="114"/>
      <c r="QXF11" s="114"/>
      <c r="QXG11" s="114"/>
      <c r="QXH11" s="114"/>
      <c r="QXI11" s="114"/>
      <c r="QXJ11" s="114"/>
      <c r="QXK11" s="114"/>
      <c r="QXL11" s="114"/>
      <c r="QXM11" s="114"/>
      <c r="QXN11" s="114"/>
      <c r="QXO11" s="114"/>
      <c r="QXP11" s="114"/>
      <c r="QXQ11" s="114"/>
      <c r="QXR11" s="114"/>
      <c r="QXS11" s="114"/>
      <c r="QXT11" s="114"/>
      <c r="QXU11" s="114"/>
      <c r="QXV11" s="114"/>
      <c r="QXW11" s="114"/>
      <c r="QXX11" s="114"/>
      <c r="QXY11" s="114"/>
      <c r="QXZ11" s="114"/>
      <c r="QYA11" s="114"/>
      <c r="QYB11" s="114"/>
      <c r="QYC11" s="114"/>
      <c r="QYD11" s="114"/>
      <c r="QYE11" s="114"/>
      <c r="QYF11" s="114"/>
      <c r="QYG11" s="114"/>
      <c r="QYH11" s="114"/>
      <c r="QYI11" s="114"/>
      <c r="QYJ11" s="114"/>
      <c r="QYK11" s="114"/>
      <c r="QYL11" s="114"/>
      <c r="QYM11" s="114"/>
      <c r="QYN11" s="114"/>
      <c r="QYO11" s="114"/>
      <c r="QYP11" s="114"/>
      <c r="QYQ11" s="114"/>
      <c r="QYR11" s="114"/>
      <c r="QYS11" s="114"/>
      <c r="QYT11" s="114"/>
      <c r="QYU11" s="114"/>
      <c r="QYV11" s="114"/>
      <c r="QYW11" s="114"/>
      <c r="QYX11" s="114"/>
      <c r="QYY11" s="114"/>
      <c r="QYZ11" s="114"/>
      <c r="QZA11" s="114"/>
      <c r="QZB11" s="114"/>
      <c r="QZC11" s="114"/>
      <c r="QZD11" s="114"/>
      <c r="QZE11" s="114"/>
      <c r="QZF11" s="114"/>
      <c r="QZG11" s="114"/>
      <c r="QZH11" s="114"/>
      <c r="QZI11" s="114"/>
      <c r="QZJ11" s="114"/>
      <c r="QZK11" s="114"/>
      <c r="QZL11" s="114"/>
      <c r="QZM11" s="114"/>
      <c r="QZN11" s="114"/>
      <c r="QZO11" s="114"/>
      <c r="QZP11" s="114"/>
      <c r="QZQ11" s="114"/>
      <c r="QZR11" s="114"/>
      <c r="QZS11" s="114"/>
      <c r="QZT11" s="114"/>
      <c r="QZU11" s="114"/>
      <c r="QZV11" s="114"/>
      <c r="QZW11" s="114"/>
      <c r="QZX11" s="114"/>
      <c r="QZY11" s="114"/>
      <c r="QZZ11" s="114"/>
      <c r="RAA11" s="114"/>
      <c r="RAB11" s="114"/>
      <c r="RAC11" s="114"/>
      <c r="RAD11" s="114"/>
      <c r="RAE11" s="114"/>
      <c r="RAF11" s="114"/>
      <c r="RAG11" s="114"/>
      <c r="RAH11" s="114"/>
      <c r="RAI11" s="114"/>
      <c r="RAJ11" s="114"/>
      <c r="RAK11" s="114"/>
      <c r="RAL11" s="114"/>
      <c r="RAM11" s="114"/>
      <c r="RAN11" s="114"/>
      <c r="RAO11" s="114"/>
      <c r="RAP11" s="114"/>
      <c r="RAQ11" s="114"/>
      <c r="RAR11" s="114"/>
      <c r="RAS11" s="114"/>
      <c r="RAT11" s="114"/>
      <c r="RAU11" s="114"/>
      <c r="RAV11" s="114"/>
      <c r="RAW11" s="114"/>
      <c r="RAX11" s="114"/>
      <c r="RAY11" s="114"/>
      <c r="RAZ11" s="114"/>
      <c r="RBA11" s="114"/>
      <c r="RBB11" s="114"/>
      <c r="RBC11" s="114"/>
      <c r="RBD11" s="114"/>
      <c r="RBE11" s="114"/>
      <c r="RBF11" s="114"/>
      <c r="RBG11" s="114"/>
      <c r="RBH11" s="114"/>
      <c r="RBI11" s="114"/>
      <c r="RBJ11" s="114"/>
      <c r="RBK11" s="114"/>
      <c r="RBL11" s="114"/>
      <c r="RBM11" s="114"/>
      <c r="RBN11" s="114"/>
      <c r="RBO11" s="114"/>
      <c r="RBP11" s="114"/>
      <c r="RBQ11" s="114"/>
      <c r="RBR11" s="114"/>
      <c r="RBS11" s="114"/>
      <c r="RBT11" s="114"/>
      <c r="RBU11" s="114"/>
      <c r="RBV11" s="114"/>
      <c r="RBW11" s="114"/>
      <c r="RBX11" s="114"/>
      <c r="RBY11" s="114"/>
      <c r="RBZ11" s="114"/>
      <c r="RCA11" s="114"/>
      <c r="RCB11" s="114"/>
      <c r="RCC11" s="114"/>
      <c r="RCD11" s="114"/>
      <c r="RCE11" s="114"/>
      <c r="RCF11" s="114"/>
      <c r="RCG11" s="114"/>
      <c r="RCH11" s="114"/>
      <c r="RCI11" s="114"/>
      <c r="RCJ11" s="114"/>
      <c r="RCK11" s="114"/>
      <c r="RCL11" s="114"/>
      <c r="RCM11" s="114"/>
      <c r="RCN11" s="114"/>
      <c r="RCO11" s="114"/>
      <c r="RCP11" s="114"/>
      <c r="RCQ11" s="114"/>
      <c r="RCR11" s="114"/>
      <c r="RCS11" s="114"/>
      <c r="RCT11" s="114"/>
      <c r="RCU11" s="114"/>
      <c r="RCV11" s="114"/>
      <c r="RCW11" s="114"/>
      <c r="RCX11" s="114"/>
      <c r="RCY11" s="114"/>
      <c r="RCZ11" s="114"/>
      <c r="RDA11" s="114"/>
      <c r="RDB11" s="114"/>
      <c r="RDC11" s="114"/>
      <c r="RDD11" s="114"/>
      <c r="RDE11" s="114"/>
      <c r="RDF11" s="114"/>
      <c r="RDG11" s="114"/>
      <c r="RDH11" s="114"/>
      <c r="RDI11" s="114"/>
      <c r="RDJ11" s="114"/>
      <c r="RDK11" s="114"/>
      <c r="RDL11" s="114"/>
      <c r="RDM11" s="114"/>
      <c r="RDN11" s="114"/>
      <c r="RDO11" s="114"/>
      <c r="RDP11" s="114"/>
      <c r="RDQ11" s="114"/>
      <c r="RDR11" s="114"/>
      <c r="RDS11" s="114"/>
      <c r="RDT11" s="114"/>
      <c r="RDU11" s="114"/>
      <c r="RDV11" s="114"/>
      <c r="RDW11" s="114"/>
      <c r="RDX11" s="114"/>
      <c r="RDY11" s="114"/>
      <c r="RDZ11" s="114"/>
      <c r="REA11" s="114"/>
      <c r="REB11" s="114"/>
      <c r="REC11" s="114"/>
      <c r="RED11" s="114"/>
      <c r="REE11" s="114"/>
      <c r="REF11" s="114"/>
      <c r="REG11" s="114"/>
      <c r="REH11" s="114"/>
      <c r="REI11" s="114"/>
      <c r="REJ11" s="114"/>
      <c r="REK11" s="114"/>
      <c r="REL11" s="114"/>
      <c r="REM11" s="114"/>
      <c r="REN11" s="114"/>
      <c r="REO11" s="114"/>
      <c r="REP11" s="114"/>
      <c r="REQ11" s="114"/>
      <c r="RER11" s="114"/>
      <c r="RES11" s="114"/>
      <c r="RET11" s="114"/>
      <c r="REU11" s="114"/>
      <c r="REV11" s="114"/>
      <c r="REW11" s="114"/>
      <c r="REX11" s="114"/>
      <c r="REY11" s="114"/>
      <c r="REZ11" s="114"/>
      <c r="RFA11" s="114"/>
      <c r="RFB11" s="114"/>
      <c r="RFC11" s="114"/>
      <c r="RFD11" s="114"/>
      <c r="RFE11" s="114"/>
      <c r="RFF11" s="114"/>
      <c r="RFG11" s="114"/>
      <c r="RFH11" s="114"/>
      <c r="RFI11" s="114"/>
      <c r="RFJ11" s="114"/>
      <c r="RFK11" s="114"/>
      <c r="RFL11" s="114"/>
      <c r="RFM11" s="114"/>
      <c r="RFN11" s="114"/>
      <c r="RFO11" s="114"/>
      <c r="RFP11" s="114"/>
      <c r="RFQ11" s="114"/>
      <c r="RFR11" s="114"/>
      <c r="RFS11" s="114"/>
      <c r="RFT11" s="114"/>
      <c r="RFU11" s="114"/>
      <c r="RFV11" s="114"/>
      <c r="RFW11" s="114"/>
      <c r="RFX11" s="114"/>
      <c r="RFY11" s="114"/>
      <c r="RFZ11" s="114"/>
      <c r="RGA11" s="114"/>
      <c r="RGB11" s="114"/>
      <c r="RGC11" s="114"/>
      <c r="RGD11" s="114"/>
      <c r="RGE11" s="114"/>
      <c r="RGF11" s="114"/>
      <c r="RGG11" s="114"/>
      <c r="RGH11" s="114"/>
      <c r="RGI11" s="114"/>
      <c r="RGJ11" s="114"/>
      <c r="RGK11" s="114"/>
      <c r="RGL11" s="114"/>
      <c r="RGM11" s="114"/>
      <c r="RGN11" s="114"/>
      <c r="RGO11" s="114"/>
      <c r="RGP11" s="114"/>
      <c r="RGQ11" s="114"/>
      <c r="RGR11" s="114"/>
      <c r="RGS11" s="114"/>
      <c r="RGT11" s="114"/>
      <c r="RGU11" s="114"/>
      <c r="RGV11" s="114"/>
      <c r="RGW11" s="114"/>
      <c r="RGX11" s="114"/>
      <c r="RGY11" s="114"/>
      <c r="RGZ11" s="114"/>
      <c r="RHA11" s="114"/>
      <c r="RHB11" s="114"/>
      <c r="RHC11" s="114"/>
      <c r="RHD11" s="114"/>
      <c r="RHE11" s="114"/>
      <c r="RHF11" s="114"/>
      <c r="RHG11" s="114"/>
      <c r="RHH11" s="114"/>
      <c r="RHI11" s="114"/>
      <c r="RHJ11" s="114"/>
      <c r="RHK11" s="114"/>
      <c r="RHL11" s="114"/>
      <c r="RHM11" s="114"/>
      <c r="RHN11" s="114"/>
      <c r="RHO11" s="114"/>
      <c r="RHP11" s="114"/>
      <c r="RHQ11" s="114"/>
      <c r="RHR11" s="114"/>
      <c r="RHS11" s="114"/>
      <c r="RHT11" s="114"/>
      <c r="RHU11" s="114"/>
      <c r="RHV11" s="114"/>
      <c r="RHW11" s="114"/>
      <c r="RHX11" s="114"/>
      <c r="RHY11" s="114"/>
      <c r="RHZ11" s="114"/>
      <c r="RIA11" s="114"/>
      <c r="RIB11" s="114"/>
      <c r="RIC11" s="114"/>
      <c r="RID11" s="114"/>
      <c r="RIE11" s="114"/>
      <c r="RIF11" s="114"/>
      <c r="RIG11" s="114"/>
      <c r="RIH11" s="114"/>
      <c r="RII11" s="114"/>
      <c r="RIJ11" s="114"/>
      <c r="RIK11" s="114"/>
      <c r="RIL11" s="114"/>
      <c r="RIM11" s="114"/>
      <c r="RIN11" s="114"/>
      <c r="RIO11" s="114"/>
      <c r="RIP11" s="114"/>
      <c r="RIQ11" s="114"/>
      <c r="RIR11" s="114"/>
      <c r="RIS11" s="114"/>
      <c r="RIT11" s="114"/>
      <c r="RIU11" s="114"/>
      <c r="RIV11" s="114"/>
      <c r="RIW11" s="114"/>
      <c r="RIX11" s="114"/>
      <c r="RIY11" s="114"/>
      <c r="RIZ11" s="114"/>
      <c r="RJA11" s="114"/>
      <c r="RJB11" s="114"/>
      <c r="RJC11" s="114"/>
      <c r="RJD11" s="114"/>
      <c r="RJE11" s="114"/>
      <c r="RJF11" s="114"/>
      <c r="RJG11" s="114"/>
      <c r="RJH11" s="114"/>
      <c r="RJI11" s="114"/>
      <c r="RJJ11" s="114"/>
      <c r="RJK11" s="114"/>
      <c r="RJL11" s="114"/>
      <c r="RJM11" s="114"/>
      <c r="RJN11" s="114"/>
      <c r="RJO11" s="114"/>
      <c r="RJP11" s="114"/>
      <c r="RJQ11" s="114"/>
      <c r="RJR11" s="114"/>
      <c r="RJS11" s="114"/>
      <c r="RJT11" s="114"/>
      <c r="RJU11" s="114"/>
      <c r="RJV11" s="114"/>
      <c r="RJW11" s="114"/>
      <c r="RJX11" s="114"/>
      <c r="RJY11" s="114"/>
      <c r="RJZ11" s="114"/>
      <c r="RKA11" s="114"/>
      <c r="RKB11" s="114"/>
      <c r="RKC11" s="114"/>
      <c r="RKD11" s="114"/>
      <c r="RKE11" s="114"/>
      <c r="RKF11" s="114"/>
      <c r="RKG11" s="114"/>
      <c r="RKH11" s="114"/>
      <c r="RKI11" s="114"/>
      <c r="RKJ11" s="114"/>
      <c r="RKK11" s="114"/>
      <c r="RKL11" s="114"/>
      <c r="RKM11" s="114"/>
      <c r="RKN11" s="114"/>
      <c r="RKO11" s="114"/>
      <c r="RKP11" s="114"/>
      <c r="RKQ11" s="114"/>
      <c r="RKR11" s="114"/>
      <c r="RKS11" s="114"/>
      <c r="RKT11" s="114"/>
      <c r="RKU11" s="114"/>
      <c r="RKV11" s="114"/>
      <c r="RKW11" s="114"/>
      <c r="RKX11" s="114"/>
      <c r="RKY11" s="114"/>
      <c r="RKZ11" s="114"/>
      <c r="RLA11" s="114"/>
      <c r="RLB11" s="114"/>
      <c r="RLC11" s="114"/>
      <c r="RLD11" s="114"/>
      <c r="RLE11" s="114"/>
      <c r="RLF11" s="114"/>
      <c r="RLG11" s="114"/>
      <c r="RLH11" s="114"/>
      <c r="RLI11" s="114"/>
      <c r="RLJ11" s="114"/>
      <c r="RLK11" s="114"/>
      <c r="RLL11" s="114"/>
      <c r="RLM11" s="114"/>
      <c r="RLN11" s="114"/>
      <c r="RLO11" s="114"/>
      <c r="RLP11" s="114"/>
      <c r="RLQ11" s="114"/>
      <c r="RLR11" s="114"/>
      <c r="RLS11" s="114"/>
      <c r="RLT11" s="114"/>
      <c r="RLU11" s="114"/>
      <c r="RLV11" s="114"/>
      <c r="RLW11" s="114"/>
      <c r="RLX11" s="114"/>
      <c r="RLY11" s="114"/>
      <c r="RLZ11" s="114"/>
      <c r="RMA11" s="114"/>
      <c r="RMB11" s="114"/>
      <c r="RMC11" s="114"/>
      <c r="RMD11" s="114"/>
      <c r="RME11" s="114"/>
      <c r="RMF11" s="114"/>
      <c r="RMG11" s="114"/>
      <c r="RMH11" s="114"/>
      <c r="RMI11" s="114"/>
      <c r="RMJ11" s="114"/>
      <c r="RMK11" s="114"/>
      <c r="RML11" s="114"/>
      <c r="RMM11" s="114"/>
      <c r="RMN11" s="114"/>
      <c r="RMO11" s="114"/>
      <c r="RMP11" s="114"/>
      <c r="RMQ11" s="114"/>
      <c r="RMR11" s="114"/>
      <c r="RMS11" s="114"/>
      <c r="RMT11" s="114"/>
      <c r="RMU11" s="114"/>
      <c r="RMV11" s="114"/>
      <c r="RMW11" s="114"/>
      <c r="RMX11" s="114"/>
      <c r="RMY11" s="114"/>
      <c r="RMZ11" s="114"/>
      <c r="RNA11" s="114"/>
      <c r="RNB11" s="114"/>
      <c r="RNC11" s="114"/>
      <c r="RND11" s="114"/>
      <c r="RNE11" s="114"/>
      <c r="RNF11" s="114"/>
      <c r="RNG11" s="114"/>
      <c r="RNH11" s="114"/>
      <c r="RNI11" s="114"/>
      <c r="RNJ11" s="114"/>
      <c r="RNK11" s="114"/>
      <c r="RNL11" s="114"/>
      <c r="RNM11" s="114"/>
      <c r="RNN11" s="114"/>
      <c r="RNO11" s="114"/>
      <c r="RNP11" s="114"/>
      <c r="RNQ11" s="114"/>
      <c r="RNR11" s="114"/>
      <c r="RNS11" s="114"/>
      <c r="RNT11" s="114"/>
      <c r="RNU11" s="114"/>
      <c r="RNV11" s="114"/>
      <c r="RNW11" s="114"/>
      <c r="RNX11" s="114"/>
      <c r="RNY11" s="114"/>
      <c r="RNZ11" s="114"/>
      <c r="ROA11" s="114"/>
      <c r="ROB11" s="114"/>
      <c r="ROC11" s="114"/>
      <c r="ROD11" s="114"/>
      <c r="ROE11" s="114"/>
      <c r="ROF11" s="114"/>
      <c r="ROG11" s="114"/>
      <c r="ROH11" s="114"/>
      <c r="ROI11" s="114"/>
      <c r="ROJ11" s="114"/>
      <c r="ROK11" s="114"/>
      <c r="ROL11" s="114"/>
      <c r="ROM11" s="114"/>
      <c r="RON11" s="114"/>
      <c r="ROO11" s="114"/>
      <c r="ROP11" s="114"/>
      <c r="ROQ11" s="114"/>
      <c r="ROR11" s="114"/>
      <c r="ROS11" s="114"/>
      <c r="ROT11" s="114"/>
      <c r="ROU11" s="114"/>
      <c r="ROV11" s="114"/>
      <c r="ROW11" s="114"/>
      <c r="ROX11" s="114"/>
      <c r="ROY11" s="114"/>
      <c r="ROZ11" s="114"/>
      <c r="RPA11" s="114"/>
      <c r="RPB11" s="114"/>
      <c r="RPC11" s="114"/>
      <c r="RPD11" s="114"/>
      <c r="RPE11" s="114"/>
      <c r="RPF11" s="114"/>
      <c r="RPG11" s="114"/>
      <c r="RPH11" s="114"/>
      <c r="RPI11" s="114"/>
      <c r="RPJ11" s="114"/>
      <c r="RPK11" s="114"/>
      <c r="RPL11" s="114"/>
      <c r="RPM11" s="114"/>
      <c r="RPN11" s="114"/>
      <c r="RPO11" s="114"/>
      <c r="RPP11" s="114"/>
      <c r="RPQ11" s="114"/>
      <c r="RPR11" s="114"/>
      <c r="RPS11" s="114"/>
      <c r="RPT11" s="114"/>
      <c r="RPU11" s="114"/>
      <c r="RPV11" s="114"/>
      <c r="RPW11" s="114"/>
      <c r="RPX11" s="114"/>
      <c r="RPY11" s="114"/>
      <c r="RPZ11" s="114"/>
      <c r="RQA11" s="114"/>
      <c r="RQB11" s="114"/>
      <c r="RQC11" s="114"/>
      <c r="RQD11" s="114"/>
      <c r="RQE11" s="114"/>
      <c r="RQF11" s="114"/>
      <c r="RQG11" s="114"/>
      <c r="RQH11" s="114"/>
      <c r="RQI11" s="114"/>
      <c r="RQJ11" s="114"/>
      <c r="RQK11" s="114"/>
      <c r="RQL11" s="114"/>
      <c r="RQM11" s="114"/>
      <c r="RQN11" s="114"/>
      <c r="RQO11" s="114"/>
      <c r="RQP11" s="114"/>
      <c r="RQQ11" s="114"/>
      <c r="RQR11" s="114"/>
      <c r="RQS11" s="114"/>
      <c r="RQT11" s="114"/>
      <c r="RQU11" s="114"/>
      <c r="RQV11" s="114"/>
      <c r="RQW11" s="114"/>
      <c r="RQX11" s="114"/>
      <c r="RQY11" s="114"/>
      <c r="RQZ11" s="114"/>
      <c r="RRA11" s="114"/>
      <c r="RRB11" s="114"/>
      <c r="RRC11" s="114"/>
      <c r="RRD11" s="114"/>
      <c r="RRE11" s="114"/>
      <c r="RRF11" s="114"/>
      <c r="RRG11" s="114"/>
      <c r="RRH11" s="114"/>
      <c r="RRI11" s="114"/>
      <c r="RRJ11" s="114"/>
      <c r="RRK11" s="114"/>
      <c r="RRL11" s="114"/>
      <c r="RRM11" s="114"/>
      <c r="RRN11" s="114"/>
      <c r="RRO11" s="114"/>
      <c r="RRP11" s="114"/>
      <c r="RRQ11" s="114"/>
      <c r="RRR11" s="114"/>
      <c r="RRS11" s="114"/>
      <c r="RRT11" s="114"/>
      <c r="RRU11" s="114"/>
      <c r="RRV11" s="114"/>
      <c r="RRW11" s="114"/>
      <c r="RRX11" s="114"/>
      <c r="RRY11" s="114"/>
      <c r="RRZ11" s="114"/>
      <c r="RSA11" s="114"/>
      <c r="RSB11" s="114"/>
      <c r="RSC11" s="114"/>
      <c r="RSD11" s="114"/>
      <c r="RSE11" s="114"/>
      <c r="RSF11" s="114"/>
      <c r="RSG11" s="114"/>
      <c r="RSH11" s="114"/>
      <c r="RSI11" s="114"/>
      <c r="RSJ11" s="114"/>
      <c r="RSK11" s="114"/>
      <c r="RSL11" s="114"/>
      <c r="RSM11" s="114"/>
      <c r="RSN11" s="114"/>
      <c r="RSO11" s="114"/>
      <c r="RSP11" s="114"/>
      <c r="RSQ11" s="114"/>
      <c r="RSR11" s="114"/>
      <c r="RSS11" s="114"/>
      <c r="RST11" s="114"/>
      <c r="RSU11" s="114"/>
      <c r="RSV11" s="114"/>
      <c r="RSW11" s="114"/>
      <c r="RSX11" s="114"/>
      <c r="RSY11" s="114"/>
      <c r="RSZ11" s="114"/>
      <c r="RTA11" s="114"/>
      <c r="RTB11" s="114"/>
      <c r="RTC11" s="114"/>
      <c r="RTD11" s="114"/>
      <c r="RTE11" s="114"/>
      <c r="RTF11" s="114"/>
      <c r="RTG11" s="114"/>
      <c r="RTH11" s="114"/>
      <c r="RTI11" s="114"/>
      <c r="RTJ11" s="114"/>
      <c r="RTK11" s="114"/>
      <c r="RTL11" s="114"/>
      <c r="RTM11" s="114"/>
      <c r="RTN11" s="114"/>
      <c r="RTO11" s="114"/>
      <c r="RTP11" s="114"/>
      <c r="RTQ11" s="114"/>
      <c r="RTR11" s="114"/>
      <c r="RTS11" s="114"/>
      <c r="RTT11" s="114"/>
      <c r="RTU11" s="114"/>
      <c r="RTV11" s="114"/>
      <c r="RTW11" s="114"/>
      <c r="RTX11" s="114"/>
      <c r="RTY11" s="114"/>
      <c r="RTZ11" s="114"/>
      <c r="RUA11" s="114"/>
      <c r="RUB11" s="114"/>
      <c r="RUC11" s="114"/>
      <c r="RUD11" s="114"/>
      <c r="RUE11" s="114"/>
      <c r="RUF11" s="114"/>
      <c r="RUG11" s="114"/>
      <c r="RUH11" s="114"/>
      <c r="RUI11" s="114"/>
      <c r="RUJ11" s="114"/>
      <c r="RUK11" s="114"/>
      <c r="RUL11" s="114"/>
      <c r="RUM11" s="114"/>
      <c r="RUN11" s="114"/>
      <c r="RUO11" s="114"/>
      <c r="RUP11" s="114"/>
      <c r="RUQ11" s="114"/>
      <c r="RUR11" s="114"/>
      <c r="RUS11" s="114"/>
      <c r="RUT11" s="114"/>
      <c r="RUU11" s="114"/>
      <c r="RUV11" s="114"/>
      <c r="RUW11" s="114"/>
      <c r="RUX11" s="114"/>
      <c r="RUY11" s="114"/>
      <c r="RUZ11" s="114"/>
      <c r="RVA11" s="114"/>
      <c r="RVB11" s="114"/>
      <c r="RVC11" s="114"/>
      <c r="RVD11" s="114"/>
      <c r="RVE11" s="114"/>
      <c r="RVF11" s="114"/>
      <c r="RVG11" s="114"/>
      <c r="RVH11" s="114"/>
      <c r="RVI11" s="114"/>
      <c r="RVJ11" s="114"/>
      <c r="RVK11" s="114"/>
      <c r="RVL11" s="114"/>
      <c r="RVM11" s="114"/>
      <c r="RVN11" s="114"/>
      <c r="RVO11" s="114"/>
      <c r="RVP11" s="114"/>
      <c r="RVQ11" s="114"/>
      <c r="RVR11" s="114"/>
      <c r="RVS11" s="114"/>
      <c r="RVT11" s="114"/>
      <c r="RVU11" s="114"/>
      <c r="RVV11" s="114"/>
      <c r="RVW11" s="114"/>
      <c r="RVX11" s="114"/>
      <c r="RVY11" s="114"/>
      <c r="RVZ11" s="114"/>
      <c r="RWA11" s="114"/>
      <c r="RWB11" s="114"/>
      <c r="RWC11" s="114"/>
      <c r="RWD11" s="114"/>
      <c r="RWE11" s="114"/>
      <c r="RWF11" s="114"/>
      <c r="RWG11" s="114"/>
      <c r="RWH11" s="114"/>
      <c r="RWI11" s="114"/>
      <c r="RWJ11" s="114"/>
      <c r="RWK11" s="114"/>
      <c r="RWL11" s="114"/>
      <c r="RWM11" s="114"/>
      <c r="RWN11" s="114"/>
      <c r="RWO11" s="114"/>
      <c r="RWP11" s="114"/>
      <c r="RWQ11" s="114"/>
      <c r="RWR11" s="114"/>
      <c r="RWS11" s="114"/>
      <c r="RWT11" s="114"/>
      <c r="RWU11" s="114"/>
      <c r="RWV11" s="114"/>
      <c r="RWW11" s="114"/>
      <c r="RWX11" s="114"/>
      <c r="RWY11" s="114"/>
      <c r="RWZ11" s="114"/>
      <c r="RXA11" s="114"/>
      <c r="RXB11" s="114"/>
      <c r="RXC11" s="114"/>
      <c r="RXD11" s="114"/>
      <c r="RXE11" s="114"/>
      <c r="RXF11" s="114"/>
      <c r="RXG11" s="114"/>
      <c r="RXH11" s="114"/>
      <c r="RXI11" s="114"/>
      <c r="RXJ11" s="114"/>
      <c r="RXK11" s="114"/>
      <c r="RXL11" s="114"/>
      <c r="RXM11" s="114"/>
      <c r="RXN11" s="114"/>
      <c r="RXO11" s="114"/>
      <c r="RXP11" s="114"/>
      <c r="RXQ11" s="114"/>
      <c r="RXR11" s="114"/>
      <c r="RXS11" s="114"/>
      <c r="RXT11" s="114"/>
      <c r="RXU11" s="114"/>
      <c r="RXV11" s="114"/>
      <c r="RXW11" s="114"/>
      <c r="RXX11" s="114"/>
      <c r="RXY11" s="114"/>
      <c r="RXZ11" s="114"/>
      <c r="RYA11" s="114"/>
      <c r="RYB11" s="114"/>
      <c r="RYC11" s="114"/>
      <c r="RYD11" s="114"/>
      <c r="RYE11" s="114"/>
      <c r="RYF11" s="114"/>
      <c r="RYG11" s="114"/>
      <c r="RYH11" s="114"/>
      <c r="RYI11" s="114"/>
      <c r="RYJ11" s="114"/>
      <c r="RYK11" s="114"/>
      <c r="RYL11" s="114"/>
      <c r="RYM11" s="114"/>
      <c r="RYN11" s="114"/>
      <c r="RYO11" s="114"/>
      <c r="RYP11" s="114"/>
      <c r="RYQ11" s="114"/>
      <c r="RYR11" s="114"/>
      <c r="RYS11" s="114"/>
      <c r="RYT11" s="114"/>
      <c r="RYU11" s="114"/>
      <c r="RYV11" s="114"/>
      <c r="RYW11" s="114"/>
      <c r="RYX11" s="114"/>
      <c r="RYY11" s="114"/>
      <c r="RYZ11" s="114"/>
      <c r="RZA11" s="114"/>
      <c r="RZB11" s="114"/>
      <c r="RZC11" s="114"/>
      <c r="RZD11" s="114"/>
      <c r="RZE11" s="114"/>
      <c r="RZF11" s="114"/>
      <c r="RZG11" s="114"/>
      <c r="RZH11" s="114"/>
      <c r="RZI11" s="114"/>
      <c r="RZJ11" s="114"/>
      <c r="RZK11" s="114"/>
      <c r="RZL11" s="114"/>
      <c r="RZM11" s="114"/>
      <c r="RZN11" s="114"/>
      <c r="RZO11" s="114"/>
      <c r="RZP11" s="114"/>
      <c r="RZQ11" s="114"/>
      <c r="RZR11" s="114"/>
      <c r="RZS11" s="114"/>
      <c r="RZT11" s="114"/>
      <c r="RZU11" s="114"/>
      <c r="RZV11" s="114"/>
      <c r="RZW11" s="114"/>
      <c r="RZX11" s="114"/>
      <c r="RZY11" s="114"/>
      <c r="RZZ11" s="114"/>
      <c r="SAA11" s="114"/>
      <c r="SAB11" s="114"/>
      <c r="SAC11" s="114"/>
      <c r="SAD11" s="114"/>
      <c r="SAE11" s="114"/>
      <c r="SAF11" s="114"/>
      <c r="SAG11" s="114"/>
      <c r="SAH11" s="114"/>
      <c r="SAI11" s="114"/>
      <c r="SAJ11" s="114"/>
      <c r="SAK11" s="114"/>
      <c r="SAL11" s="114"/>
      <c r="SAM11" s="114"/>
      <c r="SAN11" s="114"/>
      <c r="SAO11" s="114"/>
      <c r="SAP11" s="114"/>
      <c r="SAQ11" s="114"/>
      <c r="SAR11" s="114"/>
      <c r="SAS11" s="114"/>
      <c r="SAT11" s="114"/>
      <c r="SAU11" s="114"/>
      <c r="SAV11" s="114"/>
      <c r="SAW11" s="114"/>
      <c r="SAX11" s="114"/>
      <c r="SAY11" s="114"/>
      <c r="SAZ11" s="114"/>
      <c r="SBA11" s="114"/>
      <c r="SBB11" s="114"/>
      <c r="SBC11" s="114"/>
      <c r="SBD11" s="114"/>
      <c r="SBE11" s="114"/>
      <c r="SBF11" s="114"/>
      <c r="SBG11" s="114"/>
      <c r="SBH11" s="114"/>
      <c r="SBI11" s="114"/>
      <c r="SBJ11" s="114"/>
      <c r="SBK11" s="114"/>
      <c r="SBL11" s="114"/>
      <c r="SBM11" s="114"/>
      <c r="SBN11" s="114"/>
      <c r="SBO11" s="114"/>
      <c r="SBP11" s="114"/>
      <c r="SBQ11" s="114"/>
      <c r="SBR11" s="114"/>
      <c r="SBS11" s="114"/>
      <c r="SBT11" s="114"/>
      <c r="SBU11" s="114"/>
      <c r="SBV11" s="114"/>
      <c r="SBW11" s="114"/>
      <c r="SBX11" s="114"/>
      <c r="SBY11" s="114"/>
      <c r="SBZ11" s="114"/>
      <c r="SCA11" s="114"/>
      <c r="SCB11" s="114"/>
      <c r="SCC11" s="114"/>
      <c r="SCD11" s="114"/>
      <c r="SCE11" s="114"/>
      <c r="SCF11" s="114"/>
      <c r="SCG11" s="114"/>
      <c r="SCH11" s="114"/>
      <c r="SCI11" s="114"/>
      <c r="SCJ11" s="114"/>
      <c r="SCK11" s="114"/>
      <c r="SCL11" s="114"/>
      <c r="SCM11" s="114"/>
      <c r="SCN11" s="114"/>
      <c r="SCO11" s="114"/>
      <c r="SCP11" s="114"/>
      <c r="SCQ11" s="114"/>
      <c r="SCR11" s="114"/>
      <c r="SCS11" s="114"/>
      <c r="SCT11" s="114"/>
      <c r="SCU11" s="114"/>
      <c r="SCV11" s="114"/>
      <c r="SCW11" s="114"/>
      <c r="SCX11" s="114"/>
      <c r="SCY11" s="114"/>
      <c r="SCZ11" s="114"/>
      <c r="SDA11" s="114"/>
      <c r="SDB11" s="114"/>
      <c r="SDC11" s="114"/>
      <c r="SDD11" s="114"/>
      <c r="SDE11" s="114"/>
      <c r="SDF11" s="114"/>
      <c r="SDG11" s="114"/>
      <c r="SDH11" s="114"/>
      <c r="SDI11" s="114"/>
      <c r="SDJ11" s="114"/>
      <c r="SDK11" s="114"/>
      <c r="SDL11" s="114"/>
      <c r="SDM11" s="114"/>
      <c r="SDN11" s="114"/>
      <c r="SDO11" s="114"/>
      <c r="SDP11" s="114"/>
      <c r="SDQ11" s="114"/>
      <c r="SDR11" s="114"/>
      <c r="SDS11" s="114"/>
      <c r="SDT11" s="114"/>
      <c r="SDU11" s="114"/>
      <c r="SDV11" s="114"/>
      <c r="SDW11" s="114"/>
      <c r="SDX11" s="114"/>
      <c r="SDY11" s="114"/>
      <c r="SDZ11" s="114"/>
      <c r="SEA11" s="114"/>
      <c r="SEB11" s="114"/>
      <c r="SEC11" s="114"/>
      <c r="SED11" s="114"/>
      <c r="SEE11" s="114"/>
      <c r="SEF11" s="114"/>
      <c r="SEG11" s="114"/>
      <c r="SEH11" s="114"/>
      <c r="SEI11" s="114"/>
      <c r="SEJ11" s="114"/>
      <c r="SEK11" s="114"/>
      <c r="SEL11" s="114"/>
      <c r="SEM11" s="114"/>
      <c r="SEN11" s="114"/>
      <c r="SEO11" s="114"/>
      <c r="SEP11" s="114"/>
      <c r="SEQ11" s="114"/>
      <c r="SER11" s="114"/>
      <c r="SES11" s="114"/>
      <c r="SET11" s="114"/>
      <c r="SEU11" s="114"/>
      <c r="SEV11" s="114"/>
      <c r="SEW11" s="114"/>
      <c r="SEX11" s="114"/>
      <c r="SEY11" s="114"/>
      <c r="SEZ11" s="114"/>
      <c r="SFA11" s="114"/>
      <c r="SFB11" s="114"/>
      <c r="SFC11" s="114"/>
      <c r="SFD11" s="114"/>
      <c r="SFE11" s="114"/>
      <c r="SFF11" s="114"/>
      <c r="SFG11" s="114"/>
      <c r="SFH11" s="114"/>
      <c r="SFI11" s="114"/>
      <c r="SFJ11" s="114"/>
      <c r="SFK11" s="114"/>
      <c r="SFL11" s="114"/>
      <c r="SFM11" s="114"/>
      <c r="SFN11" s="114"/>
      <c r="SFO11" s="114"/>
      <c r="SFP11" s="114"/>
      <c r="SFQ11" s="114"/>
      <c r="SFR11" s="114"/>
      <c r="SFS11" s="114"/>
      <c r="SFT11" s="114"/>
      <c r="SFU11" s="114"/>
      <c r="SFV11" s="114"/>
      <c r="SFW11" s="114"/>
      <c r="SFX11" s="114"/>
      <c r="SFY11" s="114"/>
      <c r="SFZ11" s="114"/>
      <c r="SGA11" s="114"/>
      <c r="SGB11" s="114"/>
      <c r="SGC11" s="114"/>
      <c r="SGD11" s="114"/>
      <c r="SGE11" s="114"/>
      <c r="SGF11" s="114"/>
      <c r="SGG11" s="114"/>
      <c r="SGH11" s="114"/>
      <c r="SGI11" s="114"/>
      <c r="SGJ11" s="114"/>
      <c r="SGK11" s="114"/>
      <c r="SGL11" s="114"/>
      <c r="SGM11" s="114"/>
      <c r="SGN11" s="114"/>
      <c r="SGO11" s="114"/>
      <c r="SGP11" s="114"/>
      <c r="SGQ11" s="114"/>
      <c r="SGR11" s="114"/>
      <c r="SGS11" s="114"/>
      <c r="SGT11" s="114"/>
      <c r="SGU11" s="114"/>
      <c r="SGV11" s="114"/>
      <c r="SGW11" s="114"/>
      <c r="SGX11" s="114"/>
      <c r="SGY11" s="114"/>
      <c r="SGZ11" s="114"/>
      <c r="SHA11" s="114"/>
      <c r="SHB11" s="114"/>
      <c r="SHC11" s="114"/>
      <c r="SHD11" s="114"/>
      <c r="SHE11" s="114"/>
      <c r="SHF11" s="114"/>
      <c r="SHG11" s="114"/>
      <c r="SHH11" s="114"/>
      <c r="SHI11" s="114"/>
      <c r="SHJ11" s="114"/>
      <c r="SHK11" s="114"/>
      <c r="SHL11" s="114"/>
      <c r="SHM11" s="114"/>
      <c r="SHN11" s="114"/>
      <c r="SHO11" s="114"/>
      <c r="SHP11" s="114"/>
      <c r="SHQ11" s="114"/>
      <c r="SHR11" s="114"/>
      <c r="SHS11" s="114"/>
      <c r="SHT11" s="114"/>
      <c r="SHU11" s="114"/>
      <c r="SHV11" s="114"/>
      <c r="SHW11" s="114"/>
      <c r="SHX11" s="114"/>
      <c r="SHY11" s="114"/>
      <c r="SHZ11" s="114"/>
      <c r="SIA11" s="114"/>
      <c r="SIB11" s="114"/>
      <c r="SIC11" s="114"/>
      <c r="SID11" s="114"/>
      <c r="SIE11" s="114"/>
      <c r="SIF11" s="114"/>
      <c r="SIG11" s="114"/>
      <c r="SIH11" s="114"/>
      <c r="SII11" s="114"/>
      <c r="SIJ11" s="114"/>
      <c r="SIK11" s="114"/>
      <c r="SIL11" s="114"/>
      <c r="SIM11" s="114"/>
      <c r="SIN11" s="114"/>
      <c r="SIO11" s="114"/>
      <c r="SIP11" s="114"/>
      <c r="SIQ11" s="114"/>
      <c r="SIR11" s="114"/>
      <c r="SIS11" s="114"/>
      <c r="SIT11" s="114"/>
      <c r="SIU11" s="114"/>
      <c r="SIV11" s="114"/>
      <c r="SIW11" s="114"/>
      <c r="SIX11" s="114"/>
      <c r="SIY11" s="114"/>
      <c r="SIZ11" s="114"/>
      <c r="SJA11" s="114"/>
      <c r="SJB11" s="114"/>
      <c r="SJC11" s="114"/>
      <c r="SJD11" s="114"/>
      <c r="SJE11" s="114"/>
      <c r="SJF11" s="114"/>
      <c r="SJG11" s="114"/>
      <c r="SJH11" s="114"/>
      <c r="SJI11" s="114"/>
      <c r="SJJ11" s="114"/>
      <c r="SJK11" s="114"/>
      <c r="SJL11" s="114"/>
      <c r="SJM11" s="114"/>
      <c r="SJN11" s="114"/>
      <c r="SJO11" s="114"/>
      <c r="SJP11" s="114"/>
      <c r="SJQ11" s="114"/>
      <c r="SJR11" s="114"/>
      <c r="SJS11" s="114"/>
      <c r="SJT11" s="114"/>
      <c r="SJU11" s="114"/>
      <c r="SJV11" s="114"/>
      <c r="SJW11" s="114"/>
      <c r="SJX11" s="114"/>
      <c r="SJY11" s="114"/>
      <c r="SJZ11" s="114"/>
      <c r="SKA11" s="114"/>
      <c r="SKB11" s="114"/>
      <c r="SKC11" s="114"/>
      <c r="SKD11" s="114"/>
      <c r="SKE11" s="114"/>
      <c r="SKF11" s="114"/>
      <c r="SKG11" s="114"/>
      <c r="SKH11" s="114"/>
      <c r="SKI11" s="114"/>
      <c r="SKJ11" s="114"/>
      <c r="SKK11" s="114"/>
      <c r="SKL11" s="114"/>
      <c r="SKM11" s="114"/>
      <c r="SKN11" s="114"/>
      <c r="SKO11" s="114"/>
      <c r="SKP11" s="114"/>
      <c r="SKQ11" s="114"/>
      <c r="SKR11" s="114"/>
      <c r="SKS11" s="114"/>
      <c r="SKT11" s="114"/>
      <c r="SKU11" s="114"/>
      <c r="SKV11" s="114"/>
      <c r="SKW11" s="114"/>
      <c r="SKX11" s="114"/>
      <c r="SKY11" s="114"/>
      <c r="SKZ11" s="114"/>
      <c r="SLA11" s="114"/>
      <c r="SLB11" s="114"/>
      <c r="SLC11" s="114"/>
      <c r="SLD11" s="114"/>
      <c r="SLE11" s="114"/>
      <c r="SLF11" s="114"/>
      <c r="SLG11" s="114"/>
      <c r="SLH11" s="114"/>
      <c r="SLI11" s="114"/>
      <c r="SLJ11" s="114"/>
      <c r="SLK11" s="114"/>
      <c r="SLL11" s="114"/>
      <c r="SLM11" s="114"/>
      <c r="SLN11" s="114"/>
      <c r="SLO11" s="114"/>
      <c r="SLP11" s="114"/>
      <c r="SLQ11" s="114"/>
      <c r="SLR11" s="114"/>
      <c r="SLS11" s="114"/>
      <c r="SLT11" s="114"/>
      <c r="SLU11" s="114"/>
      <c r="SLV11" s="114"/>
      <c r="SLW11" s="114"/>
      <c r="SLX11" s="114"/>
      <c r="SLY11" s="114"/>
      <c r="SLZ11" s="114"/>
      <c r="SMA11" s="114"/>
      <c r="SMB11" s="114"/>
      <c r="SMC11" s="114"/>
      <c r="SMD11" s="114"/>
      <c r="SME11" s="114"/>
      <c r="SMF11" s="114"/>
      <c r="SMG11" s="114"/>
      <c r="SMH11" s="114"/>
      <c r="SMI11" s="114"/>
      <c r="SMJ11" s="114"/>
      <c r="SMK11" s="114"/>
      <c r="SML11" s="114"/>
      <c r="SMM11" s="114"/>
      <c r="SMN11" s="114"/>
      <c r="SMO11" s="114"/>
      <c r="SMP11" s="114"/>
      <c r="SMQ11" s="114"/>
      <c r="SMR11" s="114"/>
      <c r="SMS11" s="114"/>
      <c r="SMT11" s="114"/>
      <c r="SMU11" s="114"/>
      <c r="SMV11" s="114"/>
      <c r="SMW11" s="114"/>
      <c r="SMX11" s="114"/>
      <c r="SMY11" s="114"/>
      <c r="SMZ11" s="114"/>
      <c r="SNA11" s="114"/>
      <c r="SNB11" s="114"/>
      <c r="SNC11" s="114"/>
      <c r="SND11" s="114"/>
      <c r="SNE11" s="114"/>
      <c r="SNF11" s="114"/>
      <c r="SNG11" s="114"/>
      <c r="SNH11" s="114"/>
      <c r="SNI11" s="114"/>
      <c r="SNJ11" s="114"/>
      <c r="SNK11" s="114"/>
      <c r="SNL11" s="114"/>
      <c r="SNM11" s="114"/>
      <c r="SNN11" s="114"/>
      <c r="SNO11" s="114"/>
      <c r="SNP11" s="114"/>
      <c r="SNQ11" s="114"/>
      <c r="SNR11" s="114"/>
      <c r="SNS11" s="114"/>
      <c r="SNT11" s="114"/>
      <c r="SNU11" s="114"/>
      <c r="SNV11" s="114"/>
      <c r="SNW11" s="114"/>
      <c r="SNX11" s="114"/>
      <c r="SNY11" s="114"/>
      <c r="SNZ11" s="114"/>
      <c r="SOA11" s="114"/>
      <c r="SOB11" s="114"/>
      <c r="SOC11" s="114"/>
      <c r="SOD11" s="114"/>
      <c r="SOE11" s="114"/>
      <c r="SOF11" s="114"/>
      <c r="SOG11" s="114"/>
      <c r="SOH11" s="114"/>
      <c r="SOI11" s="114"/>
      <c r="SOJ11" s="114"/>
      <c r="SOK11" s="114"/>
      <c r="SOL11" s="114"/>
      <c r="SOM11" s="114"/>
      <c r="SON11" s="114"/>
      <c r="SOO11" s="114"/>
      <c r="SOP11" s="114"/>
      <c r="SOQ11" s="114"/>
      <c r="SOR11" s="114"/>
      <c r="SOS11" s="114"/>
      <c r="SOT11" s="114"/>
      <c r="SOU11" s="114"/>
      <c r="SOV11" s="114"/>
      <c r="SOW11" s="114"/>
      <c r="SOX11" s="114"/>
      <c r="SOY11" s="114"/>
      <c r="SOZ11" s="114"/>
      <c r="SPA11" s="114"/>
      <c r="SPB11" s="114"/>
      <c r="SPC11" s="114"/>
      <c r="SPD11" s="114"/>
      <c r="SPE11" s="114"/>
      <c r="SPF11" s="114"/>
      <c r="SPG11" s="114"/>
      <c r="SPH11" s="114"/>
      <c r="SPI11" s="114"/>
      <c r="SPJ11" s="114"/>
      <c r="SPK11" s="114"/>
      <c r="SPL11" s="114"/>
      <c r="SPM11" s="114"/>
      <c r="SPN11" s="114"/>
      <c r="SPO11" s="114"/>
      <c r="SPP11" s="114"/>
      <c r="SPQ11" s="114"/>
      <c r="SPR11" s="114"/>
      <c r="SPS11" s="114"/>
      <c r="SPT11" s="114"/>
      <c r="SPU11" s="114"/>
      <c r="SPV11" s="114"/>
      <c r="SPW11" s="114"/>
      <c r="SPX11" s="114"/>
      <c r="SPY11" s="114"/>
      <c r="SPZ11" s="114"/>
      <c r="SQA11" s="114"/>
      <c r="SQB11" s="114"/>
      <c r="SQC11" s="114"/>
      <c r="SQD11" s="114"/>
      <c r="SQE11" s="114"/>
      <c r="SQF11" s="114"/>
      <c r="SQG11" s="114"/>
      <c r="SQH11" s="114"/>
      <c r="SQI11" s="114"/>
      <c r="SQJ11" s="114"/>
      <c r="SQK11" s="114"/>
      <c r="SQL11" s="114"/>
      <c r="SQM11" s="114"/>
      <c r="SQN11" s="114"/>
      <c r="SQO11" s="114"/>
      <c r="SQP11" s="114"/>
      <c r="SQQ11" s="114"/>
      <c r="SQR11" s="114"/>
      <c r="SQS11" s="114"/>
      <c r="SQT11" s="114"/>
      <c r="SQU11" s="114"/>
      <c r="SQV11" s="114"/>
      <c r="SQW11" s="114"/>
      <c r="SQX11" s="114"/>
      <c r="SQY11" s="114"/>
      <c r="SQZ11" s="114"/>
      <c r="SRA11" s="114"/>
      <c r="SRB11" s="114"/>
      <c r="SRC11" s="114"/>
      <c r="SRD11" s="114"/>
      <c r="SRE11" s="114"/>
      <c r="SRF11" s="114"/>
      <c r="SRG11" s="114"/>
      <c r="SRH11" s="114"/>
      <c r="SRI11" s="114"/>
      <c r="SRJ11" s="114"/>
      <c r="SRK11" s="114"/>
      <c r="SRL11" s="114"/>
      <c r="SRM11" s="114"/>
      <c r="SRN11" s="114"/>
      <c r="SRO11" s="114"/>
      <c r="SRP11" s="114"/>
      <c r="SRQ11" s="114"/>
      <c r="SRR11" s="114"/>
      <c r="SRS11" s="114"/>
      <c r="SRT11" s="114"/>
      <c r="SRU11" s="114"/>
      <c r="SRV11" s="114"/>
      <c r="SRW11" s="114"/>
      <c r="SRX11" s="114"/>
      <c r="SRY11" s="114"/>
      <c r="SRZ11" s="114"/>
      <c r="SSA11" s="114"/>
      <c r="SSB11" s="114"/>
      <c r="SSC11" s="114"/>
      <c r="SSD11" s="114"/>
      <c r="SSE11" s="114"/>
      <c r="SSF11" s="114"/>
      <c r="SSG11" s="114"/>
      <c r="SSH11" s="114"/>
      <c r="SSI11" s="114"/>
      <c r="SSJ11" s="114"/>
      <c r="SSK11" s="114"/>
      <c r="SSL11" s="114"/>
      <c r="SSM11" s="114"/>
      <c r="SSN11" s="114"/>
      <c r="SSO11" s="114"/>
      <c r="SSP11" s="114"/>
      <c r="SSQ11" s="114"/>
      <c r="SSR11" s="114"/>
      <c r="SSS11" s="114"/>
      <c r="SST11" s="114"/>
      <c r="SSU11" s="114"/>
      <c r="SSV11" s="114"/>
      <c r="SSW11" s="114"/>
      <c r="SSX11" s="114"/>
      <c r="SSY11" s="114"/>
      <c r="SSZ11" s="114"/>
      <c r="STA11" s="114"/>
      <c r="STB11" s="114"/>
      <c r="STC11" s="114"/>
      <c r="STD11" s="114"/>
      <c r="STE11" s="114"/>
      <c r="STF11" s="114"/>
      <c r="STG11" s="114"/>
      <c r="STH11" s="114"/>
      <c r="STI11" s="114"/>
      <c r="STJ11" s="114"/>
      <c r="STK11" s="114"/>
      <c r="STL11" s="114"/>
      <c r="STM11" s="114"/>
      <c r="STN11" s="114"/>
      <c r="STO11" s="114"/>
      <c r="STP11" s="114"/>
      <c r="STQ11" s="114"/>
      <c r="STR11" s="114"/>
      <c r="STS11" s="114"/>
      <c r="STT11" s="114"/>
      <c r="STU11" s="114"/>
      <c r="STV11" s="114"/>
      <c r="STW11" s="114"/>
      <c r="STX11" s="114"/>
      <c r="STY11" s="114"/>
      <c r="STZ11" s="114"/>
      <c r="SUA11" s="114"/>
      <c r="SUB11" s="114"/>
      <c r="SUC11" s="114"/>
      <c r="SUD11" s="114"/>
      <c r="SUE11" s="114"/>
      <c r="SUF11" s="114"/>
      <c r="SUG11" s="114"/>
      <c r="SUH11" s="114"/>
      <c r="SUI11" s="114"/>
      <c r="SUJ11" s="114"/>
      <c r="SUK11" s="114"/>
      <c r="SUL11" s="114"/>
      <c r="SUM11" s="114"/>
      <c r="SUN11" s="114"/>
      <c r="SUO11" s="114"/>
      <c r="SUP11" s="114"/>
      <c r="SUQ11" s="114"/>
      <c r="SUR11" s="114"/>
      <c r="SUS11" s="114"/>
      <c r="SUT11" s="114"/>
      <c r="SUU11" s="114"/>
      <c r="SUV11" s="114"/>
      <c r="SUW11" s="114"/>
      <c r="SUX11" s="114"/>
      <c r="SUY11" s="114"/>
      <c r="SUZ11" s="114"/>
      <c r="SVA11" s="114"/>
      <c r="SVB11" s="114"/>
      <c r="SVC11" s="114"/>
      <c r="SVD11" s="114"/>
      <c r="SVE11" s="114"/>
      <c r="SVF11" s="114"/>
      <c r="SVG11" s="114"/>
      <c r="SVH11" s="114"/>
      <c r="SVI11" s="114"/>
      <c r="SVJ11" s="114"/>
      <c r="SVK11" s="114"/>
      <c r="SVL11" s="114"/>
      <c r="SVM11" s="114"/>
      <c r="SVN11" s="114"/>
      <c r="SVO11" s="114"/>
      <c r="SVP11" s="114"/>
      <c r="SVQ11" s="114"/>
      <c r="SVR11" s="114"/>
      <c r="SVS11" s="114"/>
      <c r="SVT11" s="114"/>
      <c r="SVU11" s="114"/>
      <c r="SVV11" s="114"/>
      <c r="SVW11" s="114"/>
      <c r="SVX11" s="114"/>
      <c r="SVY11" s="114"/>
      <c r="SVZ11" s="114"/>
      <c r="SWA11" s="114"/>
      <c r="SWB11" s="114"/>
      <c r="SWC11" s="114"/>
      <c r="SWD11" s="114"/>
      <c r="SWE11" s="114"/>
      <c r="SWF11" s="114"/>
      <c r="SWG11" s="114"/>
      <c r="SWH11" s="114"/>
      <c r="SWI11" s="114"/>
      <c r="SWJ11" s="114"/>
      <c r="SWK11" s="114"/>
      <c r="SWL11" s="114"/>
      <c r="SWM11" s="114"/>
      <c r="SWN11" s="114"/>
      <c r="SWO11" s="114"/>
      <c r="SWP11" s="114"/>
      <c r="SWQ11" s="114"/>
      <c r="SWR11" s="114"/>
      <c r="SWS11" s="114"/>
      <c r="SWT11" s="114"/>
      <c r="SWU11" s="114"/>
      <c r="SWV11" s="114"/>
      <c r="SWW11" s="114"/>
      <c r="SWX11" s="114"/>
      <c r="SWY11" s="114"/>
      <c r="SWZ11" s="114"/>
      <c r="SXA11" s="114"/>
      <c r="SXB11" s="114"/>
      <c r="SXC11" s="114"/>
      <c r="SXD11" s="114"/>
      <c r="SXE11" s="114"/>
      <c r="SXF11" s="114"/>
      <c r="SXG11" s="114"/>
      <c r="SXH11" s="114"/>
      <c r="SXI11" s="114"/>
      <c r="SXJ11" s="114"/>
      <c r="SXK11" s="114"/>
      <c r="SXL11" s="114"/>
      <c r="SXM11" s="114"/>
      <c r="SXN11" s="114"/>
      <c r="SXO11" s="114"/>
      <c r="SXP11" s="114"/>
      <c r="SXQ11" s="114"/>
      <c r="SXR11" s="114"/>
      <c r="SXS11" s="114"/>
      <c r="SXT11" s="114"/>
      <c r="SXU11" s="114"/>
      <c r="SXV11" s="114"/>
      <c r="SXW11" s="114"/>
      <c r="SXX11" s="114"/>
      <c r="SXY11" s="114"/>
      <c r="SXZ11" s="114"/>
      <c r="SYA11" s="114"/>
      <c r="SYB11" s="114"/>
      <c r="SYC11" s="114"/>
      <c r="SYD11" s="114"/>
      <c r="SYE11" s="114"/>
      <c r="SYF11" s="114"/>
      <c r="SYG11" s="114"/>
      <c r="SYH11" s="114"/>
      <c r="SYI11" s="114"/>
      <c r="SYJ11" s="114"/>
      <c r="SYK11" s="114"/>
      <c r="SYL11" s="114"/>
      <c r="SYM11" s="114"/>
      <c r="SYN11" s="114"/>
      <c r="SYO11" s="114"/>
      <c r="SYP11" s="114"/>
      <c r="SYQ11" s="114"/>
      <c r="SYR11" s="114"/>
      <c r="SYS11" s="114"/>
      <c r="SYT11" s="114"/>
      <c r="SYU11" s="114"/>
      <c r="SYV11" s="114"/>
      <c r="SYW11" s="114"/>
      <c r="SYX11" s="114"/>
      <c r="SYY11" s="114"/>
      <c r="SYZ11" s="114"/>
      <c r="SZA11" s="114"/>
      <c r="SZB11" s="114"/>
      <c r="SZC11" s="114"/>
      <c r="SZD11" s="114"/>
      <c r="SZE11" s="114"/>
      <c r="SZF11" s="114"/>
      <c r="SZG11" s="114"/>
      <c r="SZH11" s="114"/>
      <c r="SZI11" s="114"/>
      <c r="SZJ11" s="114"/>
      <c r="SZK11" s="114"/>
      <c r="SZL11" s="114"/>
      <c r="SZM11" s="114"/>
      <c r="SZN11" s="114"/>
      <c r="SZO11" s="114"/>
      <c r="SZP11" s="114"/>
      <c r="SZQ11" s="114"/>
      <c r="SZR11" s="114"/>
      <c r="SZS11" s="114"/>
      <c r="SZT11" s="114"/>
      <c r="SZU11" s="114"/>
      <c r="SZV11" s="114"/>
      <c r="SZW11" s="114"/>
      <c r="SZX11" s="114"/>
      <c r="SZY11" s="114"/>
      <c r="SZZ11" s="114"/>
      <c r="TAA11" s="114"/>
      <c r="TAB11" s="114"/>
      <c r="TAC11" s="114"/>
      <c r="TAD11" s="114"/>
      <c r="TAE11" s="114"/>
      <c r="TAF11" s="114"/>
      <c r="TAG11" s="114"/>
      <c r="TAH11" s="114"/>
      <c r="TAI11" s="114"/>
      <c r="TAJ11" s="114"/>
      <c r="TAK11" s="114"/>
      <c r="TAL11" s="114"/>
      <c r="TAM11" s="114"/>
      <c r="TAN11" s="114"/>
      <c r="TAO11" s="114"/>
      <c r="TAP11" s="114"/>
      <c r="TAQ11" s="114"/>
      <c r="TAR11" s="114"/>
      <c r="TAS11" s="114"/>
      <c r="TAT11" s="114"/>
      <c r="TAU11" s="114"/>
      <c r="TAV11" s="114"/>
      <c r="TAW11" s="114"/>
      <c r="TAX11" s="114"/>
      <c r="TAY11" s="114"/>
      <c r="TAZ11" s="114"/>
      <c r="TBA11" s="114"/>
      <c r="TBB11" s="114"/>
      <c r="TBC11" s="114"/>
      <c r="TBD11" s="114"/>
      <c r="TBE11" s="114"/>
      <c r="TBF11" s="114"/>
      <c r="TBG11" s="114"/>
      <c r="TBH11" s="114"/>
      <c r="TBI11" s="114"/>
      <c r="TBJ11" s="114"/>
      <c r="TBK11" s="114"/>
      <c r="TBL11" s="114"/>
      <c r="TBM11" s="114"/>
      <c r="TBN11" s="114"/>
      <c r="TBO11" s="114"/>
      <c r="TBP11" s="114"/>
      <c r="TBQ11" s="114"/>
      <c r="TBR11" s="114"/>
      <c r="TBS11" s="114"/>
      <c r="TBT11" s="114"/>
      <c r="TBU11" s="114"/>
      <c r="TBV11" s="114"/>
      <c r="TBW11" s="114"/>
      <c r="TBX11" s="114"/>
      <c r="TBY11" s="114"/>
      <c r="TBZ11" s="114"/>
      <c r="TCA11" s="114"/>
      <c r="TCB11" s="114"/>
      <c r="TCC11" s="114"/>
      <c r="TCD11" s="114"/>
      <c r="TCE11" s="114"/>
      <c r="TCF11" s="114"/>
      <c r="TCG11" s="114"/>
      <c r="TCH11" s="114"/>
      <c r="TCI11" s="114"/>
      <c r="TCJ11" s="114"/>
      <c r="TCK11" s="114"/>
      <c r="TCL11" s="114"/>
      <c r="TCM11" s="114"/>
      <c r="TCN11" s="114"/>
      <c r="TCO11" s="114"/>
      <c r="TCP11" s="114"/>
      <c r="TCQ11" s="114"/>
      <c r="TCR11" s="114"/>
      <c r="TCS11" s="114"/>
      <c r="TCT11" s="114"/>
      <c r="TCU11" s="114"/>
      <c r="TCV11" s="114"/>
      <c r="TCW11" s="114"/>
      <c r="TCX11" s="114"/>
      <c r="TCY11" s="114"/>
      <c r="TCZ11" s="114"/>
      <c r="TDA11" s="114"/>
      <c r="TDB11" s="114"/>
      <c r="TDC11" s="114"/>
      <c r="TDD11" s="114"/>
      <c r="TDE11" s="114"/>
      <c r="TDF11" s="114"/>
      <c r="TDG11" s="114"/>
      <c r="TDH11" s="114"/>
      <c r="TDI11" s="114"/>
      <c r="TDJ11" s="114"/>
      <c r="TDK11" s="114"/>
      <c r="TDL11" s="114"/>
      <c r="TDM11" s="114"/>
      <c r="TDN11" s="114"/>
      <c r="TDO11" s="114"/>
      <c r="TDP11" s="114"/>
      <c r="TDQ11" s="114"/>
      <c r="TDR11" s="114"/>
      <c r="TDS11" s="114"/>
      <c r="TDT11" s="114"/>
      <c r="TDU11" s="114"/>
      <c r="TDV11" s="114"/>
      <c r="TDW11" s="114"/>
      <c r="TDX11" s="114"/>
      <c r="TDY11" s="114"/>
      <c r="TDZ11" s="114"/>
      <c r="TEA11" s="114"/>
      <c r="TEB11" s="114"/>
      <c r="TEC11" s="114"/>
      <c r="TED11" s="114"/>
      <c r="TEE11" s="114"/>
      <c r="TEF11" s="114"/>
      <c r="TEG11" s="114"/>
      <c r="TEH11" s="114"/>
      <c r="TEI11" s="114"/>
      <c r="TEJ11" s="114"/>
      <c r="TEK11" s="114"/>
      <c r="TEL11" s="114"/>
      <c r="TEM11" s="114"/>
      <c r="TEN11" s="114"/>
      <c r="TEO11" s="114"/>
      <c r="TEP11" s="114"/>
      <c r="TEQ11" s="114"/>
      <c r="TER11" s="114"/>
      <c r="TES11" s="114"/>
      <c r="TET11" s="114"/>
      <c r="TEU11" s="114"/>
      <c r="TEV11" s="114"/>
      <c r="TEW11" s="114"/>
      <c r="TEX11" s="114"/>
      <c r="TEY11" s="114"/>
      <c r="TEZ11" s="114"/>
      <c r="TFA11" s="114"/>
      <c r="TFB11" s="114"/>
      <c r="TFC11" s="114"/>
      <c r="TFD11" s="114"/>
      <c r="TFE11" s="114"/>
      <c r="TFF11" s="114"/>
      <c r="TFG11" s="114"/>
      <c r="TFH11" s="114"/>
      <c r="TFI11" s="114"/>
      <c r="TFJ11" s="114"/>
      <c r="TFK11" s="114"/>
      <c r="TFL11" s="114"/>
      <c r="TFM11" s="114"/>
      <c r="TFN11" s="114"/>
      <c r="TFO11" s="114"/>
      <c r="TFP11" s="114"/>
      <c r="TFQ11" s="114"/>
      <c r="TFR11" s="114"/>
      <c r="TFS11" s="114"/>
      <c r="TFT11" s="114"/>
      <c r="TFU11" s="114"/>
      <c r="TFV11" s="114"/>
      <c r="TFW11" s="114"/>
      <c r="TFX11" s="114"/>
      <c r="TFY11" s="114"/>
      <c r="TFZ11" s="114"/>
      <c r="TGA11" s="114"/>
      <c r="TGB11" s="114"/>
      <c r="TGC11" s="114"/>
      <c r="TGD11" s="114"/>
      <c r="TGE11" s="114"/>
      <c r="TGF11" s="114"/>
      <c r="TGG11" s="114"/>
      <c r="TGH11" s="114"/>
      <c r="TGI11" s="114"/>
      <c r="TGJ11" s="114"/>
      <c r="TGK11" s="114"/>
      <c r="TGL11" s="114"/>
      <c r="TGM11" s="114"/>
      <c r="TGN11" s="114"/>
      <c r="TGO11" s="114"/>
      <c r="TGP11" s="114"/>
      <c r="TGQ11" s="114"/>
      <c r="TGR11" s="114"/>
      <c r="TGS11" s="114"/>
      <c r="TGT11" s="114"/>
      <c r="TGU11" s="114"/>
      <c r="TGV11" s="114"/>
      <c r="TGW11" s="114"/>
      <c r="TGX11" s="114"/>
      <c r="TGY11" s="114"/>
      <c r="TGZ11" s="114"/>
      <c r="THA11" s="114"/>
      <c r="THB11" s="114"/>
      <c r="THC11" s="114"/>
      <c r="THD11" s="114"/>
      <c r="THE11" s="114"/>
      <c r="THF11" s="114"/>
      <c r="THG11" s="114"/>
      <c r="THH11" s="114"/>
      <c r="THI11" s="114"/>
      <c r="THJ11" s="114"/>
      <c r="THK11" s="114"/>
      <c r="THL11" s="114"/>
      <c r="THM11" s="114"/>
      <c r="THN11" s="114"/>
      <c r="THO11" s="114"/>
      <c r="THP11" s="114"/>
      <c r="THQ11" s="114"/>
      <c r="THR11" s="114"/>
      <c r="THS11" s="114"/>
      <c r="THT11" s="114"/>
      <c r="THU11" s="114"/>
      <c r="THV11" s="114"/>
      <c r="THW11" s="114"/>
      <c r="THX11" s="114"/>
      <c r="THY11" s="114"/>
      <c r="THZ11" s="114"/>
      <c r="TIA11" s="114"/>
      <c r="TIB11" s="114"/>
      <c r="TIC11" s="114"/>
      <c r="TID11" s="114"/>
      <c r="TIE11" s="114"/>
      <c r="TIF11" s="114"/>
      <c r="TIG11" s="114"/>
      <c r="TIH11" s="114"/>
      <c r="TII11" s="114"/>
      <c r="TIJ11" s="114"/>
      <c r="TIK11" s="114"/>
      <c r="TIL11" s="114"/>
      <c r="TIM11" s="114"/>
      <c r="TIN11" s="114"/>
      <c r="TIO11" s="114"/>
      <c r="TIP11" s="114"/>
      <c r="TIQ11" s="114"/>
      <c r="TIR11" s="114"/>
      <c r="TIS11" s="114"/>
      <c r="TIT11" s="114"/>
      <c r="TIU11" s="114"/>
      <c r="TIV11" s="114"/>
      <c r="TIW11" s="114"/>
      <c r="TIX11" s="114"/>
      <c r="TIY11" s="114"/>
      <c r="TIZ11" s="114"/>
      <c r="TJA11" s="114"/>
      <c r="TJB11" s="114"/>
      <c r="TJC11" s="114"/>
      <c r="TJD11" s="114"/>
      <c r="TJE11" s="114"/>
      <c r="TJF11" s="114"/>
      <c r="TJG11" s="114"/>
      <c r="TJH11" s="114"/>
      <c r="TJI11" s="114"/>
      <c r="TJJ11" s="114"/>
      <c r="TJK11" s="114"/>
      <c r="TJL11" s="114"/>
      <c r="TJM11" s="114"/>
      <c r="TJN11" s="114"/>
      <c r="TJO11" s="114"/>
      <c r="TJP11" s="114"/>
      <c r="TJQ11" s="114"/>
      <c r="TJR11" s="114"/>
      <c r="TJS11" s="114"/>
      <c r="TJT11" s="114"/>
      <c r="TJU11" s="114"/>
      <c r="TJV11" s="114"/>
      <c r="TJW11" s="114"/>
      <c r="TJX11" s="114"/>
      <c r="TJY11" s="114"/>
      <c r="TJZ11" s="114"/>
      <c r="TKA11" s="114"/>
      <c r="TKB11" s="114"/>
      <c r="TKC11" s="114"/>
      <c r="TKD11" s="114"/>
      <c r="TKE11" s="114"/>
      <c r="TKF11" s="114"/>
      <c r="TKG11" s="114"/>
      <c r="TKH11" s="114"/>
      <c r="TKI11" s="114"/>
      <c r="TKJ11" s="114"/>
      <c r="TKK11" s="114"/>
      <c r="TKL11" s="114"/>
      <c r="TKM11" s="114"/>
      <c r="TKN11" s="114"/>
      <c r="TKO11" s="114"/>
      <c r="TKP11" s="114"/>
      <c r="TKQ11" s="114"/>
      <c r="TKR11" s="114"/>
      <c r="TKS11" s="114"/>
      <c r="TKT11" s="114"/>
      <c r="TKU11" s="114"/>
      <c r="TKV11" s="114"/>
      <c r="TKW11" s="114"/>
      <c r="TKX11" s="114"/>
      <c r="TKY11" s="114"/>
      <c r="TKZ11" s="114"/>
      <c r="TLA11" s="114"/>
      <c r="TLB11" s="114"/>
      <c r="TLC11" s="114"/>
      <c r="TLD11" s="114"/>
      <c r="TLE11" s="114"/>
      <c r="TLF11" s="114"/>
      <c r="TLG11" s="114"/>
      <c r="TLH11" s="114"/>
      <c r="TLI11" s="114"/>
      <c r="TLJ11" s="114"/>
      <c r="TLK11" s="114"/>
      <c r="TLL11" s="114"/>
      <c r="TLM11" s="114"/>
      <c r="TLN11" s="114"/>
      <c r="TLO11" s="114"/>
      <c r="TLP11" s="114"/>
      <c r="TLQ11" s="114"/>
      <c r="TLR11" s="114"/>
      <c r="TLS11" s="114"/>
      <c r="TLT11" s="114"/>
      <c r="TLU11" s="114"/>
      <c r="TLV11" s="114"/>
      <c r="TLW11" s="114"/>
      <c r="TLX11" s="114"/>
      <c r="TLY11" s="114"/>
      <c r="TLZ11" s="114"/>
      <c r="TMA11" s="114"/>
      <c r="TMB11" s="114"/>
      <c r="TMC11" s="114"/>
      <c r="TMD11" s="114"/>
      <c r="TME11" s="114"/>
      <c r="TMF11" s="114"/>
      <c r="TMG11" s="114"/>
      <c r="TMH11" s="114"/>
      <c r="TMI11" s="114"/>
      <c r="TMJ11" s="114"/>
      <c r="TMK11" s="114"/>
      <c r="TML11" s="114"/>
      <c r="TMM11" s="114"/>
      <c r="TMN11" s="114"/>
      <c r="TMO11" s="114"/>
      <c r="TMP11" s="114"/>
      <c r="TMQ11" s="114"/>
      <c r="TMR11" s="114"/>
      <c r="TMS11" s="114"/>
      <c r="TMT11" s="114"/>
      <c r="TMU11" s="114"/>
      <c r="TMV11" s="114"/>
      <c r="TMW11" s="114"/>
      <c r="TMX11" s="114"/>
      <c r="TMY11" s="114"/>
      <c r="TMZ11" s="114"/>
      <c r="TNA11" s="114"/>
      <c r="TNB11" s="114"/>
      <c r="TNC11" s="114"/>
      <c r="TND11" s="114"/>
      <c r="TNE11" s="114"/>
      <c r="TNF11" s="114"/>
      <c r="TNG11" s="114"/>
      <c r="TNH11" s="114"/>
      <c r="TNI11" s="114"/>
      <c r="TNJ11" s="114"/>
      <c r="TNK11" s="114"/>
      <c r="TNL11" s="114"/>
      <c r="TNM11" s="114"/>
      <c r="TNN11" s="114"/>
      <c r="TNO11" s="114"/>
      <c r="TNP11" s="114"/>
      <c r="TNQ11" s="114"/>
      <c r="TNR11" s="114"/>
      <c r="TNS11" s="114"/>
      <c r="TNT11" s="114"/>
      <c r="TNU11" s="114"/>
      <c r="TNV11" s="114"/>
      <c r="TNW11" s="114"/>
      <c r="TNX11" s="114"/>
      <c r="TNY11" s="114"/>
      <c r="TNZ11" s="114"/>
      <c r="TOA11" s="114"/>
      <c r="TOB11" s="114"/>
      <c r="TOC11" s="114"/>
      <c r="TOD11" s="114"/>
      <c r="TOE11" s="114"/>
      <c r="TOF11" s="114"/>
      <c r="TOG11" s="114"/>
      <c r="TOH11" s="114"/>
      <c r="TOI11" s="114"/>
      <c r="TOJ11" s="114"/>
      <c r="TOK11" s="114"/>
      <c r="TOL11" s="114"/>
      <c r="TOM11" s="114"/>
      <c r="TON11" s="114"/>
      <c r="TOO11" s="114"/>
      <c r="TOP11" s="114"/>
      <c r="TOQ11" s="114"/>
      <c r="TOR11" s="114"/>
      <c r="TOS11" s="114"/>
      <c r="TOT11" s="114"/>
      <c r="TOU11" s="114"/>
      <c r="TOV11" s="114"/>
      <c r="TOW11" s="114"/>
      <c r="TOX11" s="114"/>
      <c r="TOY11" s="114"/>
      <c r="TOZ11" s="114"/>
      <c r="TPA11" s="114"/>
      <c r="TPB11" s="114"/>
      <c r="TPC11" s="114"/>
      <c r="TPD11" s="114"/>
      <c r="TPE11" s="114"/>
      <c r="TPF11" s="114"/>
      <c r="TPG11" s="114"/>
      <c r="TPH11" s="114"/>
      <c r="TPI11" s="114"/>
      <c r="TPJ11" s="114"/>
      <c r="TPK11" s="114"/>
      <c r="TPL11" s="114"/>
      <c r="TPM11" s="114"/>
      <c r="TPN11" s="114"/>
      <c r="TPO11" s="114"/>
      <c r="TPP11" s="114"/>
      <c r="TPQ11" s="114"/>
      <c r="TPR11" s="114"/>
      <c r="TPS11" s="114"/>
      <c r="TPT11" s="114"/>
      <c r="TPU11" s="114"/>
      <c r="TPV11" s="114"/>
      <c r="TPW11" s="114"/>
      <c r="TPX11" s="114"/>
      <c r="TPY11" s="114"/>
      <c r="TPZ11" s="114"/>
      <c r="TQA11" s="114"/>
      <c r="TQB11" s="114"/>
      <c r="TQC11" s="114"/>
      <c r="TQD11" s="114"/>
      <c r="TQE11" s="114"/>
      <c r="TQF11" s="114"/>
      <c r="TQG11" s="114"/>
      <c r="TQH11" s="114"/>
      <c r="TQI11" s="114"/>
      <c r="TQJ11" s="114"/>
      <c r="TQK11" s="114"/>
      <c r="TQL11" s="114"/>
      <c r="TQM11" s="114"/>
      <c r="TQN11" s="114"/>
      <c r="TQO11" s="114"/>
      <c r="TQP11" s="114"/>
      <c r="TQQ11" s="114"/>
      <c r="TQR11" s="114"/>
      <c r="TQS11" s="114"/>
      <c r="TQT11" s="114"/>
      <c r="TQU11" s="114"/>
      <c r="TQV11" s="114"/>
      <c r="TQW11" s="114"/>
      <c r="TQX11" s="114"/>
      <c r="TQY11" s="114"/>
      <c r="TQZ11" s="114"/>
      <c r="TRA11" s="114"/>
      <c r="TRB11" s="114"/>
      <c r="TRC11" s="114"/>
      <c r="TRD11" s="114"/>
      <c r="TRE11" s="114"/>
      <c r="TRF11" s="114"/>
      <c r="TRG11" s="114"/>
      <c r="TRH11" s="114"/>
      <c r="TRI11" s="114"/>
      <c r="TRJ11" s="114"/>
      <c r="TRK11" s="114"/>
      <c r="TRL11" s="114"/>
      <c r="TRM11" s="114"/>
      <c r="TRN11" s="114"/>
      <c r="TRO11" s="114"/>
      <c r="TRP11" s="114"/>
      <c r="TRQ11" s="114"/>
      <c r="TRR11" s="114"/>
      <c r="TRS11" s="114"/>
      <c r="TRT11" s="114"/>
      <c r="TRU11" s="114"/>
      <c r="TRV11" s="114"/>
      <c r="TRW11" s="114"/>
      <c r="TRX11" s="114"/>
      <c r="TRY11" s="114"/>
      <c r="TRZ11" s="114"/>
      <c r="TSA11" s="114"/>
      <c r="TSB11" s="114"/>
      <c r="TSC11" s="114"/>
      <c r="TSD11" s="114"/>
      <c r="TSE11" s="114"/>
      <c r="TSF11" s="114"/>
      <c r="TSG11" s="114"/>
      <c r="TSH11" s="114"/>
      <c r="TSI11" s="114"/>
      <c r="TSJ11" s="114"/>
      <c r="TSK11" s="114"/>
      <c r="TSL11" s="114"/>
      <c r="TSM11" s="114"/>
      <c r="TSN11" s="114"/>
      <c r="TSO11" s="114"/>
      <c r="TSP11" s="114"/>
      <c r="TSQ11" s="114"/>
      <c r="TSR11" s="114"/>
      <c r="TSS11" s="114"/>
      <c r="TST11" s="114"/>
      <c r="TSU11" s="114"/>
      <c r="TSV11" s="114"/>
      <c r="TSW11" s="114"/>
      <c r="TSX11" s="114"/>
      <c r="TSY11" s="114"/>
      <c r="TSZ11" s="114"/>
      <c r="TTA11" s="114"/>
      <c r="TTB11" s="114"/>
      <c r="TTC11" s="114"/>
      <c r="TTD11" s="114"/>
      <c r="TTE11" s="114"/>
      <c r="TTF11" s="114"/>
      <c r="TTG11" s="114"/>
      <c r="TTH11" s="114"/>
      <c r="TTI11" s="114"/>
      <c r="TTJ11" s="114"/>
      <c r="TTK11" s="114"/>
      <c r="TTL11" s="114"/>
      <c r="TTM11" s="114"/>
      <c r="TTN11" s="114"/>
      <c r="TTO11" s="114"/>
      <c r="TTP11" s="114"/>
      <c r="TTQ11" s="114"/>
      <c r="TTR11" s="114"/>
      <c r="TTS11" s="114"/>
      <c r="TTT11" s="114"/>
      <c r="TTU11" s="114"/>
      <c r="TTV11" s="114"/>
      <c r="TTW11" s="114"/>
      <c r="TTX11" s="114"/>
      <c r="TTY11" s="114"/>
      <c r="TTZ11" s="114"/>
      <c r="TUA11" s="114"/>
      <c r="TUB11" s="114"/>
      <c r="TUC11" s="114"/>
      <c r="TUD11" s="114"/>
      <c r="TUE11" s="114"/>
      <c r="TUF11" s="114"/>
      <c r="TUG11" s="114"/>
      <c r="TUH11" s="114"/>
      <c r="TUI11" s="114"/>
      <c r="TUJ11" s="114"/>
      <c r="TUK11" s="114"/>
      <c r="TUL11" s="114"/>
      <c r="TUM11" s="114"/>
      <c r="TUN11" s="114"/>
      <c r="TUO11" s="114"/>
      <c r="TUP11" s="114"/>
      <c r="TUQ11" s="114"/>
      <c r="TUR11" s="114"/>
      <c r="TUS11" s="114"/>
      <c r="TUT11" s="114"/>
      <c r="TUU11" s="114"/>
      <c r="TUV11" s="114"/>
      <c r="TUW11" s="114"/>
      <c r="TUX11" s="114"/>
      <c r="TUY11" s="114"/>
      <c r="TUZ11" s="114"/>
      <c r="TVA11" s="114"/>
      <c r="TVB11" s="114"/>
      <c r="TVC11" s="114"/>
      <c r="TVD11" s="114"/>
      <c r="TVE11" s="114"/>
      <c r="TVF11" s="114"/>
      <c r="TVG11" s="114"/>
      <c r="TVH11" s="114"/>
      <c r="TVI11" s="114"/>
      <c r="TVJ11" s="114"/>
      <c r="TVK11" s="114"/>
      <c r="TVL11" s="114"/>
      <c r="TVM11" s="114"/>
      <c r="TVN11" s="114"/>
      <c r="TVO11" s="114"/>
      <c r="TVP11" s="114"/>
      <c r="TVQ11" s="114"/>
      <c r="TVR11" s="114"/>
      <c r="TVS11" s="114"/>
      <c r="TVT11" s="114"/>
      <c r="TVU11" s="114"/>
      <c r="TVV11" s="114"/>
      <c r="TVW11" s="114"/>
      <c r="TVX11" s="114"/>
      <c r="TVY11" s="114"/>
      <c r="TVZ11" s="114"/>
      <c r="TWA11" s="114"/>
      <c r="TWB11" s="114"/>
      <c r="TWC11" s="114"/>
      <c r="TWD11" s="114"/>
      <c r="TWE11" s="114"/>
      <c r="TWF11" s="114"/>
      <c r="TWG11" s="114"/>
      <c r="TWH11" s="114"/>
      <c r="TWI11" s="114"/>
      <c r="TWJ11" s="114"/>
      <c r="TWK11" s="114"/>
      <c r="TWL11" s="114"/>
      <c r="TWM11" s="114"/>
      <c r="TWN11" s="114"/>
      <c r="TWO11" s="114"/>
      <c r="TWP11" s="114"/>
      <c r="TWQ11" s="114"/>
      <c r="TWR11" s="114"/>
      <c r="TWS11" s="114"/>
      <c r="TWT11" s="114"/>
      <c r="TWU11" s="114"/>
      <c r="TWV11" s="114"/>
      <c r="TWW11" s="114"/>
      <c r="TWX11" s="114"/>
      <c r="TWY11" s="114"/>
      <c r="TWZ11" s="114"/>
      <c r="TXA11" s="114"/>
      <c r="TXB11" s="114"/>
      <c r="TXC11" s="114"/>
      <c r="TXD11" s="114"/>
      <c r="TXE11" s="114"/>
      <c r="TXF11" s="114"/>
      <c r="TXG11" s="114"/>
      <c r="TXH11" s="114"/>
      <c r="TXI11" s="114"/>
      <c r="TXJ11" s="114"/>
      <c r="TXK11" s="114"/>
      <c r="TXL11" s="114"/>
      <c r="TXM11" s="114"/>
      <c r="TXN11" s="114"/>
      <c r="TXO11" s="114"/>
      <c r="TXP11" s="114"/>
      <c r="TXQ11" s="114"/>
      <c r="TXR11" s="114"/>
      <c r="TXS11" s="114"/>
      <c r="TXT11" s="114"/>
      <c r="TXU11" s="114"/>
      <c r="TXV11" s="114"/>
      <c r="TXW11" s="114"/>
      <c r="TXX11" s="114"/>
      <c r="TXY11" s="114"/>
      <c r="TXZ11" s="114"/>
      <c r="TYA11" s="114"/>
      <c r="TYB11" s="114"/>
      <c r="TYC11" s="114"/>
      <c r="TYD11" s="114"/>
      <c r="TYE11" s="114"/>
      <c r="TYF11" s="114"/>
      <c r="TYG11" s="114"/>
      <c r="TYH11" s="114"/>
      <c r="TYI11" s="114"/>
      <c r="TYJ11" s="114"/>
      <c r="TYK11" s="114"/>
      <c r="TYL11" s="114"/>
      <c r="TYM11" s="114"/>
      <c r="TYN11" s="114"/>
      <c r="TYO11" s="114"/>
      <c r="TYP11" s="114"/>
      <c r="TYQ11" s="114"/>
      <c r="TYR11" s="114"/>
      <c r="TYS11" s="114"/>
      <c r="TYT11" s="114"/>
      <c r="TYU11" s="114"/>
      <c r="TYV11" s="114"/>
      <c r="TYW11" s="114"/>
      <c r="TYX11" s="114"/>
      <c r="TYY11" s="114"/>
      <c r="TYZ11" s="114"/>
      <c r="TZA11" s="114"/>
      <c r="TZB11" s="114"/>
      <c r="TZC11" s="114"/>
      <c r="TZD11" s="114"/>
      <c r="TZE11" s="114"/>
      <c r="TZF11" s="114"/>
      <c r="TZG11" s="114"/>
      <c r="TZH11" s="114"/>
      <c r="TZI11" s="114"/>
      <c r="TZJ11" s="114"/>
      <c r="TZK11" s="114"/>
      <c r="TZL11" s="114"/>
      <c r="TZM11" s="114"/>
      <c r="TZN11" s="114"/>
      <c r="TZO11" s="114"/>
      <c r="TZP11" s="114"/>
      <c r="TZQ11" s="114"/>
      <c r="TZR11" s="114"/>
      <c r="TZS11" s="114"/>
      <c r="TZT11" s="114"/>
      <c r="TZU11" s="114"/>
      <c r="TZV11" s="114"/>
      <c r="TZW11" s="114"/>
      <c r="TZX11" s="114"/>
      <c r="TZY11" s="114"/>
      <c r="TZZ11" s="114"/>
      <c r="UAA11" s="114"/>
      <c r="UAB11" s="114"/>
      <c r="UAC11" s="114"/>
      <c r="UAD11" s="114"/>
      <c r="UAE11" s="114"/>
      <c r="UAF11" s="114"/>
      <c r="UAG11" s="114"/>
      <c r="UAH11" s="114"/>
      <c r="UAI11" s="114"/>
      <c r="UAJ11" s="114"/>
      <c r="UAK11" s="114"/>
      <c r="UAL11" s="114"/>
      <c r="UAM11" s="114"/>
      <c r="UAN11" s="114"/>
      <c r="UAO11" s="114"/>
      <c r="UAP11" s="114"/>
      <c r="UAQ11" s="114"/>
      <c r="UAR11" s="114"/>
      <c r="UAS11" s="114"/>
      <c r="UAT11" s="114"/>
      <c r="UAU11" s="114"/>
      <c r="UAV11" s="114"/>
      <c r="UAW11" s="114"/>
      <c r="UAX11" s="114"/>
      <c r="UAY11" s="114"/>
      <c r="UAZ11" s="114"/>
      <c r="UBA11" s="114"/>
      <c r="UBB11" s="114"/>
      <c r="UBC11" s="114"/>
      <c r="UBD11" s="114"/>
      <c r="UBE11" s="114"/>
      <c r="UBF11" s="114"/>
      <c r="UBG11" s="114"/>
      <c r="UBH11" s="114"/>
      <c r="UBI11" s="114"/>
      <c r="UBJ11" s="114"/>
      <c r="UBK11" s="114"/>
      <c r="UBL11" s="114"/>
      <c r="UBM11" s="114"/>
      <c r="UBN11" s="114"/>
      <c r="UBO11" s="114"/>
      <c r="UBP11" s="114"/>
      <c r="UBQ11" s="114"/>
      <c r="UBR11" s="114"/>
      <c r="UBS11" s="114"/>
      <c r="UBT11" s="114"/>
      <c r="UBU11" s="114"/>
      <c r="UBV11" s="114"/>
      <c r="UBW11" s="114"/>
      <c r="UBX11" s="114"/>
      <c r="UBY11" s="114"/>
      <c r="UBZ11" s="114"/>
      <c r="UCA11" s="114"/>
      <c r="UCB11" s="114"/>
      <c r="UCC11" s="114"/>
      <c r="UCD11" s="114"/>
      <c r="UCE11" s="114"/>
      <c r="UCF11" s="114"/>
      <c r="UCG11" s="114"/>
      <c r="UCH11" s="114"/>
      <c r="UCI11" s="114"/>
      <c r="UCJ11" s="114"/>
      <c r="UCK11" s="114"/>
      <c r="UCL11" s="114"/>
      <c r="UCM11" s="114"/>
      <c r="UCN11" s="114"/>
      <c r="UCO11" s="114"/>
      <c r="UCP11" s="114"/>
      <c r="UCQ11" s="114"/>
      <c r="UCR11" s="114"/>
      <c r="UCS11" s="114"/>
      <c r="UCT11" s="114"/>
      <c r="UCU11" s="114"/>
      <c r="UCV11" s="114"/>
      <c r="UCW11" s="114"/>
      <c r="UCX11" s="114"/>
      <c r="UCY11" s="114"/>
      <c r="UCZ11" s="114"/>
      <c r="UDA11" s="114"/>
      <c r="UDB11" s="114"/>
      <c r="UDC11" s="114"/>
      <c r="UDD11" s="114"/>
      <c r="UDE11" s="114"/>
      <c r="UDF11" s="114"/>
      <c r="UDG11" s="114"/>
      <c r="UDH11" s="114"/>
      <c r="UDI11" s="114"/>
      <c r="UDJ11" s="114"/>
      <c r="UDK11" s="114"/>
      <c r="UDL11" s="114"/>
      <c r="UDM11" s="114"/>
      <c r="UDN11" s="114"/>
      <c r="UDO11" s="114"/>
      <c r="UDP11" s="114"/>
      <c r="UDQ11" s="114"/>
      <c r="UDR11" s="114"/>
      <c r="UDS11" s="114"/>
      <c r="UDT11" s="114"/>
      <c r="UDU11" s="114"/>
      <c r="UDV11" s="114"/>
      <c r="UDW11" s="114"/>
      <c r="UDX11" s="114"/>
      <c r="UDY11" s="114"/>
      <c r="UDZ11" s="114"/>
      <c r="UEA11" s="114"/>
      <c r="UEB11" s="114"/>
      <c r="UEC11" s="114"/>
      <c r="UED11" s="114"/>
      <c r="UEE11" s="114"/>
      <c r="UEF11" s="114"/>
      <c r="UEG11" s="114"/>
      <c r="UEH11" s="114"/>
      <c r="UEI11" s="114"/>
      <c r="UEJ11" s="114"/>
      <c r="UEK11" s="114"/>
      <c r="UEL11" s="114"/>
      <c r="UEM11" s="114"/>
      <c r="UEN11" s="114"/>
      <c r="UEO11" s="114"/>
      <c r="UEP11" s="114"/>
      <c r="UEQ11" s="114"/>
      <c r="UER11" s="114"/>
      <c r="UES11" s="114"/>
      <c r="UET11" s="114"/>
      <c r="UEU11" s="114"/>
      <c r="UEV11" s="114"/>
      <c r="UEW11" s="114"/>
      <c r="UEX11" s="114"/>
      <c r="UEY11" s="114"/>
      <c r="UEZ11" s="114"/>
      <c r="UFA11" s="114"/>
      <c r="UFB11" s="114"/>
      <c r="UFC11" s="114"/>
      <c r="UFD11" s="114"/>
      <c r="UFE11" s="114"/>
      <c r="UFF11" s="114"/>
      <c r="UFG11" s="114"/>
      <c r="UFH11" s="114"/>
      <c r="UFI11" s="114"/>
      <c r="UFJ11" s="114"/>
      <c r="UFK11" s="114"/>
      <c r="UFL11" s="114"/>
      <c r="UFM11" s="114"/>
      <c r="UFN11" s="114"/>
      <c r="UFO11" s="114"/>
      <c r="UFP11" s="114"/>
      <c r="UFQ11" s="114"/>
      <c r="UFR11" s="114"/>
      <c r="UFS11" s="114"/>
      <c r="UFT11" s="114"/>
      <c r="UFU11" s="114"/>
      <c r="UFV11" s="114"/>
      <c r="UFW11" s="114"/>
      <c r="UFX11" s="114"/>
      <c r="UFY11" s="114"/>
      <c r="UFZ11" s="114"/>
      <c r="UGA11" s="114"/>
      <c r="UGB11" s="114"/>
      <c r="UGC11" s="114"/>
      <c r="UGD11" s="114"/>
      <c r="UGE11" s="114"/>
      <c r="UGF11" s="114"/>
      <c r="UGG11" s="114"/>
      <c r="UGH11" s="114"/>
      <c r="UGI11" s="114"/>
      <c r="UGJ11" s="114"/>
      <c r="UGK11" s="114"/>
      <c r="UGL11" s="114"/>
      <c r="UGM11" s="114"/>
      <c r="UGN11" s="114"/>
      <c r="UGO11" s="114"/>
      <c r="UGP11" s="114"/>
      <c r="UGQ11" s="114"/>
      <c r="UGR11" s="114"/>
      <c r="UGS11" s="114"/>
      <c r="UGT11" s="114"/>
      <c r="UGU11" s="114"/>
      <c r="UGV11" s="114"/>
      <c r="UGW11" s="114"/>
      <c r="UGX11" s="114"/>
      <c r="UGY11" s="114"/>
      <c r="UGZ11" s="114"/>
      <c r="UHA11" s="114"/>
      <c r="UHB11" s="114"/>
      <c r="UHC11" s="114"/>
      <c r="UHD11" s="114"/>
      <c r="UHE11" s="114"/>
      <c r="UHF11" s="114"/>
      <c r="UHG11" s="114"/>
      <c r="UHH11" s="114"/>
      <c r="UHI11" s="114"/>
      <c r="UHJ11" s="114"/>
      <c r="UHK11" s="114"/>
      <c r="UHL11" s="114"/>
      <c r="UHM11" s="114"/>
      <c r="UHN11" s="114"/>
      <c r="UHO11" s="114"/>
      <c r="UHP11" s="114"/>
      <c r="UHQ11" s="114"/>
      <c r="UHR11" s="114"/>
      <c r="UHS11" s="114"/>
      <c r="UHT11" s="114"/>
      <c r="UHU11" s="114"/>
      <c r="UHV11" s="114"/>
      <c r="UHW11" s="114"/>
      <c r="UHX11" s="114"/>
      <c r="UHY11" s="114"/>
      <c r="UHZ11" s="114"/>
      <c r="UIA11" s="114"/>
      <c r="UIB11" s="114"/>
      <c r="UIC11" s="114"/>
      <c r="UID11" s="114"/>
      <c r="UIE11" s="114"/>
      <c r="UIF11" s="114"/>
      <c r="UIG11" s="114"/>
      <c r="UIH11" s="114"/>
      <c r="UII11" s="114"/>
      <c r="UIJ11" s="114"/>
      <c r="UIK11" s="114"/>
      <c r="UIL11" s="114"/>
      <c r="UIM11" s="114"/>
      <c r="UIN11" s="114"/>
      <c r="UIO11" s="114"/>
      <c r="UIP11" s="114"/>
      <c r="UIQ11" s="114"/>
      <c r="UIR11" s="114"/>
      <c r="UIS11" s="114"/>
      <c r="UIT11" s="114"/>
      <c r="UIU11" s="114"/>
      <c r="UIV11" s="114"/>
      <c r="UIW11" s="114"/>
      <c r="UIX11" s="114"/>
      <c r="UIY11" s="114"/>
      <c r="UIZ11" s="114"/>
      <c r="UJA11" s="114"/>
      <c r="UJB11" s="114"/>
      <c r="UJC11" s="114"/>
      <c r="UJD11" s="114"/>
      <c r="UJE11" s="114"/>
      <c r="UJF11" s="114"/>
      <c r="UJG11" s="114"/>
      <c r="UJH11" s="114"/>
      <c r="UJI11" s="114"/>
      <c r="UJJ11" s="114"/>
      <c r="UJK11" s="114"/>
      <c r="UJL11" s="114"/>
      <c r="UJM11" s="114"/>
      <c r="UJN11" s="114"/>
      <c r="UJO11" s="114"/>
      <c r="UJP11" s="114"/>
      <c r="UJQ11" s="114"/>
      <c r="UJR11" s="114"/>
      <c r="UJS11" s="114"/>
      <c r="UJT11" s="114"/>
      <c r="UJU11" s="114"/>
      <c r="UJV11" s="114"/>
      <c r="UJW11" s="114"/>
      <c r="UJX11" s="114"/>
      <c r="UJY11" s="114"/>
      <c r="UJZ11" s="114"/>
      <c r="UKA11" s="114"/>
      <c r="UKB11" s="114"/>
      <c r="UKC11" s="114"/>
      <c r="UKD11" s="114"/>
      <c r="UKE11" s="114"/>
      <c r="UKF11" s="114"/>
      <c r="UKG11" s="114"/>
      <c r="UKH11" s="114"/>
      <c r="UKI11" s="114"/>
      <c r="UKJ11" s="114"/>
      <c r="UKK11" s="114"/>
      <c r="UKL11" s="114"/>
      <c r="UKM11" s="114"/>
      <c r="UKN11" s="114"/>
      <c r="UKO11" s="114"/>
      <c r="UKP11" s="114"/>
      <c r="UKQ11" s="114"/>
      <c r="UKR11" s="114"/>
      <c r="UKS11" s="114"/>
      <c r="UKT11" s="114"/>
      <c r="UKU11" s="114"/>
      <c r="UKV11" s="114"/>
      <c r="UKW11" s="114"/>
      <c r="UKX11" s="114"/>
      <c r="UKY11" s="114"/>
      <c r="UKZ11" s="114"/>
      <c r="ULA11" s="114"/>
      <c r="ULB11" s="114"/>
      <c r="ULC11" s="114"/>
      <c r="ULD11" s="114"/>
      <c r="ULE11" s="114"/>
      <c r="ULF11" s="114"/>
      <c r="ULG11" s="114"/>
      <c r="ULH11" s="114"/>
      <c r="ULI11" s="114"/>
      <c r="ULJ11" s="114"/>
      <c r="ULK11" s="114"/>
      <c r="ULL11" s="114"/>
      <c r="ULM11" s="114"/>
      <c r="ULN11" s="114"/>
      <c r="ULO11" s="114"/>
      <c r="ULP11" s="114"/>
      <c r="ULQ11" s="114"/>
      <c r="ULR11" s="114"/>
      <c r="ULS11" s="114"/>
      <c r="ULT11" s="114"/>
      <c r="ULU11" s="114"/>
      <c r="ULV11" s="114"/>
      <c r="ULW11" s="114"/>
      <c r="ULX11" s="114"/>
      <c r="ULY11" s="114"/>
      <c r="ULZ11" s="114"/>
      <c r="UMA11" s="114"/>
      <c r="UMB11" s="114"/>
      <c r="UMC11" s="114"/>
      <c r="UMD11" s="114"/>
      <c r="UME11" s="114"/>
      <c r="UMF11" s="114"/>
      <c r="UMG11" s="114"/>
      <c r="UMH11" s="114"/>
      <c r="UMI11" s="114"/>
      <c r="UMJ11" s="114"/>
      <c r="UMK11" s="114"/>
      <c r="UML11" s="114"/>
      <c r="UMM11" s="114"/>
      <c r="UMN11" s="114"/>
      <c r="UMO11" s="114"/>
      <c r="UMP11" s="114"/>
      <c r="UMQ11" s="114"/>
      <c r="UMR11" s="114"/>
      <c r="UMS11" s="114"/>
      <c r="UMT11" s="114"/>
      <c r="UMU11" s="114"/>
      <c r="UMV11" s="114"/>
      <c r="UMW11" s="114"/>
      <c r="UMX11" s="114"/>
      <c r="UMY11" s="114"/>
      <c r="UMZ11" s="114"/>
      <c r="UNA11" s="114"/>
      <c r="UNB11" s="114"/>
      <c r="UNC11" s="114"/>
      <c r="UND11" s="114"/>
      <c r="UNE11" s="114"/>
      <c r="UNF11" s="114"/>
      <c r="UNG11" s="114"/>
      <c r="UNH11" s="114"/>
      <c r="UNI11" s="114"/>
      <c r="UNJ11" s="114"/>
      <c r="UNK11" s="114"/>
      <c r="UNL11" s="114"/>
      <c r="UNM11" s="114"/>
      <c r="UNN11" s="114"/>
      <c r="UNO11" s="114"/>
      <c r="UNP11" s="114"/>
      <c r="UNQ11" s="114"/>
      <c r="UNR11" s="114"/>
      <c r="UNS11" s="114"/>
      <c r="UNT11" s="114"/>
      <c r="UNU11" s="114"/>
      <c r="UNV11" s="114"/>
      <c r="UNW11" s="114"/>
      <c r="UNX11" s="114"/>
      <c r="UNY11" s="114"/>
      <c r="UNZ11" s="114"/>
      <c r="UOA11" s="114"/>
      <c r="UOB11" s="114"/>
      <c r="UOC11" s="114"/>
      <c r="UOD11" s="114"/>
      <c r="UOE11" s="114"/>
      <c r="UOF11" s="114"/>
      <c r="UOG11" s="114"/>
      <c r="UOH11" s="114"/>
      <c r="UOI11" s="114"/>
      <c r="UOJ11" s="114"/>
      <c r="UOK11" s="114"/>
      <c r="UOL11" s="114"/>
      <c r="UOM11" s="114"/>
      <c r="UON11" s="114"/>
      <c r="UOO11" s="114"/>
      <c r="UOP11" s="114"/>
      <c r="UOQ11" s="114"/>
      <c r="UOR11" s="114"/>
      <c r="UOS11" s="114"/>
      <c r="UOT11" s="114"/>
      <c r="UOU11" s="114"/>
      <c r="UOV11" s="114"/>
      <c r="UOW11" s="114"/>
      <c r="UOX11" s="114"/>
      <c r="UOY11" s="114"/>
      <c r="UOZ11" s="114"/>
      <c r="UPA11" s="114"/>
      <c r="UPB11" s="114"/>
      <c r="UPC11" s="114"/>
      <c r="UPD11" s="114"/>
      <c r="UPE11" s="114"/>
      <c r="UPF11" s="114"/>
      <c r="UPG11" s="114"/>
      <c r="UPH11" s="114"/>
      <c r="UPI11" s="114"/>
      <c r="UPJ11" s="114"/>
      <c r="UPK11" s="114"/>
      <c r="UPL11" s="114"/>
      <c r="UPM11" s="114"/>
      <c r="UPN11" s="114"/>
      <c r="UPO11" s="114"/>
      <c r="UPP11" s="114"/>
      <c r="UPQ11" s="114"/>
      <c r="UPR11" s="114"/>
      <c r="UPS11" s="114"/>
      <c r="UPT11" s="114"/>
      <c r="UPU11" s="114"/>
      <c r="UPV11" s="114"/>
      <c r="UPW11" s="114"/>
      <c r="UPX11" s="114"/>
      <c r="UPY11" s="114"/>
      <c r="UPZ11" s="114"/>
      <c r="UQA11" s="114"/>
      <c r="UQB11" s="114"/>
      <c r="UQC11" s="114"/>
      <c r="UQD11" s="114"/>
      <c r="UQE11" s="114"/>
      <c r="UQF11" s="114"/>
      <c r="UQG11" s="114"/>
      <c r="UQH11" s="114"/>
      <c r="UQI11" s="114"/>
      <c r="UQJ11" s="114"/>
      <c r="UQK11" s="114"/>
      <c r="UQL11" s="114"/>
      <c r="UQM11" s="114"/>
      <c r="UQN11" s="114"/>
      <c r="UQO11" s="114"/>
      <c r="UQP11" s="114"/>
      <c r="UQQ11" s="114"/>
      <c r="UQR11" s="114"/>
      <c r="UQS11" s="114"/>
      <c r="UQT11" s="114"/>
      <c r="UQU11" s="114"/>
      <c r="UQV11" s="114"/>
      <c r="UQW11" s="114"/>
      <c r="UQX11" s="114"/>
      <c r="UQY11" s="114"/>
      <c r="UQZ11" s="114"/>
      <c r="URA11" s="114"/>
      <c r="URB11" s="114"/>
      <c r="URC11" s="114"/>
      <c r="URD11" s="114"/>
      <c r="URE11" s="114"/>
      <c r="URF11" s="114"/>
      <c r="URG11" s="114"/>
      <c r="URH11" s="114"/>
      <c r="URI11" s="114"/>
      <c r="URJ11" s="114"/>
      <c r="URK11" s="114"/>
      <c r="URL11" s="114"/>
      <c r="URM11" s="114"/>
      <c r="URN11" s="114"/>
      <c r="URO11" s="114"/>
      <c r="URP11" s="114"/>
      <c r="URQ11" s="114"/>
      <c r="URR11" s="114"/>
      <c r="URS11" s="114"/>
      <c r="URT11" s="114"/>
      <c r="URU11" s="114"/>
      <c r="URV11" s="114"/>
      <c r="URW11" s="114"/>
      <c r="URX11" s="114"/>
      <c r="URY11" s="114"/>
      <c r="URZ11" s="114"/>
      <c r="USA11" s="114"/>
      <c r="USB11" s="114"/>
      <c r="USC11" s="114"/>
      <c r="USD11" s="114"/>
      <c r="USE11" s="114"/>
      <c r="USF11" s="114"/>
      <c r="USG11" s="114"/>
      <c r="USH11" s="114"/>
      <c r="USI11" s="114"/>
      <c r="USJ11" s="114"/>
      <c r="USK11" s="114"/>
      <c r="USL11" s="114"/>
      <c r="USM11" s="114"/>
      <c r="USN11" s="114"/>
      <c r="USO11" s="114"/>
      <c r="USP11" s="114"/>
      <c r="USQ11" s="114"/>
      <c r="USR11" s="114"/>
      <c r="USS11" s="114"/>
      <c r="UST11" s="114"/>
      <c r="USU11" s="114"/>
      <c r="USV11" s="114"/>
      <c r="USW11" s="114"/>
      <c r="USX11" s="114"/>
      <c r="USY11" s="114"/>
      <c r="USZ11" s="114"/>
      <c r="UTA11" s="114"/>
      <c r="UTB11" s="114"/>
      <c r="UTC11" s="114"/>
      <c r="UTD11" s="114"/>
      <c r="UTE11" s="114"/>
      <c r="UTF11" s="114"/>
      <c r="UTG11" s="114"/>
      <c r="UTH11" s="114"/>
      <c r="UTI11" s="114"/>
      <c r="UTJ11" s="114"/>
      <c r="UTK11" s="114"/>
      <c r="UTL11" s="114"/>
      <c r="UTM11" s="114"/>
      <c r="UTN11" s="114"/>
      <c r="UTO11" s="114"/>
      <c r="UTP11" s="114"/>
      <c r="UTQ11" s="114"/>
      <c r="UTR11" s="114"/>
      <c r="UTS11" s="114"/>
      <c r="UTT11" s="114"/>
      <c r="UTU11" s="114"/>
      <c r="UTV11" s="114"/>
      <c r="UTW11" s="114"/>
      <c r="UTX11" s="114"/>
      <c r="UTY11" s="114"/>
      <c r="UTZ11" s="114"/>
      <c r="UUA11" s="114"/>
      <c r="UUB11" s="114"/>
      <c r="UUC11" s="114"/>
      <c r="UUD11" s="114"/>
      <c r="UUE11" s="114"/>
      <c r="UUF11" s="114"/>
      <c r="UUG11" s="114"/>
      <c r="UUH11" s="114"/>
      <c r="UUI11" s="114"/>
      <c r="UUJ11" s="114"/>
      <c r="UUK11" s="114"/>
      <c r="UUL11" s="114"/>
      <c r="UUM11" s="114"/>
      <c r="UUN11" s="114"/>
      <c r="UUO11" s="114"/>
      <c r="UUP11" s="114"/>
      <c r="UUQ11" s="114"/>
      <c r="UUR11" s="114"/>
      <c r="UUS11" s="114"/>
      <c r="UUT11" s="114"/>
      <c r="UUU11" s="114"/>
      <c r="UUV11" s="114"/>
      <c r="UUW11" s="114"/>
      <c r="UUX11" s="114"/>
      <c r="UUY11" s="114"/>
      <c r="UUZ11" s="114"/>
      <c r="UVA11" s="114"/>
      <c r="UVB11" s="114"/>
      <c r="UVC11" s="114"/>
      <c r="UVD11" s="114"/>
      <c r="UVE11" s="114"/>
      <c r="UVF11" s="114"/>
      <c r="UVG11" s="114"/>
      <c r="UVH11" s="114"/>
      <c r="UVI11" s="114"/>
      <c r="UVJ11" s="114"/>
      <c r="UVK11" s="114"/>
      <c r="UVL11" s="114"/>
      <c r="UVM11" s="114"/>
      <c r="UVN11" s="114"/>
      <c r="UVO11" s="114"/>
      <c r="UVP11" s="114"/>
      <c r="UVQ11" s="114"/>
      <c r="UVR11" s="114"/>
      <c r="UVS11" s="114"/>
      <c r="UVT11" s="114"/>
      <c r="UVU11" s="114"/>
      <c r="UVV11" s="114"/>
      <c r="UVW11" s="114"/>
      <c r="UVX11" s="114"/>
      <c r="UVY11" s="114"/>
      <c r="UVZ11" s="114"/>
      <c r="UWA11" s="114"/>
      <c r="UWB11" s="114"/>
      <c r="UWC11" s="114"/>
      <c r="UWD11" s="114"/>
      <c r="UWE11" s="114"/>
      <c r="UWF11" s="114"/>
      <c r="UWG11" s="114"/>
      <c r="UWH11" s="114"/>
      <c r="UWI11" s="114"/>
      <c r="UWJ11" s="114"/>
      <c r="UWK11" s="114"/>
      <c r="UWL11" s="114"/>
      <c r="UWM11" s="114"/>
      <c r="UWN11" s="114"/>
      <c r="UWO11" s="114"/>
      <c r="UWP11" s="114"/>
      <c r="UWQ11" s="114"/>
      <c r="UWR11" s="114"/>
      <c r="UWS11" s="114"/>
      <c r="UWT11" s="114"/>
      <c r="UWU11" s="114"/>
      <c r="UWV11" s="114"/>
      <c r="UWW11" s="114"/>
      <c r="UWX11" s="114"/>
      <c r="UWY11" s="114"/>
      <c r="UWZ11" s="114"/>
      <c r="UXA11" s="114"/>
      <c r="UXB11" s="114"/>
      <c r="UXC11" s="114"/>
      <c r="UXD11" s="114"/>
      <c r="UXE11" s="114"/>
      <c r="UXF11" s="114"/>
      <c r="UXG11" s="114"/>
      <c r="UXH11" s="114"/>
      <c r="UXI11" s="114"/>
      <c r="UXJ11" s="114"/>
      <c r="UXK11" s="114"/>
      <c r="UXL11" s="114"/>
      <c r="UXM11" s="114"/>
      <c r="UXN11" s="114"/>
      <c r="UXO11" s="114"/>
      <c r="UXP11" s="114"/>
      <c r="UXQ11" s="114"/>
      <c r="UXR11" s="114"/>
      <c r="UXS11" s="114"/>
      <c r="UXT11" s="114"/>
      <c r="UXU11" s="114"/>
      <c r="UXV11" s="114"/>
      <c r="UXW11" s="114"/>
      <c r="UXX11" s="114"/>
      <c r="UXY11" s="114"/>
      <c r="UXZ11" s="114"/>
      <c r="UYA11" s="114"/>
      <c r="UYB11" s="114"/>
      <c r="UYC11" s="114"/>
      <c r="UYD11" s="114"/>
      <c r="UYE11" s="114"/>
      <c r="UYF11" s="114"/>
      <c r="UYG11" s="114"/>
      <c r="UYH11" s="114"/>
      <c r="UYI11" s="114"/>
      <c r="UYJ11" s="114"/>
      <c r="UYK11" s="114"/>
      <c r="UYL11" s="114"/>
      <c r="UYM11" s="114"/>
      <c r="UYN11" s="114"/>
      <c r="UYO11" s="114"/>
      <c r="UYP11" s="114"/>
      <c r="UYQ11" s="114"/>
      <c r="UYR11" s="114"/>
      <c r="UYS11" s="114"/>
      <c r="UYT11" s="114"/>
      <c r="UYU11" s="114"/>
      <c r="UYV11" s="114"/>
      <c r="UYW11" s="114"/>
      <c r="UYX11" s="114"/>
      <c r="UYY11" s="114"/>
      <c r="UYZ11" s="114"/>
      <c r="UZA11" s="114"/>
      <c r="UZB11" s="114"/>
      <c r="UZC11" s="114"/>
      <c r="UZD11" s="114"/>
      <c r="UZE11" s="114"/>
      <c r="UZF11" s="114"/>
      <c r="UZG11" s="114"/>
      <c r="UZH11" s="114"/>
      <c r="UZI11" s="114"/>
      <c r="UZJ11" s="114"/>
      <c r="UZK11" s="114"/>
      <c r="UZL11" s="114"/>
      <c r="UZM11" s="114"/>
      <c r="UZN11" s="114"/>
      <c r="UZO11" s="114"/>
      <c r="UZP11" s="114"/>
      <c r="UZQ11" s="114"/>
      <c r="UZR11" s="114"/>
      <c r="UZS11" s="114"/>
      <c r="UZT11" s="114"/>
      <c r="UZU11" s="114"/>
      <c r="UZV11" s="114"/>
      <c r="UZW11" s="114"/>
      <c r="UZX11" s="114"/>
      <c r="UZY11" s="114"/>
      <c r="UZZ11" s="114"/>
      <c r="VAA11" s="114"/>
      <c r="VAB11" s="114"/>
      <c r="VAC11" s="114"/>
      <c r="VAD11" s="114"/>
      <c r="VAE11" s="114"/>
      <c r="VAF11" s="114"/>
      <c r="VAG11" s="114"/>
      <c r="VAH11" s="114"/>
      <c r="VAI11" s="114"/>
      <c r="VAJ11" s="114"/>
      <c r="VAK11" s="114"/>
      <c r="VAL11" s="114"/>
      <c r="VAM11" s="114"/>
      <c r="VAN11" s="114"/>
      <c r="VAO11" s="114"/>
      <c r="VAP11" s="114"/>
      <c r="VAQ11" s="114"/>
      <c r="VAR11" s="114"/>
      <c r="VAS11" s="114"/>
      <c r="VAT11" s="114"/>
      <c r="VAU11" s="114"/>
      <c r="VAV11" s="114"/>
      <c r="VAW11" s="114"/>
      <c r="VAX11" s="114"/>
      <c r="VAY11" s="114"/>
      <c r="VAZ11" s="114"/>
      <c r="VBA11" s="114"/>
      <c r="VBB11" s="114"/>
      <c r="VBC11" s="114"/>
      <c r="VBD11" s="114"/>
      <c r="VBE11" s="114"/>
      <c r="VBF11" s="114"/>
      <c r="VBG11" s="114"/>
      <c r="VBH11" s="114"/>
      <c r="VBI11" s="114"/>
      <c r="VBJ11" s="114"/>
      <c r="VBK11" s="114"/>
      <c r="VBL11" s="114"/>
      <c r="VBM11" s="114"/>
      <c r="VBN11" s="114"/>
      <c r="VBO11" s="114"/>
      <c r="VBP11" s="114"/>
      <c r="VBQ11" s="114"/>
      <c r="VBR11" s="114"/>
      <c r="VBS11" s="114"/>
      <c r="VBT11" s="114"/>
      <c r="VBU11" s="114"/>
      <c r="VBV11" s="114"/>
      <c r="VBW11" s="114"/>
      <c r="VBX11" s="114"/>
      <c r="VBY11" s="114"/>
      <c r="VBZ11" s="114"/>
      <c r="VCA11" s="114"/>
      <c r="VCB11" s="114"/>
      <c r="VCC11" s="114"/>
      <c r="VCD11" s="114"/>
      <c r="VCE11" s="114"/>
      <c r="VCF11" s="114"/>
      <c r="VCG11" s="114"/>
      <c r="VCH11" s="114"/>
      <c r="VCI11" s="114"/>
      <c r="VCJ11" s="114"/>
      <c r="VCK11" s="114"/>
      <c r="VCL11" s="114"/>
      <c r="VCM11" s="114"/>
      <c r="VCN11" s="114"/>
      <c r="VCO11" s="114"/>
      <c r="VCP11" s="114"/>
      <c r="VCQ11" s="114"/>
      <c r="VCR11" s="114"/>
      <c r="VCS11" s="114"/>
      <c r="VCT11" s="114"/>
      <c r="VCU11" s="114"/>
      <c r="VCV11" s="114"/>
      <c r="VCW11" s="114"/>
      <c r="VCX11" s="114"/>
      <c r="VCY11" s="114"/>
      <c r="VCZ11" s="114"/>
      <c r="VDA11" s="114"/>
      <c r="VDB11" s="114"/>
      <c r="VDC11" s="114"/>
      <c r="VDD11" s="114"/>
      <c r="VDE11" s="114"/>
      <c r="VDF11" s="114"/>
      <c r="VDG11" s="114"/>
      <c r="VDH11" s="114"/>
      <c r="VDI11" s="114"/>
      <c r="VDJ11" s="114"/>
      <c r="VDK11" s="114"/>
      <c r="VDL11" s="114"/>
      <c r="VDM11" s="114"/>
      <c r="VDN11" s="114"/>
      <c r="VDO11" s="114"/>
      <c r="VDP11" s="114"/>
      <c r="VDQ11" s="114"/>
      <c r="VDR11" s="114"/>
      <c r="VDS11" s="114"/>
      <c r="VDT11" s="114"/>
      <c r="VDU11" s="114"/>
      <c r="VDV11" s="114"/>
      <c r="VDW11" s="114"/>
      <c r="VDX11" s="114"/>
      <c r="VDY11" s="114"/>
      <c r="VDZ11" s="114"/>
      <c r="VEA11" s="114"/>
      <c r="VEB11" s="114"/>
      <c r="VEC11" s="114"/>
      <c r="VED11" s="114"/>
      <c r="VEE11" s="114"/>
      <c r="VEF11" s="114"/>
      <c r="VEG11" s="114"/>
      <c r="VEH11" s="114"/>
      <c r="VEI11" s="114"/>
      <c r="VEJ11" s="114"/>
      <c r="VEK11" s="114"/>
      <c r="VEL11" s="114"/>
      <c r="VEM11" s="114"/>
      <c r="VEN11" s="114"/>
      <c r="VEO11" s="114"/>
      <c r="VEP11" s="114"/>
      <c r="VEQ11" s="114"/>
      <c r="VER11" s="114"/>
      <c r="VES11" s="114"/>
      <c r="VET11" s="114"/>
      <c r="VEU11" s="114"/>
      <c r="VEV11" s="114"/>
      <c r="VEW11" s="114"/>
      <c r="VEX11" s="114"/>
      <c r="VEY11" s="114"/>
      <c r="VEZ11" s="114"/>
      <c r="VFA11" s="114"/>
      <c r="VFB11" s="114"/>
      <c r="VFC11" s="114"/>
      <c r="VFD11" s="114"/>
      <c r="VFE11" s="114"/>
      <c r="VFF11" s="114"/>
      <c r="VFG11" s="114"/>
      <c r="VFH11" s="114"/>
      <c r="VFI11" s="114"/>
      <c r="VFJ11" s="114"/>
      <c r="VFK11" s="114"/>
      <c r="VFL11" s="114"/>
      <c r="VFM11" s="114"/>
      <c r="VFN11" s="114"/>
      <c r="VFO11" s="114"/>
      <c r="VFP11" s="114"/>
      <c r="VFQ11" s="114"/>
      <c r="VFR11" s="114"/>
      <c r="VFS11" s="114"/>
      <c r="VFT11" s="114"/>
      <c r="VFU11" s="114"/>
      <c r="VFV11" s="114"/>
      <c r="VFW11" s="114"/>
      <c r="VFX11" s="114"/>
      <c r="VFY11" s="114"/>
      <c r="VFZ11" s="114"/>
      <c r="VGA11" s="114"/>
      <c r="VGB11" s="114"/>
      <c r="VGC11" s="114"/>
      <c r="VGD11" s="114"/>
      <c r="VGE11" s="114"/>
      <c r="VGF11" s="114"/>
      <c r="VGG11" s="114"/>
      <c r="VGH11" s="114"/>
      <c r="VGI11" s="114"/>
      <c r="VGJ11" s="114"/>
      <c r="VGK11" s="114"/>
      <c r="VGL11" s="114"/>
      <c r="VGM11" s="114"/>
      <c r="VGN11" s="114"/>
      <c r="VGO11" s="114"/>
      <c r="VGP11" s="114"/>
      <c r="VGQ11" s="114"/>
      <c r="VGR11" s="114"/>
      <c r="VGS11" s="114"/>
      <c r="VGT11" s="114"/>
      <c r="VGU11" s="114"/>
      <c r="VGV11" s="114"/>
      <c r="VGW11" s="114"/>
      <c r="VGX11" s="114"/>
      <c r="VGY11" s="114"/>
      <c r="VGZ11" s="114"/>
      <c r="VHA11" s="114"/>
      <c r="VHB11" s="114"/>
      <c r="VHC11" s="114"/>
      <c r="VHD11" s="114"/>
      <c r="VHE11" s="114"/>
      <c r="VHF11" s="114"/>
      <c r="VHG11" s="114"/>
      <c r="VHH11" s="114"/>
      <c r="VHI11" s="114"/>
      <c r="VHJ11" s="114"/>
      <c r="VHK11" s="114"/>
      <c r="VHL11" s="114"/>
      <c r="VHM11" s="114"/>
      <c r="VHN11" s="114"/>
      <c r="VHO11" s="114"/>
      <c r="VHP11" s="114"/>
      <c r="VHQ11" s="114"/>
      <c r="VHR11" s="114"/>
      <c r="VHS11" s="114"/>
      <c r="VHT11" s="114"/>
      <c r="VHU11" s="114"/>
      <c r="VHV11" s="114"/>
      <c r="VHW11" s="114"/>
      <c r="VHX11" s="114"/>
      <c r="VHY11" s="114"/>
      <c r="VHZ11" s="114"/>
      <c r="VIA11" s="114"/>
      <c r="VIB11" s="114"/>
      <c r="VIC11" s="114"/>
      <c r="VID11" s="114"/>
      <c r="VIE11" s="114"/>
      <c r="VIF11" s="114"/>
      <c r="VIG11" s="114"/>
      <c r="VIH11" s="114"/>
      <c r="VII11" s="114"/>
      <c r="VIJ11" s="114"/>
      <c r="VIK11" s="114"/>
      <c r="VIL11" s="114"/>
      <c r="VIM11" s="114"/>
      <c r="VIN11" s="114"/>
      <c r="VIO11" s="114"/>
      <c r="VIP11" s="114"/>
      <c r="VIQ11" s="114"/>
      <c r="VIR11" s="114"/>
      <c r="VIS11" s="114"/>
      <c r="VIT11" s="114"/>
      <c r="VIU11" s="114"/>
      <c r="VIV11" s="114"/>
      <c r="VIW11" s="114"/>
      <c r="VIX11" s="114"/>
      <c r="VIY11" s="114"/>
      <c r="VIZ11" s="114"/>
      <c r="VJA11" s="114"/>
      <c r="VJB11" s="114"/>
      <c r="VJC11" s="114"/>
      <c r="VJD11" s="114"/>
      <c r="VJE11" s="114"/>
      <c r="VJF11" s="114"/>
      <c r="VJG11" s="114"/>
      <c r="VJH11" s="114"/>
      <c r="VJI11" s="114"/>
      <c r="VJJ11" s="114"/>
      <c r="VJK11" s="114"/>
      <c r="VJL11" s="114"/>
      <c r="VJM11" s="114"/>
      <c r="VJN11" s="114"/>
      <c r="VJO11" s="114"/>
      <c r="VJP11" s="114"/>
      <c r="VJQ11" s="114"/>
      <c r="VJR11" s="114"/>
      <c r="VJS11" s="114"/>
      <c r="VJT11" s="114"/>
      <c r="VJU11" s="114"/>
      <c r="VJV11" s="114"/>
      <c r="VJW11" s="114"/>
      <c r="VJX11" s="114"/>
      <c r="VJY11" s="114"/>
      <c r="VJZ11" s="114"/>
      <c r="VKA11" s="114"/>
      <c r="VKB11" s="114"/>
      <c r="VKC11" s="114"/>
      <c r="VKD11" s="114"/>
      <c r="VKE11" s="114"/>
      <c r="VKF11" s="114"/>
      <c r="VKG11" s="114"/>
      <c r="VKH11" s="114"/>
      <c r="VKI11" s="114"/>
      <c r="VKJ11" s="114"/>
      <c r="VKK11" s="114"/>
      <c r="VKL11" s="114"/>
      <c r="VKM11" s="114"/>
      <c r="VKN11" s="114"/>
      <c r="VKO11" s="114"/>
      <c r="VKP11" s="114"/>
      <c r="VKQ11" s="114"/>
      <c r="VKR11" s="114"/>
      <c r="VKS11" s="114"/>
      <c r="VKT11" s="114"/>
      <c r="VKU11" s="114"/>
      <c r="VKV11" s="114"/>
      <c r="VKW11" s="114"/>
      <c r="VKX11" s="114"/>
      <c r="VKY11" s="114"/>
      <c r="VKZ11" s="114"/>
      <c r="VLA11" s="114"/>
      <c r="VLB11" s="114"/>
      <c r="VLC11" s="114"/>
      <c r="VLD11" s="114"/>
      <c r="VLE11" s="114"/>
      <c r="VLF11" s="114"/>
      <c r="VLG11" s="114"/>
      <c r="VLH11" s="114"/>
      <c r="VLI11" s="114"/>
      <c r="VLJ11" s="114"/>
      <c r="VLK11" s="114"/>
      <c r="VLL11" s="114"/>
      <c r="VLM11" s="114"/>
      <c r="VLN11" s="114"/>
      <c r="VLO11" s="114"/>
      <c r="VLP11" s="114"/>
      <c r="VLQ11" s="114"/>
      <c r="VLR11" s="114"/>
      <c r="VLS11" s="114"/>
      <c r="VLT11" s="114"/>
      <c r="VLU11" s="114"/>
      <c r="VLV11" s="114"/>
      <c r="VLW11" s="114"/>
      <c r="VLX11" s="114"/>
      <c r="VLY11" s="114"/>
      <c r="VLZ11" s="114"/>
      <c r="VMA11" s="114"/>
      <c r="VMB11" s="114"/>
      <c r="VMC11" s="114"/>
      <c r="VMD11" s="114"/>
      <c r="VME11" s="114"/>
      <c r="VMF11" s="114"/>
      <c r="VMG11" s="114"/>
      <c r="VMH11" s="114"/>
      <c r="VMI11" s="114"/>
      <c r="VMJ11" s="114"/>
      <c r="VMK11" s="114"/>
      <c r="VML11" s="114"/>
      <c r="VMM11" s="114"/>
      <c r="VMN11" s="114"/>
      <c r="VMO11" s="114"/>
      <c r="VMP11" s="114"/>
      <c r="VMQ11" s="114"/>
      <c r="VMR11" s="114"/>
      <c r="VMS11" s="114"/>
      <c r="VMT11" s="114"/>
      <c r="VMU11" s="114"/>
      <c r="VMV11" s="114"/>
      <c r="VMW11" s="114"/>
      <c r="VMX11" s="114"/>
      <c r="VMY11" s="114"/>
      <c r="VMZ11" s="114"/>
      <c r="VNA11" s="114"/>
      <c r="VNB11" s="114"/>
      <c r="VNC11" s="114"/>
      <c r="VND11" s="114"/>
      <c r="VNE11" s="114"/>
      <c r="VNF11" s="114"/>
      <c r="VNG11" s="114"/>
      <c r="VNH11" s="114"/>
      <c r="VNI11" s="114"/>
      <c r="VNJ11" s="114"/>
      <c r="VNK11" s="114"/>
      <c r="VNL11" s="114"/>
      <c r="VNM11" s="114"/>
      <c r="VNN11" s="114"/>
      <c r="VNO11" s="114"/>
      <c r="VNP11" s="114"/>
      <c r="VNQ11" s="114"/>
      <c r="VNR11" s="114"/>
      <c r="VNS11" s="114"/>
      <c r="VNT11" s="114"/>
      <c r="VNU11" s="114"/>
      <c r="VNV11" s="114"/>
      <c r="VNW11" s="114"/>
      <c r="VNX11" s="114"/>
      <c r="VNY11" s="114"/>
      <c r="VNZ11" s="114"/>
      <c r="VOA11" s="114"/>
      <c r="VOB11" s="114"/>
      <c r="VOC11" s="114"/>
      <c r="VOD11" s="114"/>
      <c r="VOE11" s="114"/>
      <c r="VOF11" s="114"/>
      <c r="VOG11" s="114"/>
      <c r="VOH11" s="114"/>
      <c r="VOI11" s="114"/>
      <c r="VOJ11" s="114"/>
      <c r="VOK11" s="114"/>
      <c r="VOL11" s="114"/>
      <c r="VOM11" s="114"/>
      <c r="VON11" s="114"/>
      <c r="VOO11" s="114"/>
      <c r="VOP11" s="114"/>
      <c r="VOQ11" s="114"/>
      <c r="VOR11" s="114"/>
      <c r="VOS11" s="114"/>
      <c r="VOT11" s="114"/>
      <c r="VOU11" s="114"/>
      <c r="VOV11" s="114"/>
      <c r="VOW11" s="114"/>
      <c r="VOX11" s="114"/>
      <c r="VOY11" s="114"/>
      <c r="VOZ11" s="114"/>
      <c r="VPA11" s="114"/>
      <c r="VPB11" s="114"/>
      <c r="VPC11" s="114"/>
      <c r="VPD11" s="114"/>
      <c r="VPE11" s="114"/>
      <c r="VPF11" s="114"/>
      <c r="VPG11" s="114"/>
      <c r="VPH11" s="114"/>
      <c r="VPI11" s="114"/>
      <c r="VPJ11" s="114"/>
      <c r="VPK11" s="114"/>
      <c r="VPL11" s="114"/>
      <c r="VPM11" s="114"/>
      <c r="VPN11" s="114"/>
      <c r="VPO11" s="114"/>
      <c r="VPP11" s="114"/>
      <c r="VPQ11" s="114"/>
      <c r="VPR11" s="114"/>
      <c r="VPS11" s="114"/>
      <c r="VPT11" s="114"/>
      <c r="VPU11" s="114"/>
      <c r="VPV11" s="114"/>
      <c r="VPW11" s="114"/>
      <c r="VPX11" s="114"/>
      <c r="VPY11" s="114"/>
      <c r="VPZ11" s="114"/>
      <c r="VQA11" s="114"/>
      <c r="VQB11" s="114"/>
      <c r="VQC11" s="114"/>
      <c r="VQD11" s="114"/>
      <c r="VQE11" s="114"/>
      <c r="VQF11" s="114"/>
      <c r="VQG11" s="114"/>
      <c r="VQH11" s="114"/>
      <c r="VQI11" s="114"/>
      <c r="VQJ11" s="114"/>
      <c r="VQK11" s="114"/>
      <c r="VQL11" s="114"/>
      <c r="VQM11" s="114"/>
      <c r="VQN11" s="114"/>
      <c r="VQO11" s="114"/>
      <c r="VQP11" s="114"/>
      <c r="VQQ11" s="114"/>
      <c r="VQR11" s="114"/>
      <c r="VQS11" s="114"/>
      <c r="VQT11" s="114"/>
      <c r="VQU11" s="114"/>
      <c r="VQV11" s="114"/>
      <c r="VQW11" s="114"/>
      <c r="VQX11" s="114"/>
      <c r="VQY11" s="114"/>
      <c r="VQZ11" s="114"/>
      <c r="VRA11" s="114"/>
      <c r="VRB11" s="114"/>
      <c r="VRC11" s="114"/>
      <c r="VRD11" s="114"/>
      <c r="VRE11" s="114"/>
      <c r="VRF11" s="114"/>
      <c r="VRG11" s="114"/>
      <c r="VRH11" s="114"/>
      <c r="VRI11" s="114"/>
      <c r="VRJ11" s="114"/>
      <c r="VRK11" s="114"/>
      <c r="VRL11" s="114"/>
      <c r="VRM11" s="114"/>
      <c r="VRN11" s="114"/>
      <c r="VRO11" s="114"/>
      <c r="VRP11" s="114"/>
      <c r="VRQ11" s="114"/>
      <c r="VRR11" s="114"/>
      <c r="VRS11" s="114"/>
      <c r="VRT11" s="114"/>
      <c r="VRU11" s="114"/>
      <c r="VRV11" s="114"/>
      <c r="VRW11" s="114"/>
      <c r="VRX11" s="114"/>
      <c r="VRY11" s="114"/>
      <c r="VRZ11" s="114"/>
      <c r="VSA11" s="114"/>
      <c r="VSB11" s="114"/>
      <c r="VSC11" s="114"/>
      <c r="VSD11" s="114"/>
      <c r="VSE11" s="114"/>
      <c r="VSF11" s="114"/>
      <c r="VSG11" s="114"/>
      <c r="VSH11" s="114"/>
      <c r="VSI11" s="114"/>
      <c r="VSJ11" s="114"/>
      <c r="VSK11" s="114"/>
      <c r="VSL11" s="114"/>
      <c r="VSM11" s="114"/>
      <c r="VSN11" s="114"/>
      <c r="VSO11" s="114"/>
      <c r="VSP11" s="114"/>
      <c r="VSQ11" s="114"/>
      <c r="VSR11" s="114"/>
      <c r="VSS11" s="114"/>
      <c r="VST11" s="114"/>
      <c r="VSU11" s="114"/>
      <c r="VSV11" s="114"/>
      <c r="VSW11" s="114"/>
      <c r="VSX11" s="114"/>
      <c r="VSY11" s="114"/>
      <c r="VSZ11" s="114"/>
      <c r="VTA11" s="114"/>
      <c r="VTB11" s="114"/>
      <c r="VTC11" s="114"/>
      <c r="VTD11" s="114"/>
      <c r="VTE11" s="114"/>
      <c r="VTF11" s="114"/>
      <c r="VTG11" s="114"/>
      <c r="VTH11" s="114"/>
      <c r="VTI11" s="114"/>
      <c r="VTJ11" s="114"/>
      <c r="VTK11" s="114"/>
      <c r="VTL11" s="114"/>
      <c r="VTM11" s="114"/>
      <c r="VTN11" s="114"/>
      <c r="VTO11" s="114"/>
      <c r="VTP11" s="114"/>
      <c r="VTQ11" s="114"/>
      <c r="VTR11" s="114"/>
      <c r="VTS11" s="114"/>
      <c r="VTT11" s="114"/>
      <c r="VTU11" s="114"/>
      <c r="VTV11" s="114"/>
      <c r="VTW11" s="114"/>
      <c r="VTX11" s="114"/>
      <c r="VTY11" s="114"/>
      <c r="VTZ11" s="114"/>
      <c r="VUA11" s="114"/>
      <c r="VUB11" s="114"/>
      <c r="VUC11" s="114"/>
      <c r="VUD11" s="114"/>
      <c r="VUE11" s="114"/>
      <c r="VUF11" s="114"/>
      <c r="VUG11" s="114"/>
      <c r="VUH11" s="114"/>
      <c r="VUI11" s="114"/>
      <c r="VUJ11" s="114"/>
      <c r="VUK11" s="114"/>
      <c r="VUL11" s="114"/>
      <c r="VUM11" s="114"/>
      <c r="VUN11" s="114"/>
      <c r="VUO11" s="114"/>
      <c r="VUP11" s="114"/>
      <c r="VUQ11" s="114"/>
      <c r="VUR11" s="114"/>
      <c r="VUS11" s="114"/>
      <c r="VUT11" s="114"/>
      <c r="VUU11" s="114"/>
      <c r="VUV11" s="114"/>
      <c r="VUW11" s="114"/>
      <c r="VUX11" s="114"/>
      <c r="VUY11" s="114"/>
      <c r="VUZ11" s="114"/>
      <c r="VVA11" s="114"/>
      <c r="VVB11" s="114"/>
      <c r="VVC11" s="114"/>
      <c r="VVD11" s="114"/>
      <c r="VVE11" s="114"/>
      <c r="VVF11" s="114"/>
      <c r="VVG11" s="114"/>
      <c r="VVH11" s="114"/>
      <c r="VVI11" s="114"/>
      <c r="VVJ11" s="114"/>
      <c r="VVK11" s="114"/>
      <c r="VVL11" s="114"/>
      <c r="VVM11" s="114"/>
      <c r="VVN11" s="114"/>
      <c r="VVO11" s="114"/>
      <c r="VVP11" s="114"/>
      <c r="VVQ11" s="114"/>
      <c r="VVR11" s="114"/>
      <c r="VVS11" s="114"/>
      <c r="VVT11" s="114"/>
      <c r="VVU11" s="114"/>
      <c r="VVV11" s="114"/>
      <c r="VVW11" s="114"/>
      <c r="VVX11" s="114"/>
      <c r="VVY11" s="114"/>
      <c r="VVZ11" s="114"/>
      <c r="VWA11" s="114"/>
      <c r="VWB11" s="114"/>
      <c r="VWC11" s="114"/>
      <c r="VWD11" s="114"/>
      <c r="VWE11" s="114"/>
      <c r="VWF11" s="114"/>
      <c r="VWG11" s="114"/>
      <c r="VWH11" s="114"/>
      <c r="VWI11" s="114"/>
      <c r="VWJ11" s="114"/>
      <c r="VWK11" s="114"/>
      <c r="VWL11" s="114"/>
      <c r="VWM11" s="114"/>
      <c r="VWN11" s="114"/>
      <c r="VWO11" s="114"/>
      <c r="VWP11" s="114"/>
      <c r="VWQ11" s="114"/>
      <c r="VWR11" s="114"/>
      <c r="VWS11" s="114"/>
      <c r="VWT11" s="114"/>
      <c r="VWU11" s="114"/>
      <c r="VWV11" s="114"/>
      <c r="VWW11" s="114"/>
      <c r="VWX11" s="114"/>
      <c r="VWY11" s="114"/>
      <c r="VWZ11" s="114"/>
      <c r="VXA11" s="114"/>
      <c r="VXB11" s="114"/>
      <c r="VXC11" s="114"/>
      <c r="VXD11" s="114"/>
      <c r="VXE11" s="114"/>
      <c r="VXF11" s="114"/>
      <c r="VXG11" s="114"/>
      <c r="VXH11" s="114"/>
      <c r="VXI11" s="114"/>
      <c r="VXJ11" s="114"/>
      <c r="VXK11" s="114"/>
      <c r="VXL11" s="114"/>
      <c r="VXM11" s="114"/>
      <c r="VXN11" s="114"/>
      <c r="VXO11" s="114"/>
      <c r="VXP11" s="114"/>
      <c r="VXQ11" s="114"/>
      <c r="VXR11" s="114"/>
      <c r="VXS11" s="114"/>
      <c r="VXT11" s="114"/>
      <c r="VXU11" s="114"/>
      <c r="VXV11" s="114"/>
      <c r="VXW11" s="114"/>
      <c r="VXX11" s="114"/>
      <c r="VXY11" s="114"/>
      <c r="VXZ11" s="114"/>
      <c r="VYA11" s="114"/>
      <c r="VYB11" s="114"/>
      <c r="VYC11" s="114"/>
      <c r="VYD11" s="114"/>
      <c r="VYE11" s="114"/>
      <c r="VYF11" s="114"/>
      <c r="VYG11" s="114"/>
      <c r="VYH11" s="114"/>
      <c r="VYI11" s="114"/>
      <c r="VYJ11" s="114"/>
      <c r="VYK11" s="114"/>
      <c r="VYL11" s="114"/>
      <c r="VYM11" s="114"/>
      <c r="VYN11" s="114"/>
      <c r="VYO11" s="114"/>
      <c r="VYP11" s="114"/>
      <c r="VYQ11" s="114"/>
      <c r="VYR11" s="114"/>
      <c r="VYS11" s="114"/>
      <c r="VYT11" s="114"/>
      <c r="VYU11" s="114"/>
      <c r="VYV11" s="114"/>
      <c r="VYW11" s="114"/>
      <c r="VYX11" s="114"/>
      <c r="VYY11" s="114"/>
      <c r="VYZ11" s="114"/>
      <c r="VZA11" s="114"/>
      <c r="VZB11" s="114"/>
      <c r="VZC11" s="114"/>
      <c r="VZD11" s="114"/>
      <c r="VZE11" s="114"/>
      <c r="VZF11" s="114"/>
      <c r="VZG11" s="114"/>
      <c r="VZH11" s="114"/>
      <c r="VZI11" s="114"/>
      <c r="VZJ11" s="114"/>
      <c r="VZK11" s="114"/>
      <c r="VZL11" s="114"/>
      <c r="VZM11" s="114"/>
      <c r="VZN11" s="114"/>
      <c r="VZO11" s="114"/>
      <c r="VZP11" s="114"/>
      <c r="VZQ11" s="114"/>
      <c r="VZR11" s="114"/>
      <c r="VZS11" s="114"/>
      <c r="VZT11" s="114"/>
      <c r="VZU11" s="114"/>
      <c r="VZV11" s="114"/>
      <c r="VZW11" s="114"/>
      <c r="VZX11" s="114"/>
      <c r="VZY11" s="114"/>
      <c r="VZZ11" s="114"/>
      <c r="WAA11" s="114"/>
      <c r="WAB11" s="114"/>
      <c r="WAC11" s="114"/>
      <c r="WAD11" s="114"/>
      <c r="WAE11" s="114"/>
      <c r="WAF11" s="114"/>
      <c r="WAG11" s="114"/>
      <c r="WAH11" s="114"/>
      <c r="WAI11" s="114"/>
      <c r="WAJ11" s="114"/>
      <c r="WAK11" s="114"/>
      <c r="WAL11" s="114"/>
      <c r="WAM11" s="114"/>
      <c r="WAN11" s="114"/>
      <c r="WAO11" s="114"/>
      <c r="WAP11" s="114"/>
      <c r="WAQ11" s="114"/>
      <c r="WAR11" s="114"/>
      <c r="WAS11" s="114"/>
      <c r="WAT11" s="114"/>
      <c r="WAU11" s="114"/>
      <c r="WAV11" s="114"/>
      <c r="WAW11" s="114"/>
      <c r="WAX11" s="114"/>
      <c r="WAY11" s="114"/>
      <c r="WAZ11" s="114"/>
      <c r="WBA11" s="114"/>
      <c r="WBB11" s="114"/>
      <c r="WBC11" s="114"/>
      <c r="WBD11" s="114"/>
      <c r="WBE11" s="114"/>
      <c r="WBF11" s="114"/>
      <c r="WBG11" s="114"/>
      <c r="WBH11" s="114"/>
      <c r="WBI11" s="114"/>
      <c r="WBJ11" s="114"/>
      <c r="WBK11" s="114"/>
      <c r="WBL11" s="114"/>
      <c r="WBM11" s="114"/>
      <c r="WBN11" s="114"/>
      <c r="WBO11" s="114"/>
      <c r="WBP11" s="114"/>
      <c r="WBQ11" s="114"/>
      <c r="WBR11" s="114"/>
      <c r="WBS11" s="114"/>
      <c r="WBT11" s="114"/>
      <c r="WBU11" s="114"/>
      <c r="WBV11" s="114"/>
      <c r="WBW11" s="114"/>
      <c r="WBX11" s="114"/>
      <c r="WBY11" s="114"/>
      <c r="WBZ11" s="114"/>
      <c r="WCA11" s="114"/>
      <c r="WCB11" s="114"/>
      <c r="WCC11" s="114"/>
      <c r="WCD11" s="114"/>
      <c r="WCE11" s="114"/>
      <c r="WCF11" s="114"/>
      <c r="WCG11" s="114"/>
      <c r="WCH11" s="114"/>
      <c r="WCI11" s="114"/>
      <c r="WCJ11" s="114"/>
      <c r="WCK11" s="114"/>
      <c r="WCL11" s="114"/>
      <c r="WCM11" s="114"/>
      <c r="WCN11" s="114"/>
      <c r="WCO11" s="114"/>
      <c r="WCP11" s="114"/>
      <c r="WCQ11" s="114"/>
      <c r="WCR11" s="114"/>
      <c r="WCS11" s="114"/>
      <c r="WCT11" s="114"/>
      <c r="WCU11" s="114"/>
      <c r="WCV11" s="114"/>
      <c r="WCW11" s="114"/>
      <c r="WCX11" s="114"/>
      <c r="WCY11" s="114"/>
      <c r="WCZ11" s="114"/>
      <c r="WDA11" s="114"/>
      <c r="WDB11" s="114"/>
      <c r="WDC11" s="114"/>
      <c r="WDD11" s="114"/>
      <c r="WDE11" s="114"/>
      <c r="WDF11" s="114"/>
      <c r="WDG11" s="114"/>
      <c r="WDH11" s="114"/>
      <c r="WDI11" s="114"/>
      <c r="WDJ11" s="114"/>
      <c r="WDK11" s="114"/>
      <c r="WDL11" s="114"/>
      <c r="WDM11" s="114"/>
      <c r="WDN11" s="114"/>
      <c r="WDO11" s="114"/>
      <c r="WDP11" s="114"/>
      <c r="WDQ11" s="114"/>
      <c r="WDR11" s="114"/>
      <c r="WDS11" s="114"/>
      <c r="WDT11" s="114"/>
      <c r="WDU11" s="114"/>
      <c r="WDV11" s="114"/>
      <c r="WDW11" s="114"/>
      <c r="WDX11" s="114"/>
      <c r="WDY11" s="114"/>
      <c r="WDZ11" s="114"/>
      <c r="WEA11" s="114"/>
      <c r="WEB11" s="114"/>
      <c r="WEC11" s="114"/>
      <c r="WED11" s="114"/>
      <c r="WEE11" s="114"/>
      <c r="WEF11" s="114"/>
      <c r="WEG11" s="114"/>
      <c r="WEH11" s="114"/>
      <c r="WEI11" s="114"/>
      <c r="WEJ11" s="114"/>
      <c r="WEK11" s="114"/>
      <c r="WEL11" s="114"/>
      <c r="WEM11" s="114"/>
      <c r="WEN11" s="114"/>
      <c r="WEO11" s="114"/>
      <c r="WEP11" s="114"/>
      <c r="WEQ11" s="114"/>
      <c r="WER11" s="114"/>
      <c r="WES11" s="114"/>
      <c r="WET11" s="114"/>
      <c r="WEU11" s="114"/>
      <c r="WEV11" s="114"/>
      <c r="WEW11" s="114"/>
      <c r="WEX11" s="114"/>
      <c r="WEY11" s="114"/>
      <c r="WEZ11" s="114"/>
      <c r="WFA11" s="114"/>
      <c r="WFB11" s="114"/>
      <c r="WFC11" s="114"/>
      <c r="WFD11" s="114"/>
      <c r="WFE11" s="114"/>
      <c r="WFF11" s="114"/>
      <c r="WFG11" s="114"/>
      <c r="WFH11" s="114"/>
      <c r="WFI11" s="114"/>
      <c r="WFJ11" s="114"/>
      <c r="WFK11" s="114"/>
      <c r="WFL11" s="114"/>
      <c r="WFM11" s="114"/>
      <c r="WFN11" s="114"/>
      <c r="WFO11" s="114"/>
      <c r="WFP11" s="114"/>
      <c r="WFQ11" s="114"/>
      <c r="WFR11" s="114"/>
      <c r="WFS11" s="114"/>
      <c r="WFT11" s="114"/>
      <c r="WFU11" s="114"/>
      <c r="WFV11" s="114"/>
      <c r="WFW11" s="114"/>
      <c r="WFX11" s="114"/>
      <c r="WFY11" s="114"/>
      <c r="WFZ11" s="114"/>
      <c r="WGA11" s="114"/>
      <c r="WGB11" s="114"/>
      <c r="WGC11" s="114"/>
      <c r="WGD11" s="114"/>
      <c r="WGE11" s="114"/>
      <c r="WGF11" s="114"/>
      <c r="WGG11" s="114"/>
      <c r="WGH11" s="114"/>
      <c r="WGI11" s="114"/>
      <c r="WGJ11" s="114"/>
      <c r="WGK11" s="114"/>
      <c r="WGL11" s="114"/>
      <c r="WGM11" s="114"/>
      <c r="WGN11" s="114"/>
      <c r="WGO11" s="114"/>
      <c r="WGP11" s="114"/>
      <c r="WGQ11" s="114"/>
      <c r="WGR11" s="114"/>
      <c r="WGS11" s="114"/>
      <c r="WGT11" s="114"/>
      <c r="WGU11" s="114"/>
      <c r="WGV11" s="114"/>
      <c r="WGW11" s="114"/>
      <c r="WGX11" s="114"/>
      <c r="WGY11" s="114"/>
      <c r="WGZ11" s="114"/>
      <c r="WHA11" s="114"/>
      <c r="WHB11" s="114"/>
      <c r="WHC11" s="114"/>
      <c r="WHD11" s="114"/>
      <c r="WHE11" s="114"/>
      <c r="WHF11" s="114"/>
      <c r="WHG11" s="114"/>
      <c r="WHH11" s="114"/>
      <c r="WHI11" s="114"/>
      <c r="WHJ11" s="114"/>
      <c r="WHK11" s="114"/>
      <c r="WHL11" s="114"/>
      <c r="WHM11" s="114"/>
      <c r="WHN11" s="114"/>
      <c r="WHO11" s="114"/>
      <c r="WHP11" s="114"/>
      <c r="WHQ11" s="114"/>
      <c r="WHR11" s="114"/>
      <c r="WHS11" s="114"/>
      <c r="WHT11" s="114"/>
      <c r="WHU11" s="114"/>
      <c r="WHV11" s="114"/>
      <c r="WHW11" s="114"/>
      <c r="WHX11" s="114"/>
      <c r="WHY11" s="114"/>
      <c r="WHZ11" s="114"/>
      <c r="WIA11" s="114"/>
      <c r="WIB11" s="114"/>
      <c r="WIC11" s="114"/>
      <c r="WID11" s="114"/>
      <c r="WIE11" s="114"/>
      <c r="WIF11" s="114"/>
      <c r="WIG11" s="114"/>
      <c r="WIH11" s="114"/>
      <c r="WII11" s="114"/>
      <c r="WIJ11" s="114"/>
      <c r="WIK11" s="114"/>
      <c r="WIL11" s="114"/>
      <c r="WIM11" s="114"/>
      <c r="WIN11" s="114"/>
      <c r="WIO11" s="114"/>
      <c r="WIP11" s="114"/>
      <c r="WIQ11" s="114"/>
      <c r="WIR11" s="114"/>
      <c r="WIS11" s="114"/>
      <c r="WIT11" s="114"/>
      <c r="WIU11" s="114"/>
      <c r="WIV11" s="114"/>
      <c r="WIW11" s="114"/>
      <c r="WIX11" s="114"/>
      <c r="WIY11" s="114"/>
      <c r="WIZ11" s="114"/>
      <c r="WJA11" s="114"/>
      <c r="WJB11" s="114"/>
      <c r="WJC11" s="114"/>
      <c r="WJD11" s="114"/>
      <c r="WJE11" s="114"/>
      <c r="WJF11" s="114"/>
      <c r="WJG11" s="114"/>
      <c r="WJH11" s="114"/>
      <c r="WJI11" s="114"/>
      <c r="WJJ11" s="114"/>
      <c r="WJK11" s="114"/>
      <c r="WJL11" s="114"/>
      <c r="WJM11" s="114"/>
      <c r="WJN11" s="114"/>
      <c r="WJO11" s="114"/>
      <c r="WJP11" s="114"/>
      <c r="WJQ11" s="114"/>
      <c r="WJR11" s="114"/>
      <c r="WJS11" s="114"/>
      <c r="WJT11" s="114"/>
      <c r="WJU11" s="114"/>
      <c r="WJV11" s="114"/>
      <c r="WJW11" s="114"/>
      <c r="WJX11" s="114"/>
      <c r="WJY11" s="114"/>
      <c r="WJZ11" s="114"/>
      <c r="WKA11" s="114"/>
      <c r="WKB11" s="114"/>
      <c r="WKC11" s="114"/>
      <c r="WKD11" s="114"/>
      <c r="WKE11" s="114"/>
      <c r="WKF11" s="114"/>
      <c r="WKG11" s="114"/>
      <c r="WKH11" s="114"/>
      <c r="WKI11" s="114"/>
      <c r="WKJ11" s="114"/>
      <c r="WKK11" s="114"/>
      <c r="WKL11" s="114"/>
      <c r="WKM11" s="114"/>
      <c r="WKN11" s="114"/>
      <c r="WKO11" s="114"/>
      <c r="WKP11" s="114"/>
      <c r="WKQ11" s="114"/>
      <c r="WKR11" s="114"/>
      <c r="WKS11" s="114"/>
      <c r="WKT11" s="114"/>
      <c r="WKU11" s="114"/>
      <c r="WKV11" s="114"/>
      <c r="WKW11" s="114"/>
      <c r="WKX11" s="114"/>
      <c r="WKY11" s="114"/>
      <c r="WKZ11" s="114"/>
      <c r="WLA11" s="114"/>
      <c r="WLB11" s="114"/>
      <c r="WLC11" s="114"/>
      <c r="WLD11" s="114"/>
      <c r="WLE11" s="114"/>
      <c r="WLF11" s="114"/>
      <c r="WLG11" s="114"/>
      <c r="WLH11" s="114"/>
      <c r="WLI11" s="114"/>
      <c r="WLJ11" s="114"/>
      <c r="WLK11" s="114"/>
      <c r="WLL11" s="114"/>
      <c r="WLM11" s="114"/>
      <c r="WLN11" s="114"/>
      <c r="WLO11" s="114"/>
      <c r="WLP11" s="114"/>
      <c r="WLQ11" s="114"/>
      <c r="WLR11" s="114"/>
      <c r="WLS11" s="114"/>
      <c r="WLT11" s="114"/>
      <c r="WLU11" s="114"/>
      <c r="WLV11" s="114"/>
      <c r="WLW11" s="114"/>
      <c r="WLX11" s="114"/>
      <c r="WLY11" s="114"/>
      <c r="WLZ11" s="114"/>
      <c r="WMA11" s="114"/>
      <c r="WMB11" s="114"/>
      <c r="WMC11" s="114"/>
      <c r="WMD11" s="114"/>
      <c r="WME11" s="114"/>
      <c r="WMF11" s="114"/>
      <c r="WMG11" s="114"/>
      <c r="WMH11" s="114"/>
      <c r="WMI11" s="114"/>
      <c r="WMJ11" s="114"/>
      <c r="WMK11" s="114"/>
      <c r="WML11" s="114"/>
      <c r="WMM11" s="114"/>
      <c r="WMN11" s="114"/>
      <c r="WMO11" s="114"/>
      <c r="WMP11" s="114"/>
      <c r="WMQ11" s="114"/>
      <c r="WMR11" s="114"/>
      <c r="WMS11" s="114"/>
      <c r="WMT11" s="114"/>
      <c r="WMU11" s="114"/>
      <c r="WMV11" s="114"/>
      <c r="WMW11" s="114"/>
      <c r="WMX11" s="114"/>
      <c r="WMY11" s="114"/>
      <c r="WMZ11" s="114"/>
      <c r="WNA11" s="114"/>
      <c r="WNB11" s="114"/>
      <c r="WNC11" s="114"/>
      <c r="WND11" s="114"/>
      <c r="WNE11" s="114"/>
      <c r="WNF11" s="114"/>
      <c r="WNG11" s="114"/>
      <c r="WNH11" s="114"/>
      <c r="WNI11" s="114"/>
      <c r="WNJ11" s="114"/>
      <c r="WNK11" s="114"/>
      <c r="WNL11" s="114"/>
      <c r="WNM11" s="114"/>
      <c r="WNN11" s="114"/>
      <c r="WNO11" s="114"/>
      <c r="WNP11" s="114"/>
      <c r="WNQ11" s="114"/>
      <c r="WNR11" s="114"/>
      <c r="WNS11" s="114"/>
      <c r="WNT11" s="114"/>
      <c r="WNU11" s="114"/>
      <c r="WNV11" s="114"/>
      <c r="WNW11" s="114"/>
      <c r="WNX11" s="114"/>
      <c r="WNY11" s="114"/>
      <c r="WNZ11" s="114"/>
      <c r="WOA11" s="114"/>
      <c r="WOB11" s="114"/>
      <c r="WOC11" s="114"/>
      <c r="WOD11" s="114"/>
      <c r="WOE11" s="114"/>
      <c r="WOF11" s="114"/>
      <c r="WOG11" s="114"/>
      <c r="WOH11" s="114"/>
      <c r="WOI11" s="114"/>
      <c r="WOJ11" s="114"/>
      <c r="WOK11" s="114"/>
      <c r="WOL11" s="114"/>
      <c r="WOM11" s="114"/>
      <c r="WON11" s="114"/>
      <c r="WOO11" s="114"/>
      <c r="WOP11" s="114"/>
      <c r="WOQ11" s="114"/>
      <c r="WOR11" s="114"/>
      <c r="WOS11" s="114"/>
      <c r="WOT11" s="114"/>
      <c r="WOU11" s="114"/>
      <c r="WOV11" s="114"/>
      <c r="WOW11" s="114"/>
      <c r="WOX11" s="114"/>
      <c r="WOY11" s="114"/>
      <c r="WOZ11" s="114"/>
      <c r="WPA11" s="114"/>
      <c r="WPB11" s="114"/>
      <c r="WPC11" s="114"/>
      <c r="WPD11" s="114"/>
      <c r="WPE11" s="114"/>
      <c r="WPF11" s="114"/>
      <c r="WPG11" s="114"/>
      <c r="WPH11" s="114"/>
      <c r="WPI11" s="114"/>
      <c r="WPJ11" s="114"/>
      <c r="WPK11" s="114"/>
      <c r="WPL11" s="114"/>
      <c r="WPM11" s="114"/>
      <c r="WPN11" s="114"/>
      <c r="WPO11" s="114"/>
      <c r="WPP11" s="114"/>
      <c r="WPQ11" s="114"/>
      <c r="WPR11" s="114"/>
      <c r="WPS11" s="114"/>
      <c r="WPT11" s="114"/>
      <c r="WPU11" s="114"/>
      <c r="WPV11" s="114"/>
      <c r="WPW11" s="114"/>
      <c r="WPX11" s="114"/>
      <c r="WPY11" s="114"/>
      <c r="WPZ11" s="114"/>
      <c r="WQA11" s="114"/>
      <c r="WQB11" s="114"/>
      <c r="WQC11" s="114"/>
      <c r="WQD11" s="114"/>
      <c r="WQE11" s="114"/>
      <c r="WQF11" s="114"/>
      <c r="WQG11" s="114"/>
      <c r="WQH11" s="114"/>
      <c r="WQI11" s="114"/>
      <c r="WQJ11" s="114"/>
      <c r="WQK11" s="114"/>
      <c r="WQL11" s="114"/>
      <c r="WQM11" s="114"/>
      <c r="WQN11" s="114"/>
      <c r="WQO11" s="114"/>
      <c r="WQP11" s="114"/>
      <c r="WQQ11" s="114"/>
      <c r="WQR11" s="114"/>
      <c r="WQS11" s="114"/>
      <c r="WQT11" s="114"/>
      <c r="WQU11" s="114"/>
      <c r="WQV11" s="114"/>
      <c r="WQW11" s="114"/>
      <c r="WQX11" s="114"/>
      <c r="WQY11" s="114"/>
      <c r="WQZ11" s="114"/>
      <c r="WRA11" s="114"/>
      <c r="WRB11" s="114"/>
      <c r="WRC11" s="114"/>
      <c r="WRD11" s="114"/>
      <c r="WRE11" s="114"/>
      <c r="WRF11" s="114"/>
      <c r="WRG11" s="114"/>
      <c r="WRH11" s="114"/>
      <c r="WRI11" s="114"/>
      <c r="WRJ11" s="114"/>
      <c r="WRK11" s="114"/>
      <c r="WRL11" s="114"/>
      <c r="WRM11" s="114"/>
      <c r="WRN11" s="114"/>
      <c r="WRO11" s="114"/>
      <c r="WRP11" s="114"/>
      <c r="WRQ11" s="114"/>
      <c r="WRR11" s="114"/>
      <c r="WRS11" s="114"/>
      <c r="WRT11" s="114"/>
      <c r="WRU11" s="114"/>
      <c r="WRV11" s="114"/>
      <c r="WRW11" s="114"/>
      <c r="WRX11" s="114"/>
      <c r="WRY11" s="114"/>
      <c r="WRZ11" s="114"/>
      <c r="WSA11" s="114"/>
      <c r="WSB11" s="114"/>
      <c r="WSC11" s="114"/>
      <c r="WSD11" s="114"/>
      <c r="WSE11" s="114"/>
      <c r="WSF11" s="114"/>
      <c r="WSG11" s="114"/>
      <c r="WSH11" s="114"/>
      <c r="WSI11" s="114"/>
      <c r="WSJ11" s="114"/>
      <c r="WSK11" s="114"/>
      <c r="WSL11" s="114"/>
      <c r="WSM11" s="114"/>
      <c r="WSN11" s="114"/>
      <c r="WSO11" s="114"/>
      <c r="WSP11" s="114"/>
      <c r="WSQ11" s="114"/>
      <c r="WSR11" s="114"/>
      <c r="WSS11" s="114"/>
      <c r="WST11" s="114"/>
      <c r="WSU11" s="114"/>
      <c r="WSV11" s="114"/>
      <c r="WSW11" s="114"/>
      <c r="WSX11" s="114"/>
      <c r="WSY11" s="114"/>
      <c r="WSZ11" s="114"/>
      <c r="WTA11" s="114"/>
      <c r="WTB11" s="114"/>
      <c r="WTC11" s="114"/>
      <c r="WTD11" s="114"/>
      <c r="WTE11" s="114"/>
      <c r="WTF11" s="114"/>
      <c r="WTG11" s="114"/>
      <c r="WTH11" s="114"/>
      <c r="WTI11" s="114"/>
      <c r="WTJ11" s="114"/>
      <c r="WTK11" s="114"/>
      <c r="WTL11" s="114"/>
      <c r="WTM11" s="114"/>
      <c r="WTN11" s="114"/>
      <c r="WTO11" s="114"/>
      <c r="WTP11" s="114"/>
      <c r="WTQ11" s="114"/>
      <c r="WTR11" s="114"/>
      <c r="WTS11" s="114"/>
      <c r="WTT11" s="114"/>
      <c r="WTU11" s="114"/>
      <c r="WTV11" s="114"/>
      <c r="WTW11" s="114"/>
      <c r="WTX11" s="114"/>
      <c r="WTY11" s="114"/>
      <c r="WTZ11" s="114"/>
      <c r="WUA11" s="114"/>
      <c r="WUB11" s="114"/>
      <c r="WUC11" s="114"/>
      <c r="WUD11" s="114"/>
      <c r="WUE11" s="114"/>
      <c r="WUF11" s="114"/>
      <c r="WUG11" s="114"/>
      <c r="WUH11" s="114"/>
      <c r="WUI11" s="114"/>
      <c r="WUJ11" s="114"/>
      <c r="WUK11" s="114"/>
      <c r="WUL11" s="114"/>
      <c r="WUM11" s="114"/>
      <c r="WUN11" s="114"/>
      <c r="WUO11" s="114"/>
      <c r="WUP11" s="114"/>
      <c r="WUQ11" s="114"/>
      <c r="WUR11" s="114"/>
      <c r="WUS11" s="114"/>
      <c r="WUT11" s="114"/>
      <c r="WUU11" s="114"/>
      <c r="WUV11" s="114"/>
      <c r="WUW11" s="114"/>
      <c r="WUX11" s="114"/>
      <c r="WUY11" s="114"/>
      <c r="WUZ11" s="114"/>
      <c r="WVA11" s="114"/>
      <c r="WVB11" s="114"/>
      <c r="WVC11" s="114"/>
      <c r="WVD11" s="114"/>
      <c r="WVE11" s="114"/>
      <c r="WVF11" s="114"/>
      <c r="WVG11" s="114"/>
      <c r="WVH11" s="114"/>
      <c r="WVI11" s="114"/>
      <c r="WVJ11" s="114"/>
      <c r="WVK11" s="114"/>
      <c r="WVL11" s="114"/>
      <c r="WVM11" s="114"/>
      <c r="WVN11" s="114"/>
      <c r="WVO11" s="114"/>
      <c r="WVP11" s="114"/>
      <c r="WVQ11" s="114"/>
      <c r="WVR11" s="114"/>
      <c r="WVS11" s="114"/>
      <c r="WVT11" s="114"/>
      <c r="WVU11" s="114"/>
      <c r="WVV11" s="114"/>
      <c r="WVW11" s="114"/>
      <c r="WVX11" s="114"/>
      <c r="WVY11" s="114"/>
      <c r="WVZ11" s="114"/>
      <c r="WWA11" s="114"/>
      <c r="WWB11" s="114"/>
      <c r="WWC11" s="114"/>
      <c r="WWD11" s="114"/>
      <c r="WWE11" s="114"/>
      <c r="WWF11" s="114"/>
      <c r="WWG11" s="114"/>
      <c r="WWH11" s="114"/>
      <c r="WWI11" s="114"/>
      <c r="WWJ11" s="114"/>
      <c r="WWK11" s="114"/>
      <c r="WWL11" s="114"/>
      <c r="WWM11" s="114"/>
      <c r="WWN11" s="114"/>
      <c r="WWO11" s="114"/>
      <c r="WWP11" s="114"/>
      <c r="WWQ11" s="114"/>
      <c r="WWR11" s="114"/>
      <c r="WWS11" s="114"/>
      <c r="WWT11" s="114"/>
      <c r="WWU11" s="114"/>
      <c r="WWV11" s="114"/>
      <c r="WWW11" s="114"/>
      <c r="WWX11" s="114"/>
      <c r="WWY11" s="114"/>
      <c r="WWZ11" s="114"/>
      <c r="WXA11" s="114"/>
      <c r="WXB11" s="114"/>
      <c r="WXC11" s="114"/>
      <c r="WXD11" s="114"/>
      <c r="WXE11" s="114"/>
      <c r="WXF11" s="114"/>
      <c r="WXG11" s="114"/>
      <c r="WXH11" s="114"/>
      <c r="WXI11" s="114"/>
      <c r="WXJ11" s="114"/>
      <c r="WXK11" s="114"/>
      <c r="WXL11" s="114"/>
      <c r="WXM11" s="114"/>
      <c r="WXN11" s="114"/>
      <c r="WXO11" s="114"/>
      <c r="WXP11" s="114"/>
      <c r="WXQ11" s="114"/>
      <c r="WXR11" s="114"/>
      <c r="WXS11" s="114"/>
      <c r="WXT11" s="114"/>
      <c r="WXU11" s="114"/>
      <c r="WXV11" s="114"/>
      <c r="WXW11" s="114"/>
      <c r="WXX11" s="114"/>
      <c r="WXY11" s="114"/>
      <c r="WXZ11" s="114"/>
      <c r="WYA11" s="114"/>
      <c r="WYB11" s="114"/>
      <c r="WYC11" s="114"/>
      <c r="WYD11" s="114"/>
      <c r="WYE11" s="114"/>
      <c r="WYF11" s="114"/>
      <c r="WYG11" s="114"/>
      <c r="WYH11" s="114"/>
      <c r="WYI11" s="114"/>
      <c r="WYJ11" s="114"/>
      <c r="WYK11" s="114"/>
      <c r="WYL11" s="114"/>
      <c r="WYM11" s="114"/>
      <c r="WYN11" s="114"/>
      <c r="WYO11" s="114"/>
      <c r="WYP11" s="114"/>
      <c r="WYQ11" s="114"/>
      <c r="WYR11" s="114"/>
      <c r="WYS11" s="114"/>
      <c r="WYT11" s="114"/>
      <c r="WYU11" s="114"/>
      <c r="WYV11" s="114"/>
      <c r="WYW11" s="114"/>
      <c r="WYX11" s="114"/>
      <c r="WYY11" s="114"/>
      <c r="WYZ11" s="114"/>
      <c r="WZA11" s="114"/>
      <c r="WZB11" s="114"/>
      <c r="WZC11" s="114"/>
      <c r="WZD11" s="114"/>
      <c r="WZE11" s="114"/>
      <c r="WZF11" s="114"/>
      <c r="WZG11" s="114"/>
      <c r="WZH11" s="114"/>
      <c r="WZI11" s="114"/>
      <c r="WZJ11" s="114"/>
      <c r="WZK11" s="114"/>
      <c r="WZL11" s="114"/>
      <c r="WZM11" s="114"/>
      <c r="WZN11" s="114"/>
      <c r="WZO11" s="114"/>
      <c r="WZP11" s="114"/>
      <c r="WZQ11" s="114"/>
      <c r="WZR11" s="114"/>
      <c r="WZS11" s="114"/>
      <c r="WZT11" s="114"/>
      <c r="WZU11" s="114"/>
      <c r="WZV11" s="114"/>
      <c r="WZW11" s="114"/>
      <c r="WZX11" s="114"/>
      <c r="WZY11" s="114"/>
      <c r="WZZ11" s="114"/>
      <c r="XAA11" s="114"/>
      <c r="XAB11" s="114"/>
      <c r="XAC11" s="114"/>
      <c r="XAD11" s="114"/>
      <c r="XAE11" s="114"/>
      <c r="XAF11" s="114"/>
      <c r="XAG11" s="114"/>
      <c r="XAH11" s="114"/>
      <c r="XAI11" s="114"/>
      <c r="XAJ11" s="114"/>
      <c r="XAK11" s="114"/>
      <c r="XAL11" s="114"/>
      <c r="XAM11" s="114"/>
      <c r="XAN11" s="114"/>
      <c r="XAO11" s="114"/>
      <c r="XAP11" s="114"/>
      <c r="XAQ11" s="114"/>
      <c r="XAR11" s="114"/>
      <c r="XAS11" s="114"/>
      <c r="XAT11" s="114"/>
      <c r="XAU11" s="114"/>
      <c r="XAV11" s="114"/>
      <c r="XAW11" s="114"/>
      <c r="XAX11" s="114"/>
      <c r="XAY11" s="114"/>
      <c r="XAZ11" s="114"/>
      <c r="XBA11" s="114"/>
      <c r="XBB11" s="114"/>
      <c r="XBC11" s="114"/>
      <c r="XBD11" s="114"/>
      <c r="XBE11" s="114"/>
      <c r="XBF11" s="114"/>
      <c r="XBG11" s="114"/>
      <c r="XBH11" s="114"/>
      <c r="XBI11" s="114"/>
      <c r="XBJ11" s="114"/>
      <c r="XBK11" s="114"/>
      <c r="XBL11" s="114"/>
      <c r="XBM11" s="114"/>
      <c r="XBN11" s="114"/>
      <c r="XBO11" s="114"/>
      <c r="XBP11" s="114"/>
      <c r="XBQ11" s="114"/>
      <c r="XBR11" s="114"/>
      <c r="XBS11" s="114"/>
      <c r="XBT11" s="114"/>
      <c r="XBU11" s="114"/>
      <c r="XBV11" s="114"/>
      <c r="XBW11" s="114"/>
      <c r="XBX11" s="114"/>
      <c r="XBY11" s="114"/>
      <c r="XBZ11" s="114"/>
      <c r="XCA11" s="114"/>
      <c r="XCB11" s="114"/>
      <c r="XCC11" s="114"/>
      <c r="XCD11" s="114"/>
      <c r="XCE11" s="114"/>
      <c r="XCF11" s="114"/>
      <c r="XCG11" s="114"/>
      <c r="XCH11" s="114"/>
      <c r="XCI11" s="114"/>
      <c r="XCJ11" s="114"/>
      <c r="XCK11" s="114"/>
      <c r="XCL11" s="114"/>
      <c r="XCM11" s="114"/>
      <c r="XCN11" s="114"/>
      <c r="XCO11" s="114"/>
      <c r="XCP11" s="114"/>
      <c r="XCQ11" s="114"/>
      <c r="XCR11" s="114"/>
      <c r="XCS11" s="114"/>
      <c r="XCT11" s="114"/>
      <c r="XCU11" s="114"/>
      <c r="XCV11" s="114"/>
      <c r="XCW11" s="114"/>
      <c r="XCX11" s="114"/>
      <c r="XCY11" s="114"/>
      <c r="XCZ11" s="114"/>
      <c r="XDA11" s="114"/>
      <c r="XDB11" s="114"/>
      <c r="XDC11" s="114"/>
      <c r="XDD11" s="114"/>
      <c r="XDE11" s="114"/>
      <c r="XDF11" s="114"/>
      <c r="XDG11" s="114"/>
      <c r="XDH11" s="114"/>
      <c r="XDI11" s="114"/>
      <c r="XDJ11" s="114"/>
      <c r="XDK11" s="114"/>
      <c r="XDL11" s="114"/>
      <c r="XDM11" s="114"/>
      <c r="XDN11" s="114"/>
      <c r="XDO11" s="114"/>
      <c r="XDP11" s="114"/>
      <c r="XDQ11" s="114"/>
      <c r="XDR11" s="114"/>
      <c r="XDS11" s="114"/>
      <c r="XDT11" s="114"/>
      <c r="XDU11" s="114"/>
      <c r="XDV11" s="114"/>
      <c r="XDW11" s="114"/>
      <c r="XDX11" s="114"/>
      <c r="XDY11" s="114"/>
      <c r="XDZ11" s="114"/>
      <c r="XEA11" s="114"/>
      <c r="XEB11" s="114"/>
      <c r="XEC11" s="114"/>
      <c r="XED11" s="114"/>
      <c r="XEE11" s="114"/>
      <c r="XEF11" s="114"/>
      <c r="XEG11" s="114"/>
      <c r="XEH11" s="114"/>
      <c r="XEI11" s="114"/>
      <c r="XEJ11" s="114"/>
      <c r="XEK11" s="114"/>
      <c r="XEL11" s="114"/>
      <c r="XEM11" s="114"/>
      <c r="XEN11" s="114"/>
      <c r="XEO11" s="114"/>
      <c r="XEP11" s="114"/>
      <c r="XEQ11" s="114"/>
      <c r="XER11" s="114"/>
      <c r="XES11" s="114"/>
      <c r="XET11" s="114"/>
      <c r="XEU11" s="114"/>
      <c r="XEV11" s="114"/>
    </row>
    <row r="12" spans="1:16376" ht="13" x14ac:dyDescent="0.3">
      <c r="A12" s="82" t="s">
        <v>1356</v>
      </c>
      <c r="B12" s="154">
        <v>24016</v>
      </c>
      <c r="C12" s="67" t="s">
        <v>2252</v>
      </c>
      <c r="D12" s="111" t="s">
        <v>2140</v>
      </c>
      <c r="E12" s="140" t="s">
        <v>1416</v>
      </c>
      <c r="F12" s="119" t="s">
        <v>5</v>
      </c>
      <c r="G12" s="111" t="s">
        <v>2141</v>
      </c>
      <c r="H12" s="70" t="s">
        <v>510</v>
      </c>
      <c r="I12" s="111" t="s">
        <v>12</v>
      </c>
      <c r="J12" s="111"/>
      <c r="K12" s="70"/>
      <c r="L12" s="74"/>
      <c r="M12" s="158" t="s">
        <v>6</v>
      </c>
      <c r="N12" s="118" t="s">
        <v>1745</v>
      </c>
      <c r="O12" s="113">
        <v>45404</v>
      </c>
      <c r="P12" s="117">
        <v>45491</v>
      </c>
      <c r="Q12" s="187">
        <v>45463</v>
      </c>
      <c r="R12" s="161" t="s">
        <v>6</v>
      </c>
      <c r="S12" s="187">
        <v>45388</v>
      </c>
      <c r="T12" s="187">
        <v>45388</v>
      </c>
      <c r="U12" s="187">
        <v>45504</v>
      </c>
      <c r="V12" s="187">
        <v>45463</v>
      </c>
      <c r="W12" s="114" t="s">
        <v>6</v>
      </c>
      <c r="X12" s="194">
        <v>1333</v>
      </c>
      <c r="Y12" s="194">
        <v>0</v>
      </c>
      <c r="Z12" s="196">
        <v>1333</v>
      </c>
      <c r="AA12" s="148"/>
      <c r="AB12" s="70"/>
      <c r="AC12" s="70"/>
      <c r="AD12" s="165" t="s">
        <v>2225</v>
      </c>
      <c r="AE12" s="165" t="s">
        <v>2226</v>
      </c>
      <c r="AF12" s="114"/>
      <c r="AG12" s="114"/>
      <c r="AH12" s="114"/>
      <c r="AI12" s="114"/>
      <c r="AJ12" s="114"/>
      <c r="AK12" s="114"/>
      <c r="AL12" s="114"/>
      <c r="AM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  <c r="EC12" s="114"/>
      <c r="ED12" s="114"/>
      <c r="EE12" s="114"/>
      <c r="EF12" s="114"/>
      <c r="EG12" s="114"/>
      <c r="EH12" s="114"/>
      <c r="EI12" s="114"/>
      <c r="EJ12" s="114"/>
      <c r="EK12" s="114"/>
      <c r="EL12" s="114"/>
      <c r="EM12" s="114"/>
      <c r="EN12" s="114"/>
      <c r="EO12" s="114"/>
      <c r="EP12" s="114"/>
      <c r="EQ12" s="114"/>
      <c r="ER12" s="114"/>
      <c r="ES12" s="114"/>
      <c r="ET12" s="114"/>
      <c r="EU12" s="114"/>
      <c r="EV12" s="114"/>
      <c r="EW12" s="114"/>
      <c r="EX12" s="114"/>
      <c r="EY12" s="114"/>
      <c r="EZ12" s="114"/>
      <c r="FA12" s="114"/>
      <c r="FB12" s="114"/>
      <c r="FC12" s="114"/>
      <c r="FD12" s="114"/>
      <c r="FE12" s="11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114"/>
      <c r="LB12" s="114"/>
      <c r="LC12" s="114"/>
      <c r="LD12" s="114"/>
      <c r="LE12" s="114"/>
      <c r="LF12" s="114"/>
      <c r="LG12" s="114"/>
      <c r="LH12" s="114"/>
      <c r="LI12" s="114"/>
      <c r="LJ12" s="114"/>
      <c r="LK12" s="114"/>
      <c r="LL12" s="114"/>
      <c r="LM12" s="114"/>
      <c r="LN12" s="114"/>
      <c r="LO12" s="114"/>
      <c r="LP12" s="114"/>
      <c r="LQ12" s="114"/>
      <c r="LR12" s="114"/>
      <c r="LS12" s="114"/>
      <c r="LT12" s="114"/>
      <c r="LU12" s="114"/>
      <c r="LV12" s="114"/>
      <c r="LW12" s="114"/>
      <c r="LX12" s="114"/>
      <c r="LY12" s="114"/>
      <c r="LZ12" s="114"/>
      <c r="MA12" s="114"/>
      <c r="MB12" s="114"/>
      <c r="MC12" s="114"/>
      <c r="MD12" s="114"/>
      <c r="ME12" s="114"/>
      <c r="MF12" s="114"/>
      <c r="MG12" s="114"/>
      <c r="MH12" s="114"/>
      <c r="MI12" s="114"/>
      <c r="MJ12" s="114"/>
      <c r="MK12" s="114"/>
      <c r="ML12" s="114"/>
      <c r="MM12" s="114"/>
      <c r="MN12" s="114"/>
      <c r="MO12" s="114"/>
      <c r="MP12" s="114"/>
      <c r="MQ12" s="114"/>
      <c r="MR12" s="114"/>
      <c r="MS12" s="114"/>
      <c r="MT12" s="114"/>
      <c r="MU12" s="114"/>
      <c r="MV12" s="114"/>
      <c r="MW12" s="114"/>
      <c r="MX12" s="114"/>
      <c r="MY12" s="114"/>
      <c r="MZ12" s="114"/>
      <c r="NA12" s="114"/>
      <c r="NB12" s="114"/>
      <c r="NC12" s="114"/>
      <c r="ND12" s="114"/>
      <c r="NE12" s="114"/>
      <c r="NF12" s="114"/>
      <c r="NG12" s="114"/>
      <c r="NH12" s="114"/>
      <c r="NI12" s="114"/>
      <c r="NJ12" s="114"/>
      <c r="NK12" s="114"/>
      <c r="NL12" s="114"/>
      <c r="NM12" s="114"/>
      <c r="NN12" s="114"/>
      <c r="NO12" s="114"/>
      <c r="NP12" s="114"/>
      <c r="NQ12" s="114"/>
      <c r="NR12" s="114"/>
      <c r="NS12" s="114"/>
      <c r="NT12" s="114"/>
      <c r="NU12" s="114"/>
      <c r="NV12" s="114"/>
      <c r="NW12" s="114"/>
      <c r="NX12" s="114"/>
      <c r="NY12" s="114"/>
      <c r="NZ12" s="114"/>
      <c r="OA12" s="114"/>
      <c r="OB12" s="114"/>
      <c r="OC12" s="114"/>
      <c r="OD12" s="114"/>
      <c r="OE12" s="114"/>
      <c r="OF12" s="114"/>
      <c r="OG12" s="114"/>
      <c r="OH12" s="114"/>
      <c r="OI12" s="114"/>
      <c r="OJ12" s="114"/>
      <c r="OK12" s="114"/>
      <c r="OL12" s="114"/>
      <c r="OM12" s="114"/>
      <c r="ON12" s="114"/>
      <c r="OO12" s="114"/>
      <c r="OP12" s="114"/>
      <c r="OQ12" s="114"/>
      <c r="OR12" s="114"/>
      <c r="OS12" s="114"/>
      <c r="OT12" s="114"/>
      <c r="OU12" s="114"/>
      <c r="OV12" s="114"/>
      <c r="OW12" s="114"/>
      <c r="OX12" s="114"/>
      <c r="OY12" s="114"/>
      <c r="OZ12" s="114"/>
      <c r="PA12" s="114"/>
      <c r="PB12" s="114"/>
      <c r="PC12" s="114"/>
      <c r="PD12" s="114"/>
      <c r="PE12" s="114"/>
      <c r="PF12" s="114"/>
      <c r="PG12" s="114"/>
      <c r="PH12" s="114"/>
      <c r="PI12" s="114"/>
      <c r="PJ12" s="114"/>
      <c r="PK12" s="114"/>
      <c r="PL12" s="114"/>
      <c r="PM12" s="114"/>
      <c r="PN12" s="114"/>
      <c r="PO12" s="114"/>
      <c r="PP12" s="114"/>
      <c r="PQ12" s="114"/>
      <c r="PR12" s="114"/>
      <c r="PS12" s="114"/>
      <c r="PT12" s="114"/>
      <c r="PU12" s="114"/>
      <c r="PV12" s="114"/>
      <c r="PW12" s="114"/>
      <c r="PX12" s="114"/>
      <c r="PY12" s="114"/>
      <c r="PZ12" s="114"/>
      <c r="QA12" s="114"/>
      <c r="QB12" s="114"/>
      <c r="QC12" s="114"/>
      <c r="QD12" s="114"/>
      <c r="QE12" s="114"/>
      <c r="QF12" s="114"/>
      <c r="QG12" s="114"/>
      <c r="QH12" s="114"/>
      <c r="QI12" s="114"/>
      <c r="QJ12" s="114"/>
      <c r="QK12" s="114"/>
      <c r="QL12" s="114"/>
      <c r="QM12" s="114"/>
      <c r="QN12" s="114"/>
      <c r="QO12" s="114"/>
      <c r="QP12" s="114"/>
      <c r="QQ12" s="114"/>
      <c r="QR12" s="114"/>
      <c r="QS12" s="114"/>
      <c r="QT12" s="114"/>
      <c r="QU12" s="114"/>
      <c r="QV12" s="114"/>
      <c r="QW12" s="114"/>
      <c r="QX12" s="114"/>
      <c r="QY12" s="114"/>
      <c r="QZ12" s="114"/>
      <c r="RA12" s="114"/>
      <c r="RB12" s="114"/>
      <c r="RC12" s="114"/>
      <c r="RD12" s="114"/>
      <c r="RE12" s="114"/>
      <c r="RF12" s="114"/>
      <c r="RG12" s="114"/>
      <c r="RH12" s="114"/>
      <c r="RI12" s="114"/>
      <c r="RJ12" s="114"/>
      <c r="RK12" s="114"/>
      <c r="RL12" s="114"/>
      <c r="RM12" s="114"/>
      <c r="RN12" s="114"/>
      <c r="RO12" s="114"/>
      <c r="RP12" s="114"/>
      <c r="RQ12" s="114"/>
      <c r="RR12" s="114"/>
      <c r="RS12" s="114"/>
      <c r="RT12" s="114"/>
      <c r="RU12" s="114"/>
      <c r="RV12" s="114"/>
      <c r="RW12" s="114"/>
      <c r="RX12" s="114"/>
      <c r="RY12" s="114"/>
      <c r="RZ12" s="114"/>
      <c r="SA12" s="114"/>
      <c r="SB12" s="114"/>
      <c r="SC12" s="114"/>
      <c r="SD12" s="114"/>
      <c r="SE12" s="114"/>
      <c r="SF12" s="114"/>
      <c r="SG12" s="114"/>
      <c r="SH12" s="114"/>
      <c r="SI12" s="114"/>
      <c r="SJ12" s="114"/>
      <c r="SK12" s="114"/>
      <c r="SL12" s="114"/>
      <c r="SM12" s="114"/>
      <c r="SN12" s="114"/>
      <c r="SO12" s="114"/>
      <c r="SP12" s="114"/>
      <c r="SQ12" s="114"/>
      <c r="SR12" s="114"/>
      <c r="SS12" s="114"/>
      <c r="ST12" s="114"/>
      <c r="SU12" s="114"/>
      <c r="SV12" s="114"/>
      <c r="SW12" s="114"/>
      <c r="SX12" s="114"/>
      <c r="SY12" s="114"/>
      <c r="SZ12" s="114"/>
      <c r="TA12" s="114"/>
      <c r="TB12" s="114"/>
      <c r="TC12" s="114"/>
      <c r="TD12" s="114"/>
      <c r="TE12" s="114"/>
      <c r="TF12" s="114"/>
      <c r="TG12" s="114"/>
      <c r="TH12" s="114"/>
      <c r="TI12" s="114"/>
      <c r="TJ12" s="114"/>
      <c r="TK12" s="114"/>
      <c r="TL12" s="114"/>
      <c r="TM12" s="114"/>
      <c r="TN12" s="114"/>
      <c r="TO12" s="114"/>
      <c r="TP12" s="114"/>
      <c r="TQ12" s="114"/>
      <c r="TR12" s="114"/>
      <c r="TS12" s="114"/>
      <c r="TT12" s="114"/>
      <c r="TU12" s="114"/>
      <c r="TV12" s="114"/>
      <c r="TW12" s="114"/>
      <c r="TX12" s="114"/>
      <c r="TY12" s="114"/>
      <c r="TZ12" s="114"/>
      <c r="UA12" s="114"/>
      <c r="UB12" s="114"/>
      <c r="UC12" s="114"/>
      <c r="UD12" s="114"/>
      <c r="UE12" s="114"/>
      <c r="UF12" s="114"/>
      <c r="UG12" s="114"/>
      <c r="UH12" s="114"/>
      <c r="UI12" s="114"/>
      <c r="UJ12" s="114"/>
      <c r="UK12" s="114"/>
      <c r="UL12" s="114"/>
      <c r="UM12" s="114"/>
      <c r="UN12" s="114"/>
      <c r="UO12" s="114"/>
      <c r="UP12" s="114"/>
      <c r="UQ12" s="114"/>
      <c r="UR12" s="114"/>
      <c r="US12" s="114"/>
      <c r="UT12" s="114"/>
      <c r="UU12" s="114"/>
      <c r="UV12" s="114"/>
      <c r="UW12" s="114"/>
      <c r="UX12" s="114"/>
      <c r="UY12" s="114"/>
      <c r="UZ12" s="114"/>
      <c r="VA12" s="114"/>
      <c r="VB12" s="114"/>
      <c r="VC12" s="114"/>
      <c r="VD12" s="114"/>
      <c r="VE12" s="114"/>
      <c r="VF12" s="114"/>
      <c r="VG12" s="114"/>
      <c r="VH12" s="114"/>
      <c r="VI12" s="114"/>
      <c r="VJ12" s="114"/>
      <c r="VK12" s="114"/>
      <c r="VL12" s="114"/>
      <c r="VM12" s="114"/>
      <c r="VN12" s="114"/>
      <c r="VO12" s="114"/>
      <c r="VP12" s="114"/>
      <c r="VQ12" s="114"/>
      <c r="VR12" s="114"/>
      <c r="VS12" s="114"/>
      <c r="VT12" s="114"/>
      <c r="VU12" s="114"/>
      <c r="VV12" s="114"/>
      <c r="VW12" s="114"/>
      <c r="VX12" s="114"/>
      <c r="VY12" s="114"/>
      <c r="VZ12" s="114"/>
      <c r="WA12" s="114"/>
      <c r="WB12" s="114"/>
      <c r="WC12" s="114"/>
      <c r="WD12" s="114"/>
      <c r="WE12" s="114"/>
      <c r="WF12" s="114"/>
      <c r="WG12" s="114"/>
      <c r="WH12" s="114"/>
      <c r="WI12" s="114"/>
      <c r="WJ12" s="114"/>
      <c r="WK12" s="114"/>
      <c r="WL12" s="114"/>
      <c r="WM12" s="114"/>
      <c r="WN12" s="114"/>
      <c r="WO12" s="114"/>
      <c r="WP12" s="114"/>
      <c r="WQ12" s="114"/>
      <c r="WR12" s="114"/>
      <c r="WS12" s="114"/>
      <c r="WT12" s="114"/>
      <c r="WU12" s="114"/>
      <c r="WV12" s="114"/>
      <c r="WW12" s="114"/>
      <c r="WX12" s="114"/>
      <c r="WY12" s="114"/>
      <c r="WZ12" s="114"/>
      <c r="XA12" s="114"/>
      <c r="XB12" s="114"/>
      <c r="XC12" s="114"/>
      <c r="XD12" s="114"/>
      <c r="XE12" s="114"/>
      <c r="XF12" s="114"/>
      <c r="XG12" s="114"/>
      <c r="XH12" s="114"/>
      <c r="XI12" s="114"/>
      <c r="XJ12" s="114"/>
      <c r="XK12" s="114"/>
      <c r="XL12" s="114"/>
      <c r="XM12" s="114"/>
      <c r="XN12" s="114"/>
      <c r="XO12" s="114"/>
      <c r="XP12" s="114"/>
      <c r="XQ12" s="114"/>
      <c r="XR12" s="114"/>
      <c r="XS12" s="114"/>
      <c r="XT12" s="114"/>
      <c r="XU12" s="114"/>
      <c r="XV12" s="114"/>
      <c r="XW12" s="114"/>
      <c r="XX12" s="114"/>
      <c r="XY12" s="114"/>
      <c r="XZ12" s="114"/>
      <c r="YA12" s="114"/>
      <c r="YB12" s="114"/>
      <c r="YC12" s="114"/>
      <c r="YD12" s="114"/>
      <c r="YE12" s="114"/>
      <c r="YF12" s="114"/>
      <c r="YG12" s="114"/>
      <c r="YH12" s="114"/>
      <c r="YI12" s="114"/>
      <c r="YJ12" s="114"/>
      <c r="YK12" s="114"/>
      <c r="YL12" s="114"/>
      <c r="YM12" s="114"/>
      <c r="YN12" s="114"/>
      <c r="YO12" s="114"/>
      <c r="YP12" s="114"/>
      <c r="YQ12" s="114"/>
      <c r="YR12" s="114"/>
      <c r="YS12" s="114"/>
      <c r="YT12" s="114"/>
      <c r="YU12" s="114"/>
      <c r="YV12" s="114"/>
      <c r="YW12" s="114"/>
      <c r="YX12" s="114"/>
      <c r="YY12" s="114"/>
      <c r="YZ12" s="114"/>
      <c r="ZA12" s="114"/>
      <c r="ZB12" s="114"/>
      <c r="ZC12" s="114"/>
      <c r="ZD12" s="114"/>
      <c r="ZE12" s="114"/>
      <c r="ZF12" s="114"/>
      <c r="ZG12" s="114"/>
      <c r="ZH12" s="114"/>
      <c r="ZI12" s="114"/>
      <c r="ZJ12" s="114"/>
      <c r="ZK12" s="114"/>
      <c r="ZL12" s="114"/>
      <c r="ZM12" s="114"/>
      <c r="ZN12" s="114"/>
      <c r="ZO12" s="114"/>
      <c r="ZP12" s="114"/>
      <c r="ZQ12" s="114"/>
      <c r="ZR12" s="114"/>
      <c r="ZS12" s="114"/>
      <c r="ZT12" s="114"/>
      <c r="ZU12" s="114"/>
      <c r="ZV12" s="114"/>
      <c r="ZW12" s="114"/>
      <c r="ZX12" s="114"/>
      <c r="ZY12" s="114"/>
      <c r="ZZ12" s="114"/>
      <c r="AAA12" s="114"/>
      <c r="AAB12" s="114"/>
      <c r="AAC12" s="114"/>
      <c r="AAD12" s="114"/>
      <c r="AAE12" s="114"/>
      <c r="AAF12" s="114"/>
      <c r="AAG12" s="114"/>
      <c r="AAH12" s="114"/>
      <c r="AAI12" s="114"/>
      <c r="AAJ12" s="114"/>
      <c r="AAK12" s="114"/>
      <c r="AAL12" s="114"/>
      <c r="AAM12" s="114"/>
      <c r="AAN12" s="114"/>
      <c r="AAO12" s="114"/>
      <c r="AAP12" s="114"/>
      <c r="AAQ12" s="114"/>
      <c r="AAR12" s="114"/>
      <c r="AAS12" s="114"/>
      <c r="AAT12" s="114"/>
      <c r="AAU12" s="114"/>
      <c r="AAV12" s="114"/>
      <c r="AAW12" s="114"/>
      <c r="AAX12" s="114"/>
      <c r="AAY12" s="114"/>
      <c r="AAZ12" s="114"/>
      <c r="ABA12" s="114"/>
      <c r="ABB12" s="114"/>
      <c r="ABC12" s="114"/>
      <c r="ABD12" s="114"/>
      <c r="ABE12" s="114"/>
      <c r="ABF12" s="114"/>
      <c r="ABG12" s="114"/>
      <c r="ABH12" s="114"/>
      <c r="ABI12" s="114"/>
      <c r="ABJ12" s="114"/>
      <c r="ABK12" s="114"/>
      <c r="ABL12" s="114"/>
      <c r="ABM12" s="114"/>
      <c r="ABN12" s="114"/>
      <c r="ABO12" s="114"/>
      <c r="ABP12" s="114"/>
      <c r="ABQ12" s="114"/>
      <c r="ABR12" s="114"/>
      <c r="ABS12" s="114"/>
      <c r="ABT12" s="114"/>
      <c r="ABU12" s="114"/>
      <c r="ABV12" s="114"/>
      <c r="ABW12" s="114"/>
      <c r="ABX12" s="114"/>
      <c r="ABY12" s="114"/>
      <c r="ABZ12" s="114"/>
      <c r="ACA12" s="114"/>
      <c r="ACB12" s="114"/>
      <c r="ACC12" s="114"/>
      <c r="ACD12" s="114"/>
      <c r="ACE12" s="114"/>
      <c r="ACF12" s="114"/>
      <c r="ACG12" s="114"/>
      <c r="ACH12" s="114"/>
      <c r="ACI12" s="114"/>
      <c r="ACJ12" s="114"/>
      <c r="ACK12" s="114"/>
      <c r="ACL12" s="114"/>
      <c r="ACM12" s="114"/>
      <c r="ACN12" s="114"/>
      <c r="ACO12" s="114"/>
      <c r="ACP12" s="114"/>
      <c r="ACQ12" s="114"/>
      <c r="ACR12" s="114"/>
      <c r="ACS12" s="114"/>
      <c r="ACT12" s="114"/>
      <c r="ACU12" s="114"/>
      <c r="ACV12" s="114"/>
      <c r="ACW12" s="114"/>
      <c r="ACX12" s="114"/>
      <c r="ACY12" s="114"/>
      <c r="ACZ12" s="114"/>
      <c r="ADA12" s="114"/>
      <c r="ADB12" s="114"/>
      <c r="ADC12" s="114"/>
      <c r="ADD12" s="114"/>
      <c r="ADE12" s="114"/>
      <c r="ADF12" s="114"/>
      <c r="ADG12" s="114"/>
      <c r="ADH12" s="114"/>
      <c r="ADI12" s="114"/>
      <c r="ADJ12" s="114"/>
      <c r="ADK12" s="114"/>
      <c r="ADL12" s="114"/>
      <c r="ADM12" s="114"/>
      <c r="ADN12" s="114"/>
      <c r="ADO12" s="114"/>
      <c r="ADP12" s="114"/>
      <c r="ADQ12" s="114"/>
      <c r="ADR12" s="114"/>
      <c r="ADS12" s="114"/>
      <c r="ADT12" s="114"/>
      <c r="ADU12" s="114"/>
      <c r="ADV12" s="114"/>
      <c r="ADW12" s="114"/>
      <c r="ADX12" s="114"/>
      <c r="ADY12" s="114"/>
      <c r="ADZ12" s="114"/>
      <c r="AEA12" s="114"/>
      <c r="AEB12" s="114"/>
      <c r="AEC12" s="114"/>
      <c r="AED12" s="114"/>
      <c r="AEE12" s="114"/>
      <c r="AEF12" s="114"/>
      <c r="AEG12" s="114"/>
      <c r="AEH12" s="114"/>
      <c r="AEI12" s="114"/>
      <c r="AEJ12" s="114"/>
      <c r="AEK12" s="114"/>
      <c r="AEL12" s="114"/>
      <c r="AEM12" s="114"/>
      <c r="AEN12" s="114"/>
      <c r="AEO12" s="114"/>
      <c r="AEP12" s="114"/>
      <c r="AEQ12" s="114"/>
      <c r="AER12" s="114"/>
      <c r="AES12" s="114"/>
      <c r="AET12" s="114"/>
      <c r="AEU12" s="114"/>
      <c r="AEV12" s="114"/>
      <c r="AEW12" s="114"/>
      <c r="AEX12" s="114"/>
      <c r="AEY12" s="114"/>
      <c r="AEZ12" s="114"/>
      <c r="AFA12" s="114"/>
      <c r="AFB12" s="114"/>
      <c r="AFC12" s="114"/>
      <c r="AFD12" s="114"/>
      <c r="AFE12" s="114"/>
      <c r="AFF12" s="114"/>
      <c r="AFG12" s="114"/>
      <c r="AFH12" s="114"/>
      <c r="AFI12" s="114"/>
      <c r="AFJ12" s="114"/>
      <c r="AFK12" s="114"/>
      <c r="AFL12" s="114"/>
      <c r="AFM12" s="114"/>
      <c r="AFN12" s="114"/>
      <c r="AFO12" s="114"/>
      <c r="AFP12" s="114"/>
      <c r="AFQ12" s="114"/>
      <c r="AFR12" s="114"/>
      <c r="AFS12" s="114"/>
      <c r="AFT12" s="114"/>
      <c r="AFU12" s="114"/>
      <c r="AFV12" s="114"/>
      <c r="AFW12" s="114"/>
      <c r="AFX12" s="114"/>
      <c r="AFY12" s="114"/>
      <c r="AFZ12" s="114"/>
      <c r="AGA12" s="114"/>
      <c r="AGB12" s="114"/>
      <c r="AGC12" s="114"/>
      <c r="AGD12" s="114"/>
      <c r="AGE12" s="114"/>
      <c r="AGF12" s="114"/>
      <c r="AGG12" s="114"/>
      <c r="AGH12" s="114"/>
      <c r="AGI12" s="114"/>
      <c r="AGJ12" s="114"/>
      <c r="AGK12" s="114"/>
      <c r="AGL12" s="114"/>
      <c r="AGM12" s="114"/>
      <c r="AGN12" s="114"/>
      <c r="AGO12" s="114"/>
      <c r="AGP12" s="114"/>
      <c r="AGQ12" s="114"/>
      <c r="AGR12" s="114"/>
      <c r="AGS12" s="114"/>
      <c r="AGT12" s="114"/>
      <c r="AGU12" s="114"/>
      <c r="AGV12" s="114"/>
      <c r="AGW12" s="114"/>
      <c r="AGX12" s="114"/>
      <c r="AGY12" s="114"/>
      <c r="AGZ12" s="114"/>
      <c r="AHA12" s="114"/>
      <c r="AHB12" s="114"/>
      <c r="AHC12" s="114"/>
      <c r="AHD12" s="114"/>
      <c r="AHE12" s="114"/>
      <c r="AHF12" s="114"/>
      <c r="AHG12" s="114"/>
      <c r="AHH12" s="114"/>
      <c r="AHI12" s="114"/>
      <c r="AHJ12" s="114"/>
      <c r="AHK12" s="114"/>
      <c r="AHL12" s="114"/>
      <c r="AHM12" s="114"/>
      <c r="AHN12" s="114"/>
      <c r="AHO12" s="114"/>
      <c r="AHP12" s="114"/>
      <c r="AHQ12" s="114"/>
      <c r="AHR12" s="114"/>
      <c r="AHS12" s="114"/>
      <c r="AHT12" s="114"/>
      <c r="AHU12" s="114"/>
      <c r="AHV12" s="114"/>
      <c r="AHW12" s="114"/>
      <c r="AHX12" s="114"/>
      <c r="AHY12" s="114"/>
      <c r="AHZ12" s="114"/>
      <c r="AIA12" s="114"/>
      <c r="AIB12" s="114"/>
      <c r="AIC12" s="114"/>
      <c r="AID12" s="114"/>
      <c r="AIE12" s="114"/>
      <c r="AIF12" s="114"/>
      <c r="AIG12" s="114"/>
      <c r="AIH12" s="114"/>
      <c r="AII12" s="114"/>
      <c r="AIJ12" s="114"/>
      <c r="AIK12" s="114"/>
      <c r="AIL12" s="114"/>
      <c r="AIM12" s="114"/>
      <c r="AIN12" s="114"/>
      <c r="AIO12" s="114"/>
      <c r="AIP12" s="114"/>
      <c r="AIQ12" s="114"/>
      <c r="AIR12" s="114"/>
      <c r="AIS12" s="114"/>
      <c r="AIT12" s="114"/>
      <c r="AIU12" s="114"/>
      <c r="AIV12" s="114"/>
      <c r="AIW12" s="114"/>
      <c r="AIX12" s="114"/>
      <c r="AIY12" s="114"/>
      <c r="AIZ12" s="114"/>
      <c r="AJA12" s="114"/>
      <c r="AJB12" s="114"/>
      <c r="AJC12" s="114"/>
      <c r="AJD12" s="114"/>
      <c r="AJE12" s="114"/>
      <c r="AJF12" s="114"/>
      <c r="AJG12" s="114"/>
      <c r="AJH12" s="114"/>
      <c r="AJI12" s="114"/>
      <c r="AJJ12" s="114"/>
      <c r="AJK12" s="114"/>
      <c r="AJL12" s="114"/>
      <c r="AJM12" s="114"/>
      <c r="AJN12" s="114"/>
      <c r="AJO12" s="114"/>
      <c r="AJP12" s="114"/>
      <c r="AJQ12" s="114"/>
      <c r="AJR12" s="114"/>
      <c r="AJS12" s="114"/>
      <c r="AJT12" s="114"/>
      <c r="AJU12" s="114"/>
      <c r="AJV12" s="114"/>
      <c r="AJW12" s="114"/>
      <c r="AJX12" s="114"/>
      <c r="AJY12" s="114"/>
      <c r="AJZ12" s="114"/>
      <c r="AKA12" s="114"/>
      <c r="AKB12" s="114"/>
      <c r="AKC12" s="114"/>
      <c r="AKD12" s="114"/>
      <c r="AKE12" s="114"/>
      <c r="AKF12" s="114"/>
      <c r="AKG12" s="114"/>
      <c r="AKH12" s="114"/>
      <c r="AKI12" s="114"/>
      <c r="AKJ12" s="114"/>
      <c r="AKK12" s="114"/>
      <c r="AKL12" s="114"/>
      <c r="AKM12" s="114"/>
      <c r="AKN12" s="114"/>
      <c r="AKO12" s="114"/>
      <c r="AKP12" s="114"/>
      <c r="AKQ12" s="114"/>
      <c r="AKR12" s="114"/>
      <c r="AKS12" s="114"/>
      <c r="AKT12" s="114"/>
      <c r="AKU12" s="114"/>
      <c r="AKV12" s="114"/>
      <c r="AKW12" s="114"/>
      <c r="AKX12" s="114"/>
      <c r="AKY12" s="114"/>
      <c r="AKZ12" s="114"/>
      <c r="ALA12" s="114"/>
      <c r="ALB12" s="114"/>
      <c r="ALC12" s="114"/>
      <c r="ALD12" s="114"/>
      <c r="ALE12" s="114"/>
      <c r="ALF12" s="114"/>
      <c r="ALG12" s="114"/>
      <c r="ALH12" s="114"/>
      <c r="ALI12" s="114"/>
      <c r="ALJ12" s="114"/>
      <c r="ALK12" s="114"/>
      <c r="ALL12" s="114"/>
      <c r="ALM12" s="114"/>
      <c r="ALN12" s="114"/>
      <c r="ALO12" s="114"/>
      <c r="ALP12" s="114"/>
      <c r="ALQ12" s="114"/>
      <c r="ALR12" s="114"/>
      <c r="ALS12" s="114"/>
      <c r="ALT12" s="114"/>
      <c r="ALU12" s="114"/>
      <c r="ALV12" s="114"/>
      <c r="ALW12" s="114"/>
      <c r="ALX12" s="114"/>
      <c r="ALY12" s="114"/>
      <c r="ALZ12" s="114"/>
      <c r="AMA12" s="114"/>
      <c r="AMB12" s="114"/>
      <c r="AMC12" s="114"/>
      <c r="AMD12" s="114"/>
      <c r="AME12" s="114"/>
      <c r="AMF12" s="114"/>
      <c r="AMG12" s="114"/>
      <c r="AMH12" s="114"/>
      <c r="AMI12" s="114"/>
      <c r="AMJ12" s="114"/>
      <c r="AMK12" s="114"/>
      <c r="AML12" s="114"/>
      <c r="AMM12" s="114"/>
      <c r="AMN12" s="114"/>
      <c r="AMO12" s="114"/>
      <c r="AMP12" s="114"/>
      <c r="AMQ12" s="114"/>
      <c r="AMR12" s="114"/>
      <c r="AMS12" s="114"/>
      <c r="AMT12" s="114"/>
      <c r="AMU12" s="114"/>
      <c r="AMV12" s="114"/>
      <c r="AMW12" s="114"/>
      <c r="AMX12" s="114"/>
      <c r="AMY12" s="114"/>
      <c r="AMZ12" s="114"/>
      <c r="ANA12" s="114"/>
      <c r="ANB12" s="114"/>
      <c r="ANC12" s="114"/>
      <c r="AND12" s="114"/>
      <c r="ANE12" s="114"/>
      <c r="ANF12" s="114"/>
      <c r="ANG12" s="114"/>
      <c r="ANH12" s="114"/>
      <c r="ANI12" s="114"/>
      <c r="ANJ12" s="114"/>
      <c r="ANK12" s="114"/>
      <c r="ANL12" s="114"/>
      <c r="ANM12" s="114"/>
      <c r="ANN12" s="114"/>
      <c r="ANO12" s="114"/>
      <c r="ANP12" s="114"/>
      <c r="ANQ12" s="114"/>
      <c r="ANR12" s="114"/>
      <c r="ANS12" s="114"/>
      <c r="ANT12" s="114"/>
      <c r="ANU12" s="114"/>
      <c r="ANV12" s="114"/>
      <c r="ANW12" s="114"/>
      <c r="ANX12" s="114"/>
      <c r="ANY12" s="114"/>
      <c r="ANZ12" s="114"/>
      <c r="AOA12" s="114"/>
      <c r="AOB12" s="114"/>
      <c r="AOC12" s="114"/>
      <c r="AOD12" s="114"/>
      <c r="AOE12" s="114"/>
      <c r="AOF12" s="114"/>
      <c r="AOG12" s="114"/>
      <c r="AOH12" s="114"/>
      <c r="AOI12" s="114"/>
      <c r="AOJ12" s="114"/>
      <c r="AOK12" s="114"/>
      <c r="AOL12" s="114"/>
      <c r="AOM12" s="114"/>
      <c r="AON12" s="114"/>
      <c r="AOO12" s="114"/>
      <c r="AOP12" s="114"/>
      <c r="AOQ12" s="114"/>
      <c r="AOR12" s="114"/>
      <c r="AOS12" s="114"/>
      <c r="AOT12" s="114"/>
      <c r="AOU12" s="114"/>
      <c r="AOV12" s="114"/>
      <c r="AOW12" s="114"/>
      <c r="AOX12" s="114"/>
      <c r="AOY12" s="114"/>
      <c r="AOZ12" s="114"/>
      <c r="APA12" s="114"/>
      <c r="APB12" s="114"/>
      <c r="APC12" s="114"/>
      <c r="APD12" s="114"/>
      <c r="APE12" s="114"/>
      <c r="APF12" s="114"/>
      <c r="APG12" s="114"/>
      <c r="APH12" s="114"/>
      <c r="API12" s="114"/>
      <c r="APJ12" s="114"/>
      <c r="APK12" s="114"/>
      <c r="APL12" s="114"/>
      <c r="APM12" s="114"/>
      <c r="APN12" s="114"/>
      <c r="APO12" s="114"/>
      <c r="APP12" s="114"/>
      <c r="APQ12" s="114"/>
      <c r="APR12" s="114"/>
      <c r="APS12" s="114"/>
      <c r="APT12" s="114"/>
      <c r="APU12" s="114"/>
      <c r="APV12" s="114"/>
      <c r="APW12" s="114"/>
      <c r="APX12" s="114"/>
      <c r="APY12" s="114"/>
      <c r="APZ12" s="114"/>
      <c r="AQA12" s="114"/>
      <c r="AQB12" s="114"/>
      <c r="AQC12" s="114"/>
      <c r="AQD12" s="114"/>
      <c r="AQE12" s="114"/>
      <c r="AQF12" s="114"/>
      <c r="AQG12" s="114"/>
      <c r="AQH12" s="114"/>
      <c r="AQI12" s="114"/>
      <c r="AQJ12" s="114"/>
      <c r="AQK12" s="114"/>
      <c r="AQL12" s="114"/>
      <c r="AQM12" s="114"/>
      <c r="AQN12" s="114"/>
      <c r="AQO12" s="114"/>
      <c r="AQP12" s="114"/>
      <c r="AQQ12" s="114"/>
      <c r="AQR12" s="114"/>
      <c r="AQS12" s="114"/>
      <c r="AQT12" s="114"/>
      <c r="AQU12" s="114"/>
      <c r="AQV12" s="114"/>
      <c r="AQW12" s="114"/>
      <c r="AQX12" s="114"/>
      <c r="AQY12" s="114"/>
      <c r="AQZ12" s="114"/>
      <c r="ARA12" s="114"/>
      <c r="ARB12" s="114"/>
      <c r="ARC12" s="114"/>
      <c r="ARD12" s="114"/>
      <c r="ARE12" s="114"/>
      <c r="ARF12" s="114"/>
      <c r="ARG12" s="114"/>
      <c r="ARH12" s="114"/>
      <c r="ARI12" s="114"/>
      <c r="ARJ12" s="114"/>
      <c r="ARK12" s="114"/>
      <c r="ARL12" s="114"/>
      <c r="ARM12" s="114"/>
      <c r="ARN12" s="114"/>
      <c r="ARO12" s="114"/>
      <c r="ARP12" s="114"/>
      <c r="ARQ12" s="114"/>
      <c r="ARR12" s="114"/>
      <c r="ARS12" s="114"/>
      <c r="ART12" s="114"/>
      <c r="ARU12" s="114"/>
      <c r="ARV12" s="114"/>
      <c r="ARW12" s="114"/>
      <c r="ARX12" s="114"/>
      <c r="ARY12" s="114"/>
      <c r="ARZ12" s="114"/>
      <c r="ASA12" s="114"/>
      <c r="ASB12" s="114"/>
      <c r="ASC12" s="114"/>
      <c r="ASD12" s="114"/>
      <c r="ASE12" s="114"/>
      <c r="ASF12" s="114"/>
      <c r="ASG12" s="114"/>
      <c r="ASH12" s="114"/>
      <c r="ASI12" s="114"/>
      <c r="ASJ12" s="114"/>
      <c r="ASK12" s="114"/>
      <c r="ASL12" s="114"/>
      <c r="ASM12" s="114"/>
      <c r="ASN12" s="114"/>
      <c r="ASO12" s="114"/>
      <c r="ASP12" s="114"/>
      <c r="ASQ12" s="114"/>
      <c r="ASR12" s="114"/>
      <c r="ASS12" s="114"/>
      <c r="AST12" s="114"/>
      <c r="ASU12" s="114"/>
      <c r="ASV12" s="114"/>
      <c r="ASW12" s="114"/>
      <c r="ASX12" s="114"/>
      <c r="ASY12" s="114"/>
      <c r="ASZ12" s="114"/>
      <c r="ATA12" s="114"/>
      <c r="ATB12" s="114"/>
      <c r="ATC12" s="114"/>
      <c r="ATD12" s="114"/>
      <c r="ATE12" s="114"/>
      <c r="ATF12" s="114"/>
      <c r="ATG12" s="114"/>
      <c r="ATH12" s="114"/>
      <c r="ATI12" s="114"/>
      <c r="ATJ12" s="114"/>
      <c r="ATK12" s="114"/>
      <c r="ATL12" s="114"/>
      <c r="ATM12" s="114"/>
      <c r="ATN12" s="114"/>
      <c r="ATO12" s="114"/>
      <c r="ATP12" s="114"/>
      <c r="ATQ12" s="114"/>
      <c r="ATR12" s="114"/>
      <c r="ATS12" s="114"/>
      <c r="ATT12" s="114"/>
      <c r="ATU12" s="114"/>
      <c r="ATV12" s="114"/>
      <c r="ATW12" s="114"/>
      <c r="ATX12" s="114"/>
      <c r="ATY12" s="114"/>
      <c r="ATZ12" s="114"/>
      <c r="AUA12" s="114"/>
      <c r="AUB12" s="114"/>
      <c r="AUC12" s="114"/>
      <c r="AUD12" s="114"/>
      <c r="AUE12" s="114"/>
      <c r="AUF12" s="114"/>
      <c r="AUG12" s="114"/>
      <c r="AUH12" s="114"/>
      <c r="AUI12" s="114"/>
      <c r="AUJ12" s="114"/>
      <c r="AUK12" s="114"/>
      <c r="AUL12" s="114"/>
      <c r="AUM12" s="114"/>
      <c r="AUN12" s="114"/>
      <c r="AUO12" s="114"/>
      <c r="AUP12" s="114"/>
      <c r="AUQ12" s="114"/>
      <c r="AUR12" s="114"/>
      <c r="AUS12" s="114"/>
      <c r="AUT12" s="114"/>
      <c r="AUU12" s="114"/>
      <c r="AUV12" s="114"/>
      <c r="AUW12" s="114"/>
      <c r="AUX12" s="114"/>
      <c r="AUY12" s="114"/>
      <c r="AUZ12" s="114"/>
      <c r="AVA12" s="114"/>
      <c r="AVB12" s="114"/>
      <c r="AVC12" s="114"/>
      <c r="AVD12" s="114"/>
      <c r="AVE12" s="114"/>
      <c r="AVF12" s="114"/>
      <c r="AVG12" s="114"/>
      <c r="AVH12" s="114"/>
      <c r="AVI12" s="114"/>
      <c r="AVJ12" s="114"/>
      <c r="AVK12" s="114"/>
      <c r="AVL12" s="114"/>
      <c r="AVM12" s="114"/>
      <c r="AVN12" s="114"/>
      <c r="AVO12" s="114"/>
      <c r="AVP12" s="114"/>
      <c r="AVQ12" s="114"/>
      <c r="AVR12" s="114"/>
      <c r="AVS12" s="114"/>
      <c r="AVT12" s="114"/>
      <c r="AVU12" s="114"/>
      <c r="AVV12" s="114"/>
      <c r="AVW12" s="114"/>
      <c r="AVX12" s="114"/>
      <c r="AVY12" s="114"/>
      <c r="AVZ12" s="114"/>
      <c r="AWA12" s="114"/>
      <c r="AWB12" s="114"/>
      <c r="AWC12" s="114"/>
      <c r="AWD12" s="114"/>
      <c r="AWE12" s="114"/>
      <c r="AWF12" s="114"/>
      <c r="AWG12" s="114"/>
      <c r="AWH12" s="114"/>
      <c r="AWI12" s="114"/>
      <c r="AWJ12" s="114"/>
      <c r="AWK12" s="114"/>
      <c r="AWL12" s="114"/>
      <c r="AWM12" s="114"/>
      <c r="AWN12" s="114"/>
      <c r="AWO12" s="114"/>
      <c r="AWP12" s="114"/>
      <c r="AWQ12" s="114"/>
      <c r="AWR12" s="114"/>
      <c r="AWS12" s="114"/>
      <c r="AWT12" s="114"/>
      <c r="AWU12" s="114"/>
      <c r="AWV12" s="114"/>
      <c r="AWW12" s="114"/>
      <c r="AWX12" s="114"/>
      <c r="AWY12" s="114"/>
      <c r="AWZ12" s="114"/>
      <c r="AXA12" s="114"/>
      <c r="AXB12" s="114"/>
      <c r="AXC12" s="114"/>
      <c r="AXD12" s="114"/>
      <c r="AXE12" s="114"/>
      <c r="AXF12" s="114"/>
      <c r="AXG12" s="114"/>
      <c r="AXH12" s="114"/>
      <c r="AXI12" s="114"/>
      <c r="AXJ12" s="114"/>
      <c r="AXK12" s="114"/>
      <c r="AXL12" s="114"/>
      <c r="AXM12" s="114"/>
      <c r="AXN12" s="114"/>
      <c r="AXO12" s="114"/>
      <c r="AXP12" s="114"/>
      <c r="AXQ12" s="114"/>
      <c r="AXR12" s="114"/>
      <c r="AXS12" s="114"/>
      <c r="AXT12" s="114"/>
      <c r="AXU12" s="114"/>
      <c r="AXV12" s="114"/>
      <c r="AXW12" s="114"/>
      <c r="AXX12" s="114"/>
      <c r="AXY12" s="114"/>
      <c r="AXZ12" s="114"/>
      <c r="AYA12" s="114"/>
      <c r="AYB12" s="114"/>
      <c r="AYC12" s="114"/>
      <c r="AYD12" s="114"/>
      <c r="AYE12" s="114"/>
      <c r="AYF12" s="114"/>
      <c r="AYG12" s="114"/>
      <c r="AYH12" s="114"/>
      <c r="AYI12" s="114"/>
      <c r="AYJ12" s="114"/>
      <c r="AYK12" s="114"/>
      <c r="AYL12" s="114"/>
      <c r="AYM12" s="114"/>
      <c r="AYN12" s="114"/>
      <c r="AYO12" s="114"/>
      <c r="AYP12" s="114"/>
      <c r="AYQ12" s="114"/>
      <c r="AYR12" s="114"/>
      <c r="AYS12" s="114"/>
      <c r="AYT12" s="114"/>
      <c r="AYU12" s="114"/>
      <c r="AYV12" s="114"/>
      <c r="AYW12" s="114"/>
      <c r="AYX12" s="114"/>
      <c r="AYY12" s="114"/>
      <c r="AYZ12" s="114"/>
      <c r="AZA12" s="114"/>
      <c r="AZB12" s="114"/>
      <c r="AZC12" s="114"/>
      <c r="AZD12" s="114"/>
      <c r="AZE12" s="114"/>
      <c r="AZF12" s="114"/>
      <c r="AZG12" s="114"/>
      <c r="AZH12" s="114"/>
      <c r="AZI12" s="114"/>
      <c r="AZJ12" s="114"/>
      <c r="AZK12" s="114"/>
      <c r="AZL12" s="114"/>
      <c r="AZM12" s="114"/>
      <c r="AZN12" s="114"/>
      <c r="AZO12" s="114"/>
      <c r="AZP12" s="114"/>
      <c r="AZQ12" s="114"/>
      <c r="AZR12" s="114"/>
      <c r="AZS12" s="114"/>
      <c r="AZT12" s="114"/>
      <c r="AZU12" s="114"/>
      <c r="AZV12" s="114"/>
      <c r="AZW12" s="114"/>
      <c r="AZX12" s="114"/>
      <c r="AZY12" s="114"/>
      <c r="AZZ12" s="114"/>
      <c r="BAA12" s="114"/>
      <c r="BAB12" s="114"/>
      <c r="BAC12" s="114"/>
      <c r="BAD12" s="114"/>
      <c r="BAE12" s="114"/>
      <c r="BAF12" s="114"/>
      <c r="BAG12" s="114"/>
      <c r="BAH12" s="114"/>
      <c r="BAI12" s="114"/>
      <c r="BAJ12" s="114"/>
      <c r="BAK12" s="114"/>
      <c r="BAL12" s="114"/>
      <c r="BAM12" s="114"/>
      <c r="BAN12" s="114"/>
      <c r="BAO12" s="114"/>
      <c r="BAP12" s="114"/>
      <c r="BAQ12" s="114"/>
      <c r="BAR12" s="114"/>
      <c r="BAS12" s="114"/>
      <c r="BAT12" s="114"/>
      <c r="BAU12" s="114"/>
      <c r="BAV12" s="114"/>
      <c r="BAW12" s="114"/>
      <c r="BAX12" s="114"/>
      <c r="BAY12" s="114"/>
      <c r="BAZ12" s="114"/>
      <c r="BBA12" s="114"/>
      <c r="BBB12" s="114"/>
      <c r="BBC12" s="114"/>
      <c r="BBD12" s="114"/>
      <c r="BBE12" s="114"/>
      <c r="BBF12" s="114"/>
      <c r="BBG12" s="114"/>
      <c r="BBH12" s="114"/>
      <c r="BBI12" s="114"/>
      <c r="BBJ12" s="114"/>
      <c r="BBK12" s="114"/>
      <c r="BBL12" s="114"/>
      <c r="BBM12" s="114"/>
      <c r="BBN12" s="114"/>
      <c r="BBO12" s="114"/>
      <c r="BBP12" s="114"/>
      <c r="BBQ12" s="114"/>
      <c r="BBR12" s="114"/>
      <c r="BBS12" s="114"/>
      <c r="BBT12" s="114"/>
      <c r="BBU12" s="114"/>
      <c r="BBV12" s="114"/>
      <c r="BBW12" s="114"/>
      <c r="BBX12" s="114"/>
      <c r="BBY12" s="114"/>
      <c r="BBZ12" s="114"/>
      <c r="BCA12" s="114"/>
      <c r="BCB12" s="114"/>
      <c r="BCC12" s="114"/>
      <c r="BCD12" s="114"/>
      <c r="BCE12" s="114"/>
      <c r="BCF12" s="114"/>
      <c r="BCG12" s="114"/>
      <c r="BCH12" s="114"/>
      <c r="BCI12" s="114"/>
      <c r="BCJ12" s="114"/>
      <c r="BCK12" s="114"/>
      <c r="BCL12" s="114"/>
      <c r="BCM12" s="114"/>
      <c r="BCN12" s="114"/>
      <c r="BCO12" s="114"/>
      <c r="BCP12" s="114"/>
      <c r="BCQ12" s="114"/>
      <c r="BCR12" s="114"/>
      <c r="BCS12" s="114"/>
      <c r="BCT12" s="114"/>
      <c r="BCU12" s="114"/>
      <c r="BCV12" s="114"/>
      <c r="BCW12" s="114"/>
      <c r="BCX12" s="114"/>
      <c r="BCY12" s="114"/>
      <c r="BCZ12" s="114"/>
      <c r="BDA12" s="114"/>
      <c r="BDB12" s="114"/>
      <c r="BDC12" s="114"/>
      <c r="BDD12" s="114"/>
      <c r="BDE12" s="114"/>
      <c r="BDF12" s="114"/>
      <c r="BDG12" s="114"/>
      <c r="BDH12" s="114"/>
      <c r="BDI12" s="114"/>
      <c r="BDJ12" s="114"/>
      <c r="BDK12" s="114"/>
      <c r="BDL12" s="114"/>
      <c r="BDM12" s="114"/>
      <c r="BDN12" s="114"/>
      <c r="BDO12" s="114"/>
      <c r="BDP12" s="114"/>
      <c r="BDQ12" s="114"/>
      <c r="BDR12" s="114"/>
      <c r="BDS12" s="114"/>
      <c r="BDT12" s="114"/>
      <c r="BDU12" s="114"/>
      <c r="BDV12" s="114"/>
      <c r="BDW12" s="114"/>
      <c r="BDX12" s="114"/>
      <c r="BDY12" s="114"/>
      <c r="BDZ12" s="114"/>
      <c r="BEA12" s="114"/>
      <c r="BEB12" s="114"/>
      <c r="BEC12" s="114"/>
      <c r="BED12" s="114"/>
      <c r="BEE12" s="114"/>
      <c r="BEF12" s="114"/>
      <c r="BEG12" s="114"/>
      <c r="BEH12" s="114"/>
      <c r="BEI12" s="114"/>
      <c r="BEJ12" s="114"/>
      <c r="BEK12" s="114"/>
      <c r="BEL12" s="114"/>
      <c r="BEM12" s="114"/>
      <c r="BEN12" s="114"/>
      <c r="BEO12" s="114"/>
      <c r="BEP12" s="114"/>
      <c r="BEQ12" s="114"/>
      <c r="BER12" s="114"/>
      <c r="BES12" s="114"/>
      <c r="BET12" s="114"/>
      <c r="BEU12" s="114"/>
      <c r="BEV12" s="114"/>
      <c r="BEW12" s="114"/>
      <c r="BEX12" s="114"/>
      <c r="BEY12" s="114"/>
      <c r="BEZ12" s="114"/>
      <c r="BFA12" s="114"/>
      <c r="BFB12" s="114"/>
      <c r="BFC12" s="114"/>
      <c r="BFD12" s="114"/>
      <c r="BFE12" s="114"/>
      <c r="BFF12" s="114"/>
      <c r="BFG12" s="114"/>
      <c r="BFH12" s="114"/>
      <c r="BFI12" s="114"/>
      <c r="BFJ12" s="114"/>
      <c r="BFK12" s="114"/>
      <c r="BFL12" s="114"/>
      <c r="BFM12" s="114"/>
      <c r="BFN12" s="114"/>
      <c r="BFO12" s="114"/>
      <c r="BFP12" s="114"/>
      <c r="BFQ12" s="114"/>
      <c r="BFR12" s="114"/>
      <c r="BFS12" s="114"/>
      <c r="BFT12" s="114"/>
      <c r="BFU12" s="114"/>
      <c r="BFV12" s="114"/>
      <c r="BFW12" s="114"/>
      <c r="BFX12" s="114"/>
      <c r="BFY12" s="114"/>
      <c r="BFZ12" s="114"/>
      <c r="BGA12" s="114"/>
      <c r="BGB12" s="114"/>
      <c r="BGC12" s="114"/>
      <c r="BGD12" s="114"/>
      <c r="BGE12" s="114"/>
      <c r="BGF12" s="114"/>
      <c r="BGG12" s="114"/>
      <c r="BGH12" s="114"/>
      <c r="BGI12" s="114"/>
      <c r="BGJ12" s="114"/>
      <c r="BGK12" s="114"/>
      <c r="BGL12" s="114"/>
      <c r="BGM12" s="114"/>
      <c r="BGN12" s="114"/>
      <c r="BGO12" s="114"/>
      <c r="BGP12" s="114"/>
      <c r="BGQ12" s="114"/>
      <c r="BGR12" s="114"/>
      <c r="BGS12" s="114"/>
      <c r="BGT12" s="114"/>
      <c r="BGU12" s="114"/>
      <c r="BGV12" s="114"/>
      <c r="BGW12" s="114"/>
      <c r="BGX12" s="114"/>
      <c r="BGY12" s="114"/>
      <c r="BGZ12" s="114"/>
      <c r="BHA12" s="114"/>
      <c r="BHB12" s="114"/>
      <c r="BHC12" s="114"/>
      <c r="BHD12" s="114"/>
      <c r="BHE12" s="114"/>
      <c r="BHF12" s="114"/>
      <c r="BHG12" s="114"/>
      <c r="BHH12" s="114"/>
      <c r="BHI12" s="114"/>
      <c r="BHJ12" s="114"/>
      <c r="BHK12" s="114"/>
      <c r="BHL12" s="114"/>
      <c r="BHM12" s="114"/>
      <c r="BHN12" s="114"/>
      <c r="BHO12" s="114"/>
      <c r="BHP12" s="114"/>
      <c r="BHQ12" s="114"/>
      <c r="BHR12" s="114"/>
      <c r="BHS12" s="114"/>
      <c r="BHT12" s="114"/>
      <c r="BHU12" s="114"/>
      <c r="BHV12" s="114"/>
      <c r="BHW12" s="114"/>
      <c r="BHX12" s="114"/>
      <c r="BHY12" s="114"/>
      <c r="BHZ12" s="114"/>
      <c r="BIA12" s="114"/>
      <c r="BIB12" s="114"/>
      <c r="BIC12" s="114"/>
      <c r="BID12" s="114"/>
      <c r="BIE12" s="114"/>
      <c r="BIF12" s="114"/>
      <c r="BIG12" s="114"/>
      <c r="BIH12" s="114"/>
      <c r="BII12" s="114"/>
      <c r="BIJ12" s="114"/>
      <c r="BIK12" s="114"/>
      <c r="BIL12" s="114"/>
      <c r="BIM12" s="114"/>
      <c r="BIN12" s="114"/>
      <c r="BIO12" s="114"/>
      <c r="BIP12" s="114"/>
      <c r="BIQ12" s="114"/>
      <c r="BIR12" s="114"/>
      <c r="BIS12" s="114"/>
      <c r="BIT12" s="114"/>
      <c r="BIU12" s="114"/>
      <c r="BIV12" s="114"/>
      <c r="BIW12" s="114"/>
      <c r="BIX12" s="114"/>
      <c r="BIY12" s="114"/>
      <c r="BIZ12" s="114"/>
      <c r="BJA12" s="114"/>
      <c r="BJB12" s="114"/>
      <c r="BJC12" s="114"/>
      <c r="BJD12" s="114"/>
      <c r="BJE12" s="114"/>
      <c r="BJF12" s="114"/>
      <c r="BJG12" s="114"/>
      <c r="BJH12" s="114"/>
      <c r="BJI12" s="114"/>
      <c r="BJJ12" s="114"/>
      <c r="BJK12" s="114"/>
      <c r="BJL12" s="114"/>
      <c r="BJM12" s="114"/>
      <c r="BJN12" s="114"/>
      <c r="BJO12" s="114"/>
      <c r="BJP12" s="114"/>
      <c r="BJQ12" s="114"/>
      <c r="BJR12" s="114"/>
      <c r="BJS12" s="114"/>
      <c r="BJT12" s="114"/>
      <c r="BJU12" s="114"/>
      <c r="BJV12" s="114"/>
      <c r="BJW12" s="114"/>
      <c r="BJX12" s="114"/>
      <c r="BJY12" s="114"/>
      <c r="BJZ12" s="114"/>
      <c r="BKA12" s="114"/>
      <c r="BKB12" s="114"/>
      <c r="BKC12" s="114"/>
      <c r="BKD12" s="114"/>
      <c r="BKE12" s="114"/>
      <c r="BKF12" s="114"/>
      <c r="BKG12" s="114"/>
      <c r="BKH12" s="114"/>
      <c r="BKI12" s="114"/>
      <c r="BKJ12" s="114"/>
      <c r="BKK12" s="114"/>
      <c r="BKL12" s="114"/>
      <c r="BKM12" s="114"/>
      <c r="BKN12" s="114"/>
      <c r="BKO12" s="114"/>
      <c r="BKP12" s="114"/>
      <c r="BKQ12" s="114"/>
      <c r="BKR12" s="114"/>
      <c r="BKS12" s="114"/>
      <c r="BKT12" s="114"/>
      <c r="BKU12" s="114"/>
      <c r="BKV12" s="114"/>
      <c r="BKW12" s="114"/>
      <c r="BKX12" s="114"/>
      <c r="BKY12" s="114"/>
      <c r="BKZ12" s="114"/>
      <c r="BLA12" s="114"/>
      <c r="BLB12" s="114"/>
      <c r="BLC12" s="114"/>
      <c r="BLD12" s="114"/>
      <c r="BLE12" s="114"/>
      <c r="BLF12" s="114"/>
      <c r="BLG12" s="114"/>
      <c r="BLH12" s="114"/>
      <c r="BLI12" s="114"/>
      <c r="BLJ12" s="114"/>
      <c r="BLK12" s="114"/>
      <c r="BLL12" s="114"/>
      <c r="BLM12" s="114"/>
      <c r="BLN12" s="114"/>
      <c r="BLO12" s="114"/>
      <c r="BLP12" s="114"/>
      <c r="BLQ12" s="114"/>
      <c r="BLR12" s="114"/>
      <c r="BLS12" s="114"/>
      <c r="BLT12" s="114"/>
      <c r="BLU12" s="114"/>
      <c r="BLV12" s="114"/>
      <c r="BLW12" s="114"/>
      <c r="BLX12" s="114"/>
      <c r="BLY12" s="114"/>
      <c r="BLZ12" s="114"/>
      <c r="BMA12" s="114"/>
      <c r="BMB12" s="114"/>
      <c r="BMC12" s="114"/>
      <c r="BMD12" s="114"/>
      <c r="BME12" s="114"/>
      <c r="BMF12" s="114"/>
      <c r="BMG12" s="114"/>
      <c r="BMH12" s="114"/>
      <c r="BMI12" s="114"/>
      <c r="BMJ12" s="114"/>
      <c r="BMK12" s="114"/>
      <c r="BML12" s="114"/>
      <c r="BMM12" s="114"/>
      <c r="BMN12" s="114"/>
      <c r="BMO12" s="114"/>
      <c r="BMP12" s="114"/>
      <c r="BMQ12" s="114"/>
      <c r="BMR12" s="114"/>
      <c r="BMS12" s="114"/>
      <c r="BMT12" s="114"/>
      <c r="BMU12" s="114"/>
      <c r="BMV12" s="114"/>
      <c r="BMW12" s="114"/>
      <c r="BMX12" s="114"/>
      <c r="BMY12" s="114"/>
      <c r="BMZ12" s="114"/>
      <c r="BNA12" s="114"/>
      <c r="BNB12" s="114"/>
      <c r="BNC12" s="114"/>
      <c r="BND12" s="114"/>
      <c r="BNE12" s="114"/>
      <c r="BNF12" s="114"/>
      <c r="BNG12" s="114"/>
      <c r="BNH12" s="114"/>
      <c r="BNI12" s="114"/>
      <c r="BNJ12" s="114"/>
      <c r="BNK12" s="114"/>
      <c r="BNL12" s="114"/>
      <c r="BNM12" s="114"/>
      <c r="BNN12" s="114"/>
      <c r="BNO12" s="114"/>
      <c r="BNP12" s="114"/>
      <c r="BNQ12" s="114"/>
      <c r="BNR12" s="114"/>
      <c r="BNS12" s="114"/>
      <c r="BNT12" s="114"/>
      <c r="BNU12" s="114"/>
      <c r="BNV12" s="114"/>
      <c r="BNW12" s="114"/>
      <c r="BNX12" s="114"/>
      <c r="BNY12" s="114"/>
      <c r="BNZ12" s="114"/>
      <c r="BOA12" s="114"/>
      <c r="BOB12" s="114"/>
      <c r="BOC12" s="114"/>
      <c r="BOD12" s="114"/>
      <c r="BOE12" s="114"/>
      <c r="BOF12" s="114"/>
      <c r="BOG12" s="114"/>
      <c r="BOH12" s="114"/>
      <c r="BOI12" s="114"/>
      <c r="BOJ12" s="114"/>
      <c r="BOK12" s="114"/>
      <c r="BOL12" s="114"/>
      <c r="BOM12" s="114"/>
      <c r="BON12" s="114"/>
      <c r="BOO12" s="114"/>
      <c r="BOP12" s="114"/>
      <c r="BOQ12" s="114"/>
      <c r="BOR12" s="114"/>
      <c r="BOS12" s="114"/>
      <c r="BOT12" s="114"/>
      <c r="BOU12" s="114"/>
      <c r="BOV12" s="114"/>
      <c r="BOW12" s="114"/>
      <c r="BOX12" s="114"/>
      <c r="BOY12" s="114"/>
      <c r="BOZ12" s="114"/>
      <c r="BPA12" s="114"/>
      <c r="BPB12" s="114"/>
      <c r="BPC12" s="114"/>
      <c r="BPD12" s="114"/>
      <c r="BPE12" s="114"/>
      <c r="BPF12" s="114"/>
      <c r="BPG12" s="114"/>
      <c r="BPH12" s="114"/>
      <c r="BPI12" s="114"/>
      <c r="BPJ12" s="114"/>
      <c r="BPK12" s="114"/>
      <c r="BPL12" s="114"/>
      <c r="BPM12" s="114"/>
      <c r="BPN12" s="114"/>
      <c r="BPO12" s="114"/>
      <c r="BPP12" s="114"/>
      <c r="BPQ12" s="114"/>
      <c r="BPR12" s="114"/>
      <c r="BPS12" s="114"/>
      <c r="BPT12" s="114"/>
      <c r="BPU12" s="114"/>
      <c r="BPV12" s="114"/>
      <c r="BPW12" s="114"/>
      <c r="BPX12" s="114"/>
      <c r="BPY12" s="114"/>
      <c r="BPZ12" s="114"/>
      <c r="BQA12" s="114"/>
      <c r="BQB12" s="114"/>
      <c r="BQC12" s="114"/>
      <c r="BQD12" s="114"/>
      <c r="BQE12" s="114"/>
      <c r="BQF12" s="114"/>
      <c r="BQG12" s="114"/>
      <c r="BQH12" s="114"/>
      <c r="BQI12" s="114"/>
      <c r="BQJ12" s="114"/>
      <c r="BQK12" s="114"/>
      <c r="BQL12" s="114"/>
      <c r="BQM12" s="114"/>
      <c r="BQN12" s="114"/>
      <c r="BQO12" s="114"/>
      <c r="BQP12" s="114"/>
      <c r="BQQ12" s="114"/>
      <c r="BQR12" s="114"/>
      <c r="BQS12" s="114"/>
      <c r="BQT12" s="114"/>
      <c r="BQU12" s="114"/>
      <c r="BQV12" s="114"/>
      <c r="BQW12" s="114"/>
      <c r="BQX12" s="114"/>
      <c r="BQY12" s="114"/>
      <c r="BQZ12" s="114"/>
      <c r="BRA12" s="114"/>
      <c r="BRB12" s="114"/>
      <c r="BRC12" s="114"/>
      <c r="BRD12" s="114"/>
      <c r="BRE12" s="114"/>
      <c r="BRF12" s="114"/>
      <c r="BRG12" s="114"/>
      <c r="BRH12" s="114"/>
      <c r="BRI12" s="114"/>
      <c r="BRJ12" s="114"/>
      <c r="BRK12" s="114"/>
      <c r="BRL12" s="114"/>
      <c r="BRM12" s="114"/>
      <c r="BRN12" s="114"/>
      <c r="BRO12" s="114"/>
      <c r="BRP12" s="114"/>
      <c r="BRQ12" s="114"/>
      <c r="BRR12" s="114"/>
      <c r="BRS12" s="114"/>
      <c r="BRT12" s="114"/>
      <c r="BRU12" s="114"/>
      <c r="BRV12" s="114"/>
      <c r="BRW12" s="114"/>
      <c r="BRX12" s="114"/>
      <c r="BRY12" s="114"/>
      <c r="BRZ12" s="114"/>
      <c r="BSA12" s="114"/>
      <c r="BSB12" s="114"/>
      <c r="BSC12" s="114"/>
      <c r="BSD12" s="114"/>
      <c r="BSE12" s="114"/>
      <c r="BSF12" s="114"/>
      <c r="BSG12" s="114"/>
      <c r="BSH12" s="114"/>
      <c r="BSI12" s="114"/>
      <c r="BSJ12" s="114"/>
      <c r="BSK12" s="114"/>
      <c r="BSL12" s="114"/>
      <c r="BSM12" s="114"/>
      <c r="BSN12" s="114"/>
      <c r="BSO12" s="114"/>
      <c r="BSP12" s="114"/>
      <c r="BSQ12" s="114"/>
      <c r="BSR12" s="114"/>
      <c r="BSS12" s="114"/>
      <c r="BST12" s="114"/>
      <c r="BSU12" s="114"/>
      <c r="BSV12" s="114"/>
      <c r="BSW12" s="114"/>
      <c r="BSX12" s="114"/>
      <c r="BSY12" s="114"/>
      <c r="BSZ12" s="114"/>
      <c r="BTA12" s="114"/>
      <c r="BTB12" s="114"/>
      <c r="BTC12" s="114"/>
      <c r="BTD12" s="114"/>
      <c r="BTE12" s="114"/>
      <c r="BTF12" s="114"/>
      <c r="BTG12" s="114"/>
      <c r="BTH12" s="114"/>
      <c r="BTI12" s="114"/>
      <c r="BTJ12" s="114"/>
      <c r="BTK12" s="114"/>
      <c r="BTL12" s="114"/>
      <c r="BTM12" s="114"/>
      <c r="BTN12" s="114"/>
      <c r="BTO12" s="114"/>
      <c r="BTP12" s="114"/>
      <c r="BTQ12" s="114"/>
      <c r="BTR12" s="114"/>
      <c r="BTS12" s="114"/>
      <c r="BTT12" s="114"/>
      <c r="BTU12" s="114"/>
      <c r="BTV12" s="114"/>
      <c r="BTW12" s="114"/>
      <c r="BTX12" s="114"/>
      <c r="BTY12" s="114"/>
      <c r="BTZ12" s="114"/>
      <c r="BUA12" s="114"/>
      <c r="BUB12" s="114"/>
      <c r="BUC12" s="114"/>
      <c r="BUD12" s="114"/>
      <c r="BUE12" s="114"/>
      <c r="BUF12" s="114"/>
      <c r="BUG12" s="114"/>
      <c r="BUH12" s="114"/>
      <c r="BUI12" s="114"/>
      <c r="BUJ12" s="114"/>
      <c r="BUK12" s="114"/>
      <c r="BUL12" s="114"/>
      <c r="BUM12" s="114"/>
      <c r="BUN12" s="114"/>
      <c r="BUO12" s="114"/>
      <c r="BUP12" s="114"/>
      <c r="BUQ12" s="114"/>
      <c r="BUR12" s="114"/>
      <c r="BUS12" s="114"/>
      <c r="BUT12" s="114"/>
      <c r="BUU12" s="114"/>
      <c r="BUV12" s="114"/>
      <c r="BUW12" s="114"/>
      <c r="BUX12" s="114"/>
      <c r="BUY12" s="114"/>
      <c r="BUZ12" s="114"/>
      <c r="BVA12" s="114"/>
      <c r="BVB12" s="114"/>
      <c r="BVC12" s="114"/>
      <c r="BVD12" s="114"/>
      <c r="BVE12" s="114"/>
      <c r="BVF12" s="114"/>
      <c r="BVG12" s="114"/>
      <c r="BVH12" s="114"/>
      <c r="BVI12" s="114"/>
      <c r="BVJ12" s="114"/>
      <c r="BVK12" s="114"/>
      <c r="BVL12" s="114"/>
      <c r="BVM12" s="114"/>
      <c r="BVN12" s="114"/>
      <c r="BVO12" s="114"/>
      <c r="BVP12" s="114"/>
      <c r="BVQ12" s="114"/>
      <c r="BVR12" s="114"/>
      <c r="BVS12" s="114"/>
      <c r="BVT12" s="114"/>
      <c r="BVU12" s="114"/>
      <c r="BVV12" s="114"/>
      <c r="BVW12" s="114"/>
      <c r="BVX12" s="114"/>
      <c r="BVY12" s="114"/>
      <c r="BVZ12" s="114"/>
      <c r="BWA12" s="114"/>
      <c r="BWB12" s="114"/>
      <c r="BWC12" s="114"/>
      <c r="BWD12" s="114"/>
      <c r="BWE12" s="114"/>
      <c r="BWF12" s="114"/>
      <c r="BWG12" s="114"/>
      <c r="BWH12" s="114"/>
      <c r="BWI12" s="114"/>
      <c r="BWJ12" s="114"/>
      <c r="BWK12" s="114"/>
      <c r="BWL12" s="114"/>
      <c r="BWM12" s="114"/>
      <c r="BWN12" s="114"/>
      <c r="BWO12" s="114"/>
      <c r="BWP12" s="114"/>
      <c r="BWQ12" s="114"/>
      <c r="BWR12" s="114"/>
      <c r="BWS12" s="114"/>
      <c r="BWT12" s="114"/>
      <c r="BWU12" s="114"/>
      <c r="BWV12" s="114"/>
      <c r="BWW12" s="114"/>
      <c r="BWX12" s="114"/>
      <c r="BWY12" s="114"/>
      <c r="BWZ12" s="114"/>
      <c r="BXA12" s="114"/>
      <c r="BXB12" s="114"/>
      <c r="BXC12" s="114"/>
      <c r="BXD12" s="114"/>
      <c r="BXE12" s="114"/>
      <c r="BXF12" s="114"/>
      <c r="BXG12" s="114"/>
      <c r="BXH12" s="114"/>
      <c r="BXI12" s="114"/>
      <c r="BXJ12" s="114"/>
      <c r="BXK12" s="114"/>
      <c r="BXL12" s="114"/>
      <c r="BXM12" s="114"/>
      <c r="BXN12" s="114"/>
      <c r="BXO12" s="114"/>
      <c r="BXP12" s="114"/>
      <c r="BXQ12" s="114"/>
      <c r="BXR12" s="114"/>
      <c r="BXS12" s="114"/>
      <c r="BXT12" s="114"/>
      <c r="BXU12" s="114"/>
      <c r="BXV12" s="114"/>
      <c r="BXW12" s="114"/>
      <c r="BXX12" s="114"/>
      <c r="BXY12" s="114"/>
      <c r="BXZ12" s="114"/>
      <c r="BYA12" s="114"/>
      <c r="BYB12" s="114"/>
      <c r="BYC12" s="114"/>
      <c r="BYD12" s="114"/>
      <c r="BYE12" s="114"/>
      <c r="BYF12" s="114"/>
      <c r="BYG12" s="114"/>
      <c r="BYH12" s="114"/>
      <c r="BYI12" s="114"/>
      <c r="BYJ12" s="114"/>
      <c r="BYK12" s="114"/>
      <c r="BYL12" s="114"/>
      <c r="BYM12" s="114"/>
      <c r="BYN12" s="114"/>
      <c r="BYO12" s="114"/>
      <c r="BYP12" s="114"/>
      <c r="BYQ12" s="114"/>
      <c r="BYR12" s="114"/>
      <c r="BYS12" s="114"/>
      <c r="BYT12" s="114"/>
      <c r="BYU12" s="114"/>
      <c r="BYV12" s="114"/>
      <c r="BYW12" s="114"/>
      <c r="BYX12" s="114"/>
      <c r="BYY12" s="114"/>
      <c r="BYZ12" s="114"/>
      <c r="BZA12" s="114"/>
      <c r="BZB12" s="114"/>
      <c r="BZC12" s="114"/>
      <c r="BZD12" s="114"/>
      <c r="BZE12" s="114"/>
      <c r="BZF12" s="114"/>
      <c r="BZG12" s="114"/>
      <c r="BZH12" s="114"/>
      <c r="BZI12" s="114"/>
      <c r="BZJ12" s="114"/>
      <c r="BZK12" s="114"/>
      <c r="BZL12" s="114"/>
      <c r="BZM12" s="114"/>
      <c r="BZN12" s="114"/>
      <c r="BZO12" s="114"/>
      <c r="BZP12" s="114"/>
      <c r="BZQ12" s="114"/>
      <c r="BZR12" s="114"/>
      <c r="BZS12" s="114"/>
      <c r="BZT12" s="114"/>
      <c r="BZU12" s="114"/>
      <c r="BZV12" s="114"/>
      <c r="BZW12" s="114"/>
      <c r="BZX12" s="114"/>
      <c r="BZY12" s="114"/>
      <c r="BZZ12" s="114"/>
      <c r="CAA12" s="114"/>
      <c r="CAB12" s="114"/>
      <c r="CAC12" s="114"/>
      <c r="CAD12" s="114"/>
      <c r="CAE12" s="114"/>
      <c r="CAF12" s="114"/>
      <c r="CAG12" s="114"/>
      <c r="CAH12" s="114"/>
      <c r="CAI12" s="114"/>
      <c r="CAJ12" s="114"/>
      <c r="CAK12" s="114"/>
      <c r="CAL12" s="114"/>
      <c r="CAM12" s="114"/>
      <c r="CAN12" s="114"/>
      <c r="CAO12" s="114"/>
      <c r="CAP12" s="114"/>
      <c r="CAQ12" s="114"/>
      <c r="CAR12" s="114"/>
      <c r="CAS12" s="114"/>
      <c r="CAT12" s="114"/>
      <c r="CAU12" s="114"/>
      <c r="CAV12" s="114"/>
      <c r="CAW12" s="114"/>
      <c r="CAX12" s="114"/>
      <c r="CAY12" s="114"/>
      <c r="CAZ12" s="114"/>
      <c r="CBA12" s="114"/>
      <c r="CBB12" s="114"/>
      <c r="CBC12" s="114"/>
      <c r="CBD12" s="114"/>
      <c r="CBE12" s="114"/>
      <c r="CBF12" s="114"/>
      <c r="CBG12" s="114"/>
      <c r="CBH12" s="114"/>
      <c r="CBI12" s="114"/>
      <c r="CBJ12" s="114"/>
      <c r="CBK12" s="114"/>
      <c r="CBL12" s="114"/>
      <c r="CBM12" s="114"/>
      <c r="CBN12" s="114"/>
      <c r="CBO12" s="114"/>
      <c r="CBP12" s="114"/>
      <c r="CBQ12" s="114"/>
      <c r="CBR12" s="114"/>
      <c r="CBS12" s="114"/>
      <c r="CBT12" s="114"/>
      <c r="CBU12" s="114"/>
      <c r="CBV12" s="114"/>
      <c r="CBW12" s="114"/>
      <c r="CBX12" s="114"/>
      <c r="CBY12" s="114"/>
      <c r="CBZ12" s="114"/>
      <c r="CCA12" s="114"/>
      <c r="CCB12" s="114"/>
      <c r="CCC12" s="114"/>
      <c r="CCD12" s="114"/>
      <c r="CCE12" s="114"/>
      <c r="CCF12" s="114"/>
      <c r="CCG12" s="114"/>
      <c r="CCH12" s="114"/>
      <c r="CCI12" s="114"/>
      <c r="CCJ12" s="114"/>
      <c r="CCK12" s="114"/>
      <c r="CCL12" s="114"/>
      <c r="CCM12" s="114"/>
      <c r="CCN12" s="114"/>
      <c r="CCO12" s="114"/>
      <c r="CCP12" s="114"/>
      <c r="CCQ12" s="114"/>
      <c r="CCR12" s="114"/>
      <c r="CCS12" s="114"/>
      <c r="CCT12" s="114"/>
      <c r="CCU12" s="114"/>
      <c r="CCV12" s="114"/>
      <c r="CCW12" s="114"/>
      <c r="CCX12" s="114"/>
      <c r="CCY12" s="114"/>
      <c r="CCZ12" s="114"/>
      <c r="CDA12" s="114"/>
      <c r="CDB12" s="114"/>
      <c r="CDC12" s="114"/>
      <c r="CDD12" s="114"/>
      <c r="CDE12" s="114"/>
      <c r="CDF12" s="114"/>
      <c r="CDG12" s="114"/>
      <c r="CDH12" s="114"/>
      <c r="CDI12" s="114"/>
      <c r="CDJ12" s="114"/>
      <c r="CDK12" s="114"/>
      <c r="CDL12" s="114"/>
      <c r="CDM12" s="114"/>
      <c r="CDN12" s="114"/>
      <c r="CDO12" s="114"/>
      <c r="CDP12" s="114"/>
      <c r="CDQ12" s="114"/>
      <c r="CDR12" s="114"/>
      <c r="CDS12" s="114"/>
      <c r="CDT12" s="114"/>
      <c r="CDU12" s="114"/>
      <c r="CDV12" s="114"/>
      <c r="CDW12" s="114"/>
      <c r="CDX12" s="114"/>
      <c r="CDY12" s="114"/>
      <c r="CDZ12" s="114"/>
      <c r="CEA12" s="114"/>
      <c r="CEB12" s="114"/>
      <c r="CEC12" s="114"/>
      <c r="CED12" s="114"/>
      <c r="CEE12" s="114"/>
      <c r="CEF12" s="114"/>
      <c r="CEG12" s="114"/>
      <c r="CEH12" s="114"/>
      <c r="CEI12" s="114"/>
      <c r="CEJ12" s="114"/>
      <c r="CEK12" s="114"/>
      <c r="CEL12" s="114"/>
      <c r="CEM12" s="114"/>
      <c r="CEN12" s="114"/>
      <c r="CEO12" s="114"/>
      <c r="CEP12" s="114"/>
      <c r="CEQ12" s="114"/>
      <c r="CER12" s="114"/>
      <c r="CES12" s="114"/>
      <c r="CET12" s="114"/>
      <c r="CEU12" s="114"/>
      <c r="CEV12" s="114"/>
      <c r="CEW12" s="114"/>
      <c r="CEX12" s="114"/>
      <c r="CEY12" s="114"/>
      <c r="CEZ12" s="114"/>
      <c r="CFA12" s="114"/>
      <c r="CFB12" s="114"/>
      <c r="CFC12" s="114"/>
      <c r="CFD12" s="114"/>
      <c r="CFE12" s="114"/>
      <c r="CFF12" s="114"/>
      <c r="CFG12" s="114"/>
      <c r="CFH12" s="114"/>
      <c r="CFI12" s="114"/>
      <c r="CFJ12" s="114"/>
      <c r="CFK12" s="114"/>
      <c r="CFL12" s="114"/>
      <c r="CFM12" s="114"/>
      <c r="CFN12" s="114"/>
      <c r="CFO12" s="114"/>
      <c r="CFP12" s="114"/>
      <c r="CFQ12" s="114"/>
      <c r="CFR12" s="114"/>
      <c r="CFS12" s="114"/>
      <c r="CFT12" s="114"/>
      <c r="CFU12" s="114"/>
      <c r="CFV12" s="114"/>
      <c r="CFW12" s="114"/>
      <c r="CFX12" s="114"/>
      <c r="CFY12" s="114"/>
      <c r="CFZ12" s="114"/>
      <c r="CGA12" s="114"/>
      <c r="CGB12" s="114"/>
      <c r="CGC12" s="114"/>
      <c r="CGD12" s="114"/>
      <c r="CGE12" s="114"/>
      <c r="CGF12" s="114"/>
      <c r="CGG12" s="114"/>
      <c r="CGH12" s="114"/>
      <c r="CGI12" s="114"/>
      <c r="CGJ12" s="114"/>
      <c r="CGK12" s="114"/>
      <c r="CGL12" s="114"/>
      <c r="CGM12" s="114"/>
      <c r="CGN12" s="114"/>
      <c r="CGO12" s="114"/>
      <c r="CGP12" s="114"/>
      <c r="CGQ12" s="114"/>
      <c r="CGR12" s="114"/>
      <c r="CGS12" s="114"/>
      <c r="CGT12" s="114"/>
      <c r="CGU12" s="114"/>
      <c r="CGV12" s="114"/>
      <c r="CGW12" s="114"/>
      <c r="CGX12" s="114"/>
      <c r="CGY12" s="114"/>
      <c r="CGZ12" s="114"/>
      <c r="CHA12" s="114"/>
      <c r="CHB12" s="114"/>
      <c r="CHC12" s="114"/>
      <c r="CHD12" s="114"/>
      <c r="CHE12" s="114"/>
      <c r="CHF12" s="114"/>
      <c r="CHG12" s="114"/>
      <c r="CHH12" s="114"/>
      <c r="CHI12" s="114"/>
      <c r="CHJ12" s="114"/>
      <c r="CHK12" s="114"/>
      <c r="CHL12" s="114"/>
      <c r="CHM12" s="114"/>
      <c r="CHN12" s="114"/>
      <c r="CHO12" s="114"/>
      <c r="CHP12" s="114"/>
      <c r="CHQ12" s="114"/>
      <c r="CHR12" s="114"/>
      <c r="CHS12" s="114"/>
      <c r="CHT12" s="114"/>
      <c r="CHU12" s="114"/>
      <c r="CHV12" s="114"/>
      <c r="CHW12" s="114"/>
      <c r="CHX12" s="114"/>
      <c r="CHY12" s="114"/>
      <c r="CHZ12" s="114"/>
      <c r="CIA12" s="114"/>
      <c r="CIB12" s="114"/>
      <c r="CIC12" s="114"/>
      <c r="CID12" s="114"/>
      <c r="CIE12" s="114"/>
      <c r="CIF12" s="114"/>
      <c r="CIG12" s="114"/>
      <c r="CIH12" s="114"/>
      <c r="CII12" s="114"/>
      <c r="CIJ12" s="114"/>
      <c r="CIK12" s="114"/>
      <c r="CIL12" s="114"/>
      <c r="CIM12" s="114"/>
      <c r="CIN12" s="114"/>
      <c r="CIO12" s="114"/>
      <c r="CIP12" s="114"/>
      <c r="CIQ12" s="114"/>
      <c r="CIR12" s="114"/>
      <c r="CIS12" s="114"/>
      <c r="CIT12" s="114"/>
      <c r="CIU12" s="114"/>
      <c r="CIV12" s="114"/>
      <c r="CIW12" s="114"/>
      <c r="CIX12" s="114"/>
      <c r="CIY12" s="114"/>
      <c r="CIZ12" s="114"/>
      <c r="CJA12" s="114"/>
      <c r="CJB12" s="114"/>
      <c r="CJC12" s="114"/>
      <c r="CJD12" s="114"/>
      <c r="CJE12" s="114"/>
      <c r="CJF12" s="114"/>
      <c r="CJG12" s="114"/>
      <c r="CJH12" s="114"/>
      <c r="CJI12" s="114"/>
      <c r="CJJ12" s="114"/>
      <c r="CJK12" s="114"/>
      <c r="CJL12" s="114"/>
      <c r="CJM12" s="114"/>
      <c r="CJN12" s="114"/>
      <c r="CJO12" s="114"/>
      <c r="CJP12" s="114"/>
      <c r="CJQ12" s="114"/>
      <c r="CJR12" s="114"/>
      <c r="CJS12" s="114"/>
      <c r="CJT12" s="114"/>
      <c r="CJU12" s="114"/>
      <c r="CJV12" s="114"/>
      <c r="CJW12" s="114"/>
      <c r="CJX12" s="114"/>
      <c r="CJY12" s="114"/>
      <c r="CJZ12" s="114"/>
      <c r="CKA12" s="114"/>
      <c r="CKB12" s="114"/>
      <c r="CKC12" s="114"/>
      <c r="CKD12" s="114"/>
      <c r="CKE12" s="114"/>
      <c r="CKF12" s="114"/>
      <c r="CKG12" s="114"/>
      <c r="CKH12" s="114"/>
      <c r="CKI12" s="114"/>
      <c r="CKJ12" s="114"/>
      <c r="CKK12" s="114"/>
      <c r="CKL12" s="114"/>
      <c r="CKM12" s="114"/>
      <c r="CKN12" s="114"/>
      <c r="CKO12" s="114"/>
      <c r="CKP12" s="114"/>
      <c r="CKQ12" s="114"/>
      <c r="CKR12" s="114"/>
      <c r="CKS12" s="114"/>
      <c r="CKT12" s="114"/>
      <c r="CKU12" s="114"/>
      <c r="CKV12" s="114"/>
      <c r="CKW12" s="114"/>
      <c r="CKX12" s="114"/>
      <c r="CKY12" s="114"/>
      <c r="CKZ12" s="114"/>
      <c r="CLA12" s="114"/>
      <c r="CLB12" s="114"/>
      <c r="CLC12" s="114"/>
      <c r="CLD12" s="114"/>
      <c r="CLE12" s="114"/>
      <c r="CLF12" s="114"/>
      <c r="CLG12" s="114"/>
      <c r="CLH12" s="114"/>
      <c r="CLI12" s="114"/>
      <c r="CLJ12" s="114"/>
      <c r="CLK12" s="114"/>
      <c r="CLL12" s="114"/>
      <c r="CLM12" s="114"/>
      <c r="CLN12" s="114"/>
      <c r="CLO12" s="114"/>
      <c r="CLP12" s="114"/>
      <c r="CLQ12" s="114"/>
      <c r="CLR12" s="114"/>
      <c r="CLS12" s="114"/>
      <c r="CLT12" s="114"/>
      <c r="CLU12" s="114"/>
      <c r="CLV12" s="114"/>
      <c r="CLW12" s="114"/>
      <c r="CLX12" s="114"/>
      <c r="CLY12" s="114"/>
      <c r="CLZ12" s="114"/>
      <c r="CMA12" s="114"/>
      <c r="CMB12" s="114"/>
      <c r="CMC12" s="114"/>
      <c r="CMD12" s="114"/>
      <c r="CME12" s="114"/>
      <c r="CMF12" s="114"/>
      <c r="CMG12" s="114"/>
      <c r="CMH12" s="114"/>
      <c r="CMI12" s="114"/>
      <c r="CMJ12" s="114"/>
      <c r="CMK12" s="114"/>
      <c r="CML12" s="114"/>
      <c r="CMM12" s="114"/>
      <c r="CMN12" s="114"/>
      <c r="CMO12" s="114"/>
      <c r="CMP12" s="114"/>
      <c r="CMQ12" s="114"/>
      <c r="CMR12" s="114"/>
      <c r="CMS12" s="114"/>
      <c r="CMT12" s="114"/>
      <c r="CMU12" s="114"/>
      <c r="CMV12" s="114"/>
      <c r="CMW12" s="114"/>
      <c r="CMX12" s="114"/>
      <c r="CMY12" s="114"/>
      <c r="CMZ12" s="114"/>
      <c r="CNA12" s="114"/>
      <c r="CNB12" s="114"/>
      <c r="CNC12" s="114"/>
      <c r="CND12" s="114"/>
      <c r="CNE12" s="114"/>
      <c r="CNF12" s="114"/>
      <c r="CNG12" s="114"/>
      <c r="CNH12" s="114"/>
      <c r="CNI12" s="114"/>
      <c r="CNJ12" s="114"/>
      <c r="CNK12" s="114"/>
      <c r="CNL12" s="114"/>
      <c r="CNM12" s="114"/>
      <c r="CNN12" s="114"/>
      <c r="CNO12" s="114"/>
      <c r="CNP12" s="114"/>
      <c r="CNQ12" s="114"/>
      <c r="CNR12" s="114"/>
      <c r="CNS12" s="114"/>
      <c r="CNT12" s="114"/>
      <c r="CNU12" s="114"/>
      <c r="CNV12" s="114"/>
      <c r="CNW12" s="114"/>
      <c r="CNX12" s="114"/>
      <c r="CNY12" s="114"/>
      <c r="CNZ12" s="114"/>
      <c r="COA12" s="114"/>
      <c r="COB12" s="114"/>
      <c r="COC12" s="114"/>
      <c r="COD12" s="114"/>
      <c r="COE12" s="114"/>
      <c r="COF12" s="114"/>
      <c r="COG12" s="114"/>
      <c r="COH12" s="114"/>
      <c r="COI12" s="114"/>
      <c r="COJ12" s="114"/>
      <c r="COK12" s="114"/>
      <c r="COL12" s="114"/>
      <c r="COM12" s="114"/>
      <c r="CON12" s="114"/>
      <c r="COO12" s="114"/>
      <c r="COP12" s="114"/>
      <c r="COQ12" s="114"/>
      <c r="COR12" s="114"/>
      <c r="COS12" s="114"/>
      <c r="COT12" s="114"/>
      <c r="COU12" s="114"/>
      <c r="COV12" s="114"/>
      <c r="COW12" s="114"/>
      <c r="COX12" s="114"/>
      <c r="COY12" s="114"/>
      <c r="COZ12" s="114"/>
      <c r="CPA12" s="114"/>
      <c r="CPB12" s="114"/>
      <c r="CPC12" s="114"/>
      <c r="CPD12" s="114"/>
      <c r="CPE12" s="114"/>
      <c r="CPF12" s="114"/>
      <c r="CPG12" s="114"/>
      <c r="CPH12" s="114"/>
      <c r="CPI12" s="114"/>
      <c r="CPJ12" s="114"/>
      <c r="CPK12" s="114"/>
      <c r="CPL12" s="114"/>
      <c r="CPM12" s="114"/>
      <c r="CPN12" s="114"/>
      <c r="CPO12" s="114"/>
      <c r="CPP12" s="114"/>
      <c r="CPQ12" s="114"/>
      <c r="CPR12" s="114"/>
      <c r="CPS12" s="114"/>
      <c r="CPT12" s="114"/>
      <c r="CPU12" s="114"/>
      <c r="CPV12" s="114"/>
      <c r="CPW12" s="114"/>
      <c r="CPX12" s="114"/>
      <c r="CPY12" s="114"/>
      <c r="CPZ12" s="114"/>
      <c r="CQA12" s="114"/>
      <c r="CQB12" s="114"/>
      <c r="CQC12" s="114"/>
      <c r="CQD12" s="114"/>
      <c r="CQE12" s="114"/>
      <c r="CQF12" s="114"/>
      <c r="CQG12" s="114"/>
      <c r="CQH12" s="114"/>
      <c r="CQI12" s="114"/>
      <c r="CQJ12" s="114"/>
      <c r="CQK12" s="114"/>
      <c r="CQL12" s="114"/>
      <c r="CQM12" s="114"/>
      <c r="CQN12" s="114"/>
      <c r="CQO12" s="114"/>
      <c r="CQP12" s="114"/>
      <c r="CQQ12" s="114"/>
      <c r="CQR12" s="114"/>
      <c r="CQS12" s="114"/>
      <c r="CQT12" s="114"/>
      <c r="CQU12" s="114"/>
      <c r="CQV12" s="114"/>
      <c r="CQW12" s="114"/>
      <c r="CQX12" s="114"/>
      <c r="CQY12" s="114"/>
      <c r="CQZ12" s="114"/>
      <c r="CRA12" s="114"/>
      <c r="CRB12" s="114"/>
      <c r="CRC12" s="114"/>
      <c r="CRD12" s="114"/>
      <c r="CRE12" s="114"/>
      <c r="CRF12" s="114"/>
      <c r="CRG12" s="114"/>
      <c r="CRH12" s="114"/>
      <c r="CRI12" s="114"/>
      <c r="CRJ12" s="114"/>
      <c r="CRK12" s="114"/>
      <c r="CRL12" s="114"/>
      <c r="CRM12" s="114"/>
      <c r="CRN12" s="114"/>
      <c r="CRO12" s="114"/>
      <c r="CRP12" s="114"/>
      <c r="CRQ12" s="114"/>
      <c r="CRR12" s="114"/>
      <c r="CRS12" s="114"/>
      <c r="CRT12" s="114"/>
      <c r="CRU12" s="114"/>
      <c r="CRV12" s="114"/>
      <c r="CRW12" s="114"/>
      <c r="CRX12" s="114"/>
      <c r="CRY12" s="114"/>
      <c r="CRZ12" s="114"/>
      <c r="CSA12" s="114"/>
      <c r="CSB12" s="114"/>
      <c r="CSC12" s="114"/>
      <c r="CSD12" s="114"/>
      <c r="CSE12" s="114"/>
      <c r="CSF12" s="114"/>
      <c r="CSG12" s="114"/>
      <c r="CSH12" s="114"/>
      <c r="CSI12" s="114"/>
      <c r="CSJ12" s="114"/>
      <c r="CSK12" s="114"/>
      <c r="CSL12" s="114"/>
      <c r="CSM12" s="114"/>
      <c r="CSN12" s="114"/>
      <c r="CSO12" s="114"/>
      <c r="CSP12" s="114"/>
      <c r="CSQ12" s="114"/>
      <c r="CSR12" s="114"/>
      <c r="CSS12" s="114"/>
      <c r="CST12" s="114"/>
      <c r="CSU12" s="114"/>
      <c r="CSV12" s="114"/>
      <c r="CSW12" s="114"/>
      <c r="CSX12" s="114"/>
      <c r="CSY12" s="114"/>
      <c r="CSZ12" s="114"/>
      <c r="CTA12" s="114"/>
      <c r="CTB12" s="114"/>
      <c r="CTC12" s="114"/>
      <c r="CTD12" s="114"/>
      <c r="CTE12" s="114"/>
      <c r="CTF12" s="114"/>
      <c r="CTG12" s="114"/>
      <c r="CTH12" s="114"/>
      <c r="CTI12" s="114"/>
      <c r="CTJ12" s="114"/>
      <c r="CTK12" s="114"/>
      <c r="CTL12" s="114"/>
      <c r="CTM12" s="114"/>
      <c r="CTN12" s="114"/>
      <c r="CTO12" s="114"/>
      <c r="CTP12" s="114"/>
      <c r="CTQ12" s="114"/>
      <c r="CTR12" s="114"/>
      <c r="CTS12" s="114"/>
      <c r="CTT12" s="114"/>
      <c r="CTU12" s="114"/>
      <c r="CTV12" s="114"/>
      <c r="CTW12" s="114"/>
      <c r="CTX12" s="114"/>
      <c r="CTY12" s="114"/>
      <c r="CTZ12" s="114"/>
      <c r="CUA12" s="114"/>
      <c r="CUB12" s="114"/>
      <c r="CUC12" s="114"/>
      <c r="CUD12" s="114"/>
      <c r="CUE12" s="114"/>
      <c r="CUF12" s="114"/>
      <c r="CUG12" s="114"/>
      <c r="CUH12" s="114"/>
      <c r="CUI12" s="114"/>
      <c r="CUJ12" s="114"/>
      <c r="CUK12" s="114"/>
      <c r="CUL12" s="114"/>
      <c r="CUM12" s="114"/>
      <c r="CUN12" s="114"/>
      <c r="CUO12" s="114"/>
      <c r="CUP12" s="114"/>
      <c r="CUQ12" s="114"/>
      <c r="CUR12" s="114"/>
      <c r="CUS12" s="114"/>
      <c r="CUT12" s="114"/>
      <c r="CUU12" s="114"/>
      <c r="CUV12" s="114"/>
      <c r="CUW12" s="114"/>
      <c r="CUX12" s="114"/>
      <c r="CUY12" s="114"/>
      <c r="CUZ12" s="114"/>
      <c r="CVA12" s="114"/>
      <c r="CVB12" s="114"/>
      <c r="CVC12" s="114"/>
      <c r="CVD12" s="114"/>
      <c r="CVE12" s="114"/>
      <c r="CVF12" s="114"/>
      <c r="CVG12" s="114"/>
      <c r="CVH12" s="114"/>
      <c r="CVI12" s="114"/>
      <c r="CVJ12" s="114"/>
      <c r="CVK12" s="114"/>
      <c r="CVL12" s="114"/>
      <c r="CVM12" s="114"/>
      <c r="CVN12" s="114"/>
      <c r="CVO12" s="114"/>
      <c r="CVP12" s="114"/>
      <c r="CVQ12" s="114"/>
      <c r="CVR12" s="114"/>
      <c r="CVS12" s="114"/>
      <c r="CVT12" s="114"/>
      <c r="CVU12" s="114"/>
      <c r="CVV12" s="114"/>
      <c r="CVW12" s="114"/>
      <c r="CVX12" s="114"/>
      <c r="CVY12" s="114"/>
      <c r="CVZ12" s="114"/>
      <c r="CWA12" s="114"/>
      <c r="CWB12" s="114"/>
      <c r="CWC12" s="114"/>
      <c r="CWD12" s="114"/>
      <c r="CWE12" s="114"/>
      <c r="CWF12" s="114"/>
      <c r="CWG12" s="114"/>
      <c r="CWH12" s="114"/>
      <c r="CWI12" s="114"/>
      <c r="CWJ12" s="114"/>
      <c r="CWK12" s="114"/>
      <c r="CWL12" s="114"/>
      <c r="CWM12" s="114"/>
      <c r="CWN12" s="114"/>
      <c r="CWO12" s="114"/>
      <c r="CWP12" s="114"/>
      <c r="CWQ12" s="114"/>
      <c r="CWR12" s="114"/>
      <c r="CWS12" s="114"/>
      <c r="CWT12" s="114"/>
      <c r="CWU12" s="114"/>
      <c r="CWV12" s="114"/>
      <c r="CWW12" s="114"/>
      <c r="CWX12" s="114"/>
      <c r="CWY12" s="114"/>
      <c r="CWZ12" s="114"/>
      <c r="CXA12" s="114"/>
      <c r="CXB12" s="114"/>
      <c r="CXC12" s="114"/>
      <c r="CXD12" s="114"/>
      <c r="CXE12" s="114"/>
      <c r="CXF12" s="114"/>
      <c r="CXG12" s="114"/>
      <c r="CXH12" s="114"/>
      <c r="CXI12" s="114"/>
      <c r="CXJ12" s="114"/>
      <c r="CXK12" s="114"/>
      <c r="CXL12" s="114"/>
      <c r="CXM12" s="114"/>
      <c r="CXN12" s="114"/>
      <c r="CXO12" s="114"/>
      <c r="CXP12" s="114"/>
      <c r="CXQ12" s="114"/>
      <c r="CXR12" s="114"/>
      <c r="CXS12" s="114"/>
      <c r="CXT12" s="114"/>
      <c r="CXU12" s="114"/>
      <c r="CXV12" s="114"/>
      <c r="CXW12" s="114"/>
      <c r="CXX12" s="114"/>
      <c r="CXY12" s="114"/>
      <c r="CXZ12" s="114"/>
      <c r="CYA12" s="114"/>
      <c r="CYB12" s="114"/>
      <c r="CYC12" s="114"/>
      <c r="CYD12" s="114"/>
      <c r="CYE12" s="114"/>
      <c r="CYF12" s="114"/>
      <c r="CYG12" s="114"/>
      <c r="CYH12" s="114"/>
      <c r="CYI12" s="114"/>
      <c r="CYJ12" s="114"/>
      <c r="CYK12" s="114"/>
      <c r="CYL12" s="114"/>
      <c r="CYM12" s="114"/>
      <c r="CYN12" s="114"/>
      <c r="CYO12" s="114"/>
      <c r="CYP12" s="114"/>
      <c r="CYQ12" s="114"/>
      <c r="CYR12" s="114"/>
      <c r="CYS12" s="114"/>
      <c r="CYT12" s="114"/>
      <c r="CYU12" s="114"/>
      <c r="CYV12" s="114"/>
      <c r="CYW12" s="114"/>
      <c r="CYX12" s="114"/>
      <c r="CYY12" s="114"/>
      <c r="CYZ12" s="114"/>
      <c r="CZA12" s="114"/>
      <c r="CZB12" s="114"/>
      <c r="CZC12" s="114"/>
      <c r="CZD12" s="114"/>
      <c r="CZE12" s="114"/>
      <c r="CZF12" s="114"/>
      <c r="CZG12" s="114"/>
      <c r="CZH12" s="114"/>
      <c r="CZI12" s="114"/>
      <c r="CZJ12" s="114"/>
      <c r="CZK12" s="114"/>
      <c r="CZL12" s="114"/>
      <c r="CZM12" s="114"/>
      <c r="CZN12" s="114"/>
      <c r="CZO12" s="114"/>
      <c r="CZP12" s="114"/>
      <c r="CZQ12" s="114"/>
      <c r="CZR12" s="114"/>
      <c r="CZS12" s="114"/>
      <c r="CZT12" s="114"/>
      <c r="CZU12" s="114"/>
      <c r="CZV12" s="114"/>
      <c r="CZW12" s="114"/>
      <c r="CZX12" s="114"/>
      <c r="CZY12" s="114"/>
      <c r="CZZ12" s="114"/>
      <c r="DAA12" s="114"/>
      <c r="DAB12" s="114"/>
      <c r="DAC12" s="114"/>
      <c r="DAD12" s="114"/>
      <c r="DAE12" s="114"/>
      <c r="DAF12" s="114"/>
      <c r="DAG12" s="114"/>
      <c r="DAH12" s="114"/>
      <c r="DAI12" s="114"/>
      <c r="DAJ12" s="114"/>
      <c r="DAK12" s="114"/>
      <c r="DAL12" s="114"/>
      <c r="DAM12" s="114"/>
      <c r="DAN12" s="114"/>
      <c r="DAO12" s="114"/>
      <c r="DAP12" s="114"/>
      <c r="DAQ12" s="114"/>
      <c r="DAR12" s="114"/>
      <c r="DAS12" s="114"/>
      <c r="DAT12" s="114"/>
      <c r="DAU12" s="114"/>
      <c r="DAV12" s="114"/>
      <c r="DAW12" s="114"/>
      <c r="DAX12" s="114"/>
      <c r="DAY12" s="114"/>
      <c r="DAZ12" s="114"/>
      <c r="DBA12" s="114"/>
      <c r="DBB12" s="114"/>
      <c r="DBC12" s="114"/>
      <c r="DBD12" s="114"/>
      <c r="DBE12" s="114"/>
      <c r="DBF12" s="114"/>
      <c r="DBG12" s="114"/>
      <c r="DBH12" s="114"/>
      <c r="DBI12" s="114"/>
      <c r="DBJ12" s="114"/>
      <c r="DBK12" s="114"/>
      <c r="DBL12" s="114"/>
      <c r="DBM12" s="114"/>
      <c r="DBN12" s="114"/>
      <c r="DBO12" s="114"/>
      <c r="DBP12" s="114"/>
      <c r="DBQ12" s="114"/>
      <c r="DBR12" s="114"/>
      <c r="DBS12" s="114"/>
      <c r="DBT12" s="114"/>
      <c r="DBU12" s="114"/>
      <c r="DBV12" s="114"/>
      <c r="DBW12" s="114"/>
      <c r="DBX12" s="114"/>
      <c r="DBY12" s="114"/>
      <c r="DBZ12" s="114"/>
      <c r="DCA12" s="114"/>
      <c r="DCB12" s="114"/>
      <c r="DCC12" s="114"/>
      <c r="DCD12" s="114"/>
      <c r="DCE12" s="114"/>
      <c r="DCF12" s="114"/>
      <c r="DCG12" s="114"/>
      <c r="DCH12" s="114"/>
      <c r="DCI12" s="114"/>
      <c r="DCJ12" s="114"/>
      <c r="DCK12" s="114"/>
      <c r="DCL12" s="114"/>
      <c r="DCM12" s="114"/>
      <c r="DCN12" s="114"/>
      <c r="DCO12" s="114"/>
      <c r="DCP12" s="114"/>
      <c r="DCQ12" s="114"/>
      <c r="DCR12" s="114"/>
      <c r="DCS12" s="114"/>
      <c r="DCT12" s="114"/>
      <c r="DCU12" s="114"/>
      <c r="DCV12" s="114"/>
      <c r="DCW12" s="114"/>
      <c r="DCX12" s="114"/>
      <c r="DCY12" s="114"/>
      <c r="DCZ12" s="114"/>
      <c r="DDA12" s="114"/>
      <c r="DDB12" s="114"/>
      <c r="DDC12" s="114"/>
      <c r="DDD12" s="114"/>
      <c r="DDE12" s="114"/>
      <c r="DDF12" s="114"/>
      <c r="DDG12" s="114"/>
      <c r="DDH12" s="114"/>
      <c r="DDI12" s="114"/>
      <c r="DDJ12" s="114"/>
      <c r="DDK12" s="114"/>
      <c r="DDL12" s="114"/>
      <c r="DDM12" s="114"/>
      <c r="DDN12" s="114"/>
      <c r="DDO12" s="114"/>
      <c r="DDP12" s="114"/>
      <c r="DDQ12" s="114"/>
      <c r="DDR12" s="114"/>
      <c r="DDS12" s="114"/>
      <c r="DDT12" s="114"/>
      <c r="DDU12" s="114"/>
      <c r="DDV12" s="114"/>
      <c r="DDW12" s="114"/>
      <c r="DDX12" s="114"/>
      <c r="DDY12" s="114"/>
      <c r="DDZ12" s="114"/>
      <c r="DEA12" s="114"/>
      <c r="DEB12" s="114"/>
      <c r="DEC12" s="114"/>
      <c r="DED12" s="114"/>
      <c r="DEE12" s="114"/>
      <c r="DEF12" s="114"/>
      <c r="DEG12" s="114"/>
      <c r="DEH12" s="114"/>
      <c r="DEI12" s="114"/>
      <c r="DEJ12" s="114"/>
      <c r="DEK12" s="114"/>
      <c r="DEL12" s="114"/>
      <c r="DEM12" s="114"/>
      <c r="DEN12" s="114"/>
      <c r="DEO12" s="114"/>
      <c r="DEP12" s="114"/>
      <c r="DEQ12" s="114"/>
      <c r="DER12" s="114"/>
      <c r="DES12" s="114"/>
      <c r="DET12" s="114"/>
      <c r="DEU12" s="114"/>
      <c r="DEV12" s="114"/>
      <c r="DEW12" s="114"/>
      <c r="DEX12" s="114"/>
      <c r="DEY12" s="114"/>
      <c r="DEZ12" s="114"/>
      <c r="DFA12" s="114"/>
      <c r="DFB12" s="114"/>
      <c r="DFC12" s="114"/>
      <c r="DFD12" s="114"/>
      <c r="DFE12" s="114"/>
      <c r="DFF12" s="114"/>
      <c r="DFG12" s="114"/>
      <c r="DFH12" s="114"/>
      <c r="DFI12" s="114"/>
      <c r="DFJ12" s="114"/>
      <c r="DFK12" s="114"/>
      <c r="DFL12" s="114"/>
      <c r="DFM12" s="114"/>
      <c r="DFN12" s="114"/>
      <c r="DFO12" s="114"/>
      <c r="DFP12" s="114"/>
      <c r="DFQ12" s="114"/>
      <c r="DFR12" s="114"/>
      <c r="DFS12" s="114"/>
      <c r="DFT12" s="114"/>
      <c r="DFU12" s="114"/>
      <c r="DFV12" s="114"/>
      <c r="DFW12" s="114"/>
      <c r="DFX12" s="114"/>
      <c r="DFY12" s="114"/>
      <c r="DFZ12" s="114"/>
      <c r="DGA12" s="114"/>
      <c r="DGB12" s="114"/>
      <c r="DGC12" s="114"/>
      <c r="DGD12" s="114"/>
      <c r="DGE12" s="114"/>
      <c r="DGF12" s="114"/>
      <c r="DGG12" s="114"/>
      <c r="DGH12" s="114"/>
      <c r="DGI12" s="114"/>
      <c r="DGJ12" s="114"/>
      <c r="DGK12" s="114"/>
      <c r="DGL12" s="114"/>
      <c r="DGM12" s="114"/>
      <c r="DGN12" s="114"/>
      <c r="DGO12" s="114"/>
      <c r="DGP12" s="114"/>
      <c r="DGQ12" s="114"/>
      <c r="DGR12" s="114"/>
      <c r="DGS12" s="114"/>
      <c r="DGT12" s="114"/>
      <c r="DGU12" s="114"/>
      <c r="DGV12" s="114"/>
      <c r="DGW12" s="114"/>
      <c r="DGX12" s="114"/>
      <c r="DGY12" s="114"/>
      <c r="DGZ12" s="114"/>
      <c r="DHA12" s="114"/>
      <c r="DHB12" s="114"/>
      <c r="DHC12" s="114"/>
      <c r="DHD12" s="114"/>
      <c r="DHE12" s="114"/>
      <c r="DHF12" s="114"/>
      <c r="DHG12" s="114"/>
      <c r="DHH12" s="114"/>
      <c r="DHI12" s="114"/>
      <c r="DHJ12" s="114"/>
      <c r="DHK12" s="114"/>
      <c r="DHL12" s="114"/>
      <c r="DHM12" s="114"/>
      <c r="DHN12" s="114"/>
      <c r="DHO12" s="114"/>
      <c r="DHP12" s="114"/>
      <c r="DHQ12" s="114"/>
      <c r="DHR12" s="114"/>
      <c r="DHS12" s="114"/>
      <c r="DHT12" s="114"/>
      <c r="DHU12" s="114"/>
      <c r="DHV12" s="114"/>
      <c r="DHW12" s="114"/>
      <c r="DHX12" s="114"/>
      <c r="DHY12" s="114"/>
      <c r="DHZ12" s="114"/>
      <c r="DIA12" s="114"/>
      <c r="DIB12" s="114"/>
      <c r="DIC12" s="114"/>
      <c r="DID12" s="114"/>
      <c r="DIE12" s="114"/>
      <c r="DIF12" s="114"/>
      <c r="DIG12" s="114"/>
      <c r="DIH12" s="114"/>
      <c r="DII12" s="114"/>
      <c r="DIJ12" s="114"/>
      <c r="DIK12" s="114"/>
      <c r="DIL12" s="114"/>
      <c r="DIM12" s="114"/>
      <c r="DIN12" s="114"/>
      <c r="DIO12" s="114"/>
      <c r="DIP12" s="114"/>
      <c r="DIQ12" s="114"/>
      <c r="DIR12" s="114"/>
      <c r="DIS12" s="114"/>
      <c r="DIT12" s="114"/>
      <c r="DIU12" s="114"/>
      <c r="DIV12" s="114"/>
      <c r="DIW12" s="114"/>
      <c r="DIX12" s="114"/>
      <c r="DIY12" s="114"/>
      <c r="DIZ12" s="114"/>
      <c r="DJA12" s="114"/>
      <c r="DJB12" s="114"/>
      <c r="DJC12" s="114"/>
      <c r="DJD12" s="114"/>
      <c r="DJE12" s="114"/>
      <c r="DJF12" s="114"/>
      <c r="DJG12" s="114"/>
      <c r="DJH12" s="114"/>
      <c r="DJI12" s="114"/>
      <c r="DJJ12" s="114"/>
      <c r="DJK12" s="114"/>
      <c r="DJL12" s="114"/>
      <c r="DJM12" s="114"/>
      <c r="DJN12" s="114"/>
      <c r="DJO12" s="114"/>
      <c r="DJP12" s="114"/>
      <c r="DJQ12" s="114"/>
      <c r="DJR12" s="114"/>
      <c r="DJS12" s="114"/>
      <c r="DJT12" s="114"/>
      <c r="DJU12" s="114"/>
      <c r="DJV12" s="114"/>
      <c r="DJW12" s="114"/>
      <c r="DJX12" s="114"/>
      <c r="DJY12" s="114"/>
      <c r="DJZ12" s="114"/>
      <c r="DKA12" s="114"/>
      <c r="DKB12" s="114"/>
      <c r="DKC12" s="114"/>
      <c r="DKD12" s="114"/>
      <c r="DKE12" s="114"/>
      <c r="DKF12" s="114"/>
      <c r="DKG12" s="114"/>
      <c r="DKH12" s="114"/>
      <c r="DKI12" s="114"/>
      <c r="DKJ12" s="114"/>
      <c r="DKK12" s="114"/>
      <c r="DKL12" s="114"/>
      <c r="DKM12" s="114"/>
      <c r="DKN12" s="114"/>
      <c r="DKO12" s="114"/>
      <c r="DKP12" s="114"/>
      <c r="DKQ12" s="114"/>
      <c r="DKR12" s="114"/>
      <c r="DKS12" s="114"/>
      <c r="DKT12" s="114"/>
      <c r="DKU12" s="114"/>
      <c r="DKV12" s="114"/>
      <c r="DKW12" s="114"/>
      <c r="DKX12" s="114"/>
      <c r="DKY12" s="114"/>
      <c r="DKZ12" s="114"/>
      <c r="DLA12" s="114"/>
      <c r="DLB12" s="114"/>
      <c r="DLC12" s="114"/>
      <c r="DLD12" s="114"/>
      <c r="DLE12" s="114"/>
      <c r="DLF12" s="114"/>
      <c r="DLG12" s="114"/>
      <c r="DLH12" s="114"/>
      <c r="DLI12" s="114"/>
      <c r="DLJ12" s="114"/>
      <c r="DLK12" s="114"/>
      <c r="DLL12" s="114"/>
      <c r="DLM12" s="114"/>
      <c r="DLN12" s="114"/>
      <c r="DLO12" s="114"/>
      <c r="DLP12" s="114"/>
      <c r="DLQ12" s="114"/>
      <c r="DLR12" s="114"/>
      <c r="DLS12" s="114"/>
      <c r="DLT12" s="114"/>
      <c r="DLU12" s="114"/>
      <c r="DLV12" s="114"/>
      <c r="DLW12" s="114"/>
      <c r="DLX12" s="114"/>
      <c r="DLY12" s="114"/>
      <c r="DLZ12" s="114"/>
      <c r="DMA12" s="114"/>
      <c r="DMB12" s="114"/>
      <c r="DMC12" s="114"/>
      <c r="DMD12" s="114"/>
      <c r="DME12" s="114"/>
      <c r="DMF12" s="114"/>
      <c r="DMG12" s="114"/>
      <c r="DMH12" s="114"/>
      <c r="DMI12" s="114"/>
      <c r="DMJ12" s="114"/>
      <c r="DMK12" s="114"/>
      <c r="DML12" s="114"/>
      <c r="DMM12" s="114"/>
      <c r="DMN12" s="114"/>
      <c r="DMO12" s="114"/>
      <c r="DMP12" s="114"/>
      <c r="DMQ12" s="114"/>
      <c r="DMR12" s="114"/>
      <c r="DMS12" s="114"/>
      <c r="DMT12" s="114"/>
      <c r="DMU12" s="114"/>
      <c r="DMV12" s="114"/>
      <c r="DMW12" s="114"/>
      <c r="DMX12" s="114"/>
      <c r="DMY12" s="114"/>
      <c r="DMZ12" s="114"/>
      <c r="DNA12" s="114"/>
      <c r="DNB12" s="114"/>
      <c r="DNC12" s="114"/>
      <c r="DND12" s="114"/>
      <c r="DNE12" s="114"/>
      <c r="DNF12" s="114"/>
      <c r="DNG12" s="114"/>
      <c r="DNH12" s="114"/>
      <c r="DNI12" s="114"/>
      <c r="DNJ12" s="114"/>
      <c r="DNK12" s="114"/>
      <c r="DNL12" s="114"/>
      <c r="DNM12" s="114"/>
      <c r="DNN12" s="114"/>
      <c r="DNO12" s="114"/>
      <c r="DNP12" s="114"/>
      <c r="DNQ12" s="114"/>
      <c r="DNR12" s="114"/>
      <c r="DNS12" s="114"/>
      <c r="DNT12" s="114"/>
      <c r="DNU12" s="114"/>
      <c r="DNV12" s="114"/>
      <c r="DNW12" s="114"/>
      <c r="DNX12" s="114"/>
      <c r="DNY12" s="114"/>
      <c r="DNZ12" s="114"/>
      <c r="DOA12" s="114"/>
      <c r="DOB12" s="114"/>
      <c r="DOC12" s="114"/>
      <c r="DOD12" s="114"/>
      <c r="DOE12" s="114"/>
      <c r="DOF12" s="114"/>
      <c r="DOG12" s="114"/>
      <c r="DOH12" s="114"/>
      <c r="DOI12" s="114"/>
      <c r="DOJ12" s="114"/>
      <c r="DOK12" s="114"/>
      <c r="DOL12" s="114"/>
      <c r="DOM12" s="114"/>
      <c r="DON12" s="114"/>
      <c r="DOO12" s="114"/>
      <c r="DOP12" s="114"/>
      <c r="DOQ12" s="114"/>
      <c r="DOR12" s="114"/>
      <c r="DOS12" s="114"/>
      <c r="DOT12" s="114"/>
      <c r="DOU12" s="114"/>
      <c r="DOV12" s="114"/>
      <c r="DOW12" s="114"/>
      <c r="DOX12" s="114"/>
      <c r="DOY12" s="114"/>
      <c r="DOZ12" s="114"/>
      <c r="DPA12" s="114"/>
      <c r="DPB12" s="114"/>
      <c r="DPC12" s="114"/>
      <c r="DPD12" s="114"/>
      <c r="DPE12" s="114"/>
      <c r="DPF12" s="114"/>
      <c r="DPG12" s="114"/>
      <c r="DPH12" s="114"/>
      <c r="DPI12" s="114"/>
      <c r="DPJ12" s="114"/>
      <c r="DPK12" s="114"/>
      <c r="DPL12" s="114"/>
      <c r="DPM12" s="114"/>
      <c r="DPN12" s="114"/>
      <c r="DPO12" s="114"/>
      <c r="DPP12" s="114"/>
      <c r="DPQ12" s="114"/>
      <c r="DPR12" s="114"/>
      <c r="DPS12" s="114"/>
      <c r="DPT12" s="114"/>
      <c r="DPU12" s="114"/>
      <c r="DPV12" s="114"/>
      <c r="DPW12" s="114"/>
      <c r="DPX12" s="114"/>
      <c r="DPY12" s="114"/>
      <c r="DPZ12" s="114"/>
      <c r="DQA12" s="114"/>
      <c r="DQB12" s="114"/>
      <c r="DQC12" s="114"/>
      <c r="DQD12" s="114"/>
      <c r="DQE12" s="114"/>
      <c r="DQF12" s="114"/>
      <c r="DQG12" s="114"/>
      <c r="DQH12" s="114"/>
      <c r="DQI12" s="114"/>
      <c r="DQJ12" s="114"/>
      <c r="DQK12" s="114"/>
      <c r="DQL12" s="114"/>
      <c r="DQM12" s="114"/>
      <c r="DQN12" s="114"/>
      <c r="DQO12" s="114"/>
      <c r="DQP12" s="114"/>
      <c r="DQQ12" s="114"/>
      <c r="DQR12" s="114"/>
      <c r="DQS12" s="114"/>
      <c r="DQT12" s="114"/>
      <c r="DQU12" s="114"/>
      <c r="DQV12" s="114"/>
      <c r="DQW12" s="114"/>
      <c r="DQX12" s="114"/>
      <c r="DQY12" s="114"/>
      <c r="DQZ12" s="114"/>
      <c r="DRA12" s="114"/>
      <c r="DRB12" s="114"/>
      <c r="DRC12" s="114"/>
      <c r="DRD12" s="114"/>
      <c r="DRE12" s="114"/>
      <c r="DRF12" s="114"/>
      <c r="DRG12" s="114"/>
      <c r="DRH12" s="114"/>
      <c r="DRI12" s="114"/>
      <c r="DRJ12" s="114"/>
      <c r="DRK12" s="114"/>
      <c r="DRL12" s="114"/>
      <c r="DRM12" s="114"/>
      <c r="DRN12" s="114"/>
      <c r="DRO12" s="114"/>
      <c r="DRP12" s="114"/>
      <c r="DRQ12" s="114"/>
      <c r="DRR12" s="114"/>
      <c r="DRS12" s="114"/>
      <c r="DRT12" s="114"/>
      <c r="DRU12" s="114"/>
      <c r="DRV12" s="114"/>
      <c r="DRW12" s="114"/>
      <c r="DRX12" s="114"/>
      <c r="DRY12" s="114"/>
      <c r="DRZ12" s="114"/>
      <c r="DSA12" s="114"/>
      <c r="DSB12" s="114"/>
      <c r="DSC12" s="114"/>
      <c r="DSD12" s="114"/>
      <c r="DSE12" s="114"/>
      <c r="DSF12" s="114"/>
      <c r="DSG12" s="114"/>
      <c r="DSH12" s="114"/>
      <c r="DSI12" s="114"/>
      <c r="DSJ12" s="114"/>
      <c r="DSK12" s="114"/>
      <c r="DSL12" s="114"/>
      <c r="DSM12" s="114"/>
      <c r="DSN12" s="114"/>
      <c r="DSO12" s="114"/>
      <c r="DSP12" s="114"/>
      <c r="DSQ12" s="114"/>
      <c r="DSR12" s="114"/>
      <c r="DSS12" s="114"/>
      <c r="DST12" s="114"/>
      <c r="DSU12" s="114"/>
      <c r="DSV12" s="114"/>
      <c r="DSW12" s="114"/>
      <c r="DSX12" s="114"/>
      <c r="DSY12" s="114"/>
      <c r="DSZ12" s="114"/>
      <c r="DTA12" s="114"/>
      <c r="DTB12" s="114"/>
      <c r="DTC12" s="114"/>
      <c r="DTD12" s="114"/>
      <c r="DTE12" s="114"/>
      <c r="DTF12" s="114"/>
      <c r="DTG12" s="114"/>
      <c r="DTH12" s="114"/>
      <c r="DTI12" s="114"/>
      <c r="DTJ12" s="114"/>
      <c r="DTK12" s="114"/>
      <c r="DTL12" s="114"/>
      <c r="DTM12" s="114"/>
      <c r="DTN12" s="114"/>
      <c r="DTO12" s="114"/>
      <c r="DTP12" s="114"/>
      <c r="DTQ12" s="114"/>
      <c r="DTR12" s="114"/>
      <c r="DTS12" s="114"/>
      <c r="DTT12" s="114"/>
      <c r="DTU12" s="114"/>
      <c r="DTV12" s="114"/>
      <c r="DTW12" s="114"/>
      <c r="DTX12" s="114"/>
      <c r="DTY12" s="114"/>
      <c r="DTZ12" s="114"/>
      <c r="DUA12" s="114"/>
      <c r="DUB12" s="114"/>
      <c r="DUC12" s="114"/>
      <c r="DUD12" s="114"/>
      <c r="DUE12" s="114"/>
      <c r="DUF12" s="114"/>
      <c r="DUG12" s="114"/>
      <c r="DUH12" s="114"/>
      <c r="DUI12" s="114"/>
      <c r="DUJ12" s="114"/>
      <c r="DUK12" s="114"/>
      <c r="DUL12" s="114"/>
      <c r="DUM12" s="114"/>
      <c r="DUN12" s="114"/>
      <c r="DUO12" s="114"/>
      <c r="DUP12" s="114"/>
      <c r="DUQ12" s="114"/>
      <c r="DUR12" s="114"/>
      <c r="DUS12" s="114"/>
      <c r="DUT12" s="114"/>
      <c r="DUU12" s="114"/>
      <c r="DUV12" s="114"/>
      <c r="DUW12" s="114"/>
      <c r="DUX12" s="114"/>
      <c r="DUY12" s="114"/>
      <c r="DUZ12" s="114"/>
      <c r="DVA12" s="114"/>
      <c r="DVB12" s="114"/>
      <c r="DVC12" s="114"/>
      <c r="DVD12" s="114"/>
      <c r="DVE12" s="114"/>
      <c r="DVF12" s="114"/>
      <c r="DVG12" s="114"/>
      <c r="DVH12" s="114"/>
      <c r="DVI12" s="114"/>
      <c r="DVJ12" s="114"/>
      <c r="DVK12" s="114"/>
      <c r="DVL12" s="114"/>
      <c r="DVM12" s="114"/>
      <c r="DVN12" s="114"/>
      <c r="DVO12" s="114"/>
      <c r="DVP12" s="114"/>
      <c r="DVQ12" s="114"/>
      <c r="DVR12" s="114"/>
      <c r="DVS12" s="114"/>
      <c r="DVT12" s="114"/>
      <c r="DVU12" s="114"/>
      <c r="DVV12" s="114"/>
      <c r="DVW12" s="114"/>
      <c r="DVX12" s="114"/>
      <c r="DVY12" s="114"/>
      <c r="DVZ12" s="114"/>
      <c r="DWA12" s="114"/>
      <c r="DWB12" s="114"/>
      <c r="DWC12" s="114"/>
      <c r="DWD12" s="114"/>
      <c r="DWE12" s="114"/>
      <c r="DWF12" s="114"/>
      <c r="DWG12" s="114"/>
      <c r="DWH12" s="114"/>
      <c r="DWI12" s="114"/>
      <c r="DWJ12" s="114"/>
      <c r="DWK12" s="114"/>
      <c r="DWL12" s="114"/>
      <c r="DWM12" s="114"/>
      <c r="DWN12" s="114"/>
      <c r="DWO12" s="114"/>
      <c r="DWP12" s="114"/>
      <c r="DWQ12" s="114"/>
      <c r="DWR12" s="114"/>
      <c r="DWS12" s="114"/>
      <c r="DWT12" s="114"/>
      <c r="DWU12" s="114"/>
      <c r="DWV12" s="114"/>
      <c r="DWW12" s="114"/>
      <c r="DWX12" s="114"/>
      <c r="DWY12" s="114"/>
      <c r="DWZ12" s="114"/>
      <c r="DXA12" s="114"/>
      <c r="DXB12" s="114"/>
      <c r="DXC12" s="114"/>
      <c r="DXD12" s="114"/>
      <c r="DXE12" s="114"/>
      <c r="DXF12" s="114"/>
      <c r="DXG12" s="114"/>
      <c r="DXH12" s="114"/>
      <c r="DXI12" s="114"/>
      <c r="DXJ12" s="114"/>
      <c r="DXK12" s="114"/>
      <c r="DXL12" s="114"/>
      <c r="DXM12" s="114"/>
      <c r="DXN12" s="114"/>
      <c r="DXO12" s="114"/>
      <c r="DXP12" s="114"/>
      <c r="DXQ12" s="114"/>
      <c r="DXR12" s="114"/>
      <c r="DXS12" s="114"/>
      <c r="DXT12" s="114"/>
      <c r="DXU12" s="114"/>
      <c r="DXV12" s="114"/>
      <c r="DXW12" s="114"/>
      <c r="DXX12" s="114"/>
      <c r="DXY12" s="114"/>
      <c r="DXZ12" s="114"/>
      <c r="DYA12" s="114"/>
      <c r="DYB12" s="114"/>
      <c r="DYC12" s="114"/>
      <c r="DYD12" s="114"/>
      <c r="DYE12" s="114"/>
      <c r="DYF12" s="114"/>
      <c r="DYG12" s="114"/>
      <c r="DYH12" s="114"/>
      <c r="DYI12" s="114"/>
      <c r="DYJ12" s="114"/>
      <c r="DYK12" s="114"/>
      <c r="DYL12" s="114"/>
      <c r="DYM12" s="114"/>
      <c r="DYN12" s="114"/>
      <c r="DYO12" s="114"/>
      <c r="DYP12" s="114"/>
      <c r="DYQ12" s="114"/>
      <c r="DYR12" s="114"/>
      <c r="DYS12" s="114"/>
      <c r="DYT12" s="114"/>
      <c r="DYU12" s="114"/>
      <c r="DYV12" s="114"/>
      <c r="DYW12" s="114"/>
      <c r="DYX12" s="114"/>
      <c r="DYY12" s="114"/>
      <c r="DYZ12" s="114"/>
      <c r="DZA12" s="114"/>
      <c r="DZB12" s="114"/>
      <c r="DZC12" s="114"/>
      <c r="DZD12" s="114"/>
      <c r="DZE12" s="114"/>
      <c r="DZF12" s="114"/>
      <c r="DZG12" s="114"/>
      <c r="DZH12" s="114"/>
      <c r="DZI12" s="114"/>
      <c r="DZJ12" s="114"/>
      <c r="DZK12" s="114"/>
      <c r="DZL12" s="114"/>
      <c r="DZM12" s="114"/>
      <c r="DZN12" s="114"/>
      <c r="DZO12" s="114"/>
      <c r="DZP12" s="114"/>
      <c r="DZQ12" s="114"/>
      <c r="DZR12" s="114"/>
      <c r="DZS12" s="114"/>
      <c r="DZT12" s="114"/>
      <c r="DZU12" s="114"/>
      <c r="DZV12" s="114"/>
      <c r="DZW12" s="114"/>
      <c r="DZX12" s="114"/>
      <c r="DZY12" s="114"/>
      <c r="DZZ12" s="114"/>
      <c r="EAA12" s="114"/>
      <c r="EAB12" s="114"/>
      <c r="EAC12" s="114"/>
      <c r="EAD12" s="114"/>
      <c r="EAE12" s="114"/>
      <c r="EAF12" s="114"/>
      <c r="EAG12" s="114"/>
      <c r="EAH12" s="114"/>
      <c r="EAI12" s="114"/>
      <c r="EAJ12" s="114"/>
      <c r="EAK12" s="114"/>
      <c r="EAL12" s="114"/>
      <c r="EAM12" s="114"/>
      <c r="EAN12" s="114"/>
      <c r="EAO12" s="114"/>
      <c r="EAP12" s="114"/>
      <c r="EAQ12" s="114"/>
      <c r="EAR12" s="114"/>
      <c r="EAS12" s="114"/>
      <c r="EAT12" s="114"/>
      <c r="EAU12" s="114"/>
      <c r="EAV12" s="114"/>
      <c r="EAW12" s="114"/>
      <c r="EAX12" s="114"/>
      <c r="EAY12" s="114"/>
      <c r="EAZ12" s="114"/>
      <c r="EBA12" s="114"/>
      <c r="EBB12" s="114"/>
      <c r="EBC12" s="114"/>
      <c r="EBD12" s="114"/>
      <c r="EBE12" s="114"/>
      <c r="EBF12" s="114"/>
      <c r="EBG12" s="114"/>
      <c r="EBH12" s="114"/>
      <c r="EBI12" s="114"/>
      <c r="EBJ12" s="114"/>
      <c r="EBK12" s="114"/>
      <c r="EBL12" s="114"/>
      <c r="EBM12" s="114"/>
      <c r="EBN12" s="114"/>
      <c r="EBO12" s="114"/>
      <c r="EBP12" s="114"/>
      <c r="EBQ12" s="114"/>
      <c r="EBR12" s="114"/>
      <c r="EBS12" s="114"/>
      <c r="EBT12" s="114"/>
      <c r="EBU12" s="114"/>
      <c r="EBV12" s="114"/>
      <c r="EBW12" s="114"/>
      <c r="EBX12" s="114"/>
      <c r="EBY12" s="114"/>
      <c r="EBZ12" s="114"/>
      <c r="ECA12" s="114"/>
      <c r="ECB12" s="114"/>
      <c r="ECC12" s="114"/>
      <c r="ECD12" s="114"/>
      <c r="ECE12" s="114"/>
      <c r="ECF12" s="114"/>
      <c r="ECG12" s="114"/>
      <c r="ECH12" s="114"/>
      <c r="ECI12" s="114"/>
      <c r="ECJ12" s="114"/>
      <c r="ECK12" s="114"/>
      <c r="ECL12" s="114"/>
      <c r="ECM12" s="114"/>
      <c r="ECN12" s="114"/>
      <c r="ECO12" s="114"/>
      <c r="ECP12" s="114"/>
      <c r="ECQ12" s="114"/>
      <c r="ECR12" s="114"/>
      <c r="ECS12" s="114"/>
      <c r="ECT12" s="114"/>
      <c r="ECU12" s="114"/>
      <c r="ECV12" s="114"/>
      <c r="ECW12" s="114"/>
      <c r="ECX12" s="114"/>
      <c r="ECY12" s="114"/>
      <c r="ECZ12" s="114"/>
      <c r="EDA12" s="114"/>
      <c r="EDB12" s="114"/>
      <c r="EDC12" s="114"/>
      <c r="EDD12" s="114"/>
      <c r="EDE12" s="114"/>
      <c r="EDF12" s="114"/>
      <c r="EDG12" s="114"/>
      <c r="EDH12" s="114"/>
      <c r="EDI12" s="114"/>
      <c r="EDJ12" s="114"/>
      <c r="EDK12" s="114"/>
      <c r="EDL12" s="114"/>
      <c r="EDM12" s="114"/>
      <c r="EDN12" s="114"/>
      <c r="EDO12" s="114"/>
      <c r="EDP12" s="114"/>
      <c r="EDQ12" s="114"/>
      <c r="EDR12" s="114"/>
      <c r="EDS12" s="114"/>
      <c r="EDT12" s="114"/>
      <c r="EDU12" s="114"/>
      <c r="EDV12" s="114"/>
      <c r="EDW12" s="114"/>
      <c r="EDX12" s="114"/>
      <c r="EDY12" s="114"/>
      <c r="EDZ12" s="114"/>
      <c r="EEA12" s="114"/>
      <c r="EEB12" s="114"/>
      <c r="EEC12" s="114"/>
      <c r="EED12" s="114"/>
      <c r="EEE12" s="114"/>
      <c r="EEF12" s="114"/>
      <c r="EEG12" s="114"/>
      <c r="EEH12" s="114"/>
      <c r="EEI12" s="114"/>
      <c r="EEJ12" s="114"/>
      <c r="EEK12" s="114"/>
      <c r="EEL12" s="114"/>
      <c r="EEM12" s="114"/>
      <c r="EEN12" s="114"/>
      <c r="EEO12" s="114"/>
      <c r="EEP12" s="114"/>
      <c r="EEQ12" s="114"/>
      <c r="EER12" s="114"/>
      <c r="EES12" s="114"/>
      <c r="EET12" s="114"/>
      <c r="EEU12" s="114"/>
      <c r="EEV12" s="114"/>
      <c r="EEW12" s="114"/>
      <c r="EEX12" s="114"/>
      <c r="EEY12" s="114"/>
      <c r="EEZ12" s="114"/>
      <c r="EFA12" s="114"/>
      <c r="EFB12" s="114"/>
      <c r="EFC12" s="114"/>
      <c r="EFD12" s="114"/>
      <c r="EFE12" s="114"/>
      <c r="EFF12" s="114"/>
      <c r="EFG12" s="114"/>
      <c r="EFH12" s="114"/>
      <c r="EFI12" s="114"/>
      <c r="EFJ12" s="114"/>
      <c r="EFK12" s="114"/>
      <c r="EFL12" s="114"/>
      <c r="EFM12" s="114"/>
      <c r="EFN12" s="114"/>
      <c r="EFO12" s="114"/>
      <c r="EFP12" s="114"/>
      <c r="EFQ12" s="114"/>
      <c r="EFR12" s="114"/>
      <c r="EFS12" s="114"/>
      <c r="EFT12" s="114"/>
      <c r="EFU12" s="114"/>
      <c r="EFV12" s="114"/>
      <c r="EFW12" s="114"/>
      <c r="EFX12" s="114"/>
      <c r="EFY12" s="114"/>
      <c r="EFZ12" s="114"/>
      <c r="EGA12" s="114"/>
      <c r="EGB12" s="114"/>
      <c r="EGC12" s="114"/>
      <c r="EGD12" s="114"/>
      <c r="EGE12" s="114"/>
      <c r="EGF12" s="114"/>
      <c r="EGG12" s="114"/>
      <c r="EGH12" s="114"/>
      <c r="EGI12" s="114"/>
      <c r="EGJ12" s="114"/>
      <c r="EGK12" s="114"/>
      <c r="EGL12" s="114"/>
      <c r="EGM12" s="114"/>
      <c r="EGN12" s="114"/>
      <c r="EGO12" s="114"/>
      <c r="EGP12" s="114"/>
      <c r="EGQ12" s="114"/>
      <c r="EGR12" s="114"/>
      <c r="EGS12" s="114"/>
      <c r="EGT12" s="114"/>
      <c r="EGU12" s="114"/>
      <c r="EGV12" s="114"/>
      <c r="EGW12" s="114"/>
      <c r="EGX12" s="114"/>
      <c r="EGY12" s="114"/>
      <c r="EGZ12" s="114"/>
      <c r="EHA12" s="114"/>
      <c r="EHB12" s="114"/>
      <c r="EHC12" s="114"/>
      <c r="EHD12" s="114"/>
      <c r="EHE12" s="114"/>
      <c r="EHF12" s="114"/>
      <c r="EHG12" s="114"/>
      <c r="EHH12" s="114"/>
      <c r="EHI12" s="114"/>
      <c r="EHJ12" s="114"/>
      <c r="EHK12" s="114"/>
      <c r="EHL12" s="114"/>
      <c r="EHM12" s="114"/>
      <c r="EHN12" s="114"/>
      <c r="EHO12" s="114"/>
      <c r="EHP12" s="114"/>
      <c r="EHQ12" s="114"/>
      <c r="EHR12" s="114"/>
      <c r="EHS12" s="114"/>
      <c r="EHT12" s="114"/>
      <c r="EHU12" s="114"/>
      <c r="EHV12" s="114"/>
      <c r="EHW12" s="114"/>
      <c r="EHX12" s="114"/>
      <c r="EHY12" s="114"/>
      <c r="EHZ12" s="114"/>
      <c r="EIA12" s="114"/>
      <c r="EIB12" s="114"/>
      <c r="EIC12" s="114"/>
      <c r="EID12" s="114"/>
      <c r="EIE12" s="114"/>
      <c r="EIF12" s="114"/>
      <c r="EIG12" s="114"/>
      <c r="EIH12" s="114"/>
      <c r="EII12" s="114"/>
      <c r="EIJ12" s="114"/>
      <c r="EIK12" s="114"/>
      <c r="EIL12" s="114"/>
      <c r="EIM12" s="114"/>
      <c r="EIN12" s="114"/>
      <c r="EIO12" s="114"/>
      <c r="EIP12" s="114"/>
      <c r="EIQ12" s="114"/>
      <c r="EIR12" s="114"/>
      <c r="EIS12" s="114"/>
      <c r="EIT12" s="114"/>
      <c r="EIU12" s="114"/>
      <c r="EIV12" s="114"/>
      <c r="EIW12" s="114"/>
      <c r="EIX12" s="114"/>
      <c r="EIY12" s="114"/>
      <c r="EIZ12" s="114"/>
      <c r="EJA12" s="114"/>
      <c r="EJB12" s="114"/>
      <c r="EJC12" s="114"/>
      <c r="EJD12" s="114"/>
      <c r="EJE12" s="114"/>
      <c r="EJF12" s="114"/>
      <c r="EJG12" s="114"/>
      <c r="EJH12" s="114"/>
      <c r="EJI12" s="114"/>
      <c r="EJJ12" s="114"/>
      <c r="EJK12" s="114"/>
      <c r="EJL12" s="114"/>
      <c r="EJM12" s="114"/>
      <c r="EJN12" s="114"/>
      <c r="EJO12" s="114"/>
      <c r="EJP12" s="114"/>
      <c r="EJQ12" s="114"/>
      <c r="EJR12" s="114"/>
      <c r="EJS12" s="114"/>
      <c r="EJT12" s="114"/>
      <c r="EJU12" s="114"/>
      <c r="EJV12" s="114"/>
      <c r="EJW12" s="114"/>
      <c r="EJX12" s="114"/>
      <c r="EJY12" s="114"/>
      <c r="EJZ12" s="114"/>
      <c r="EKA12" s="114"/>
      <c r="EKB12" s="114"/>
      <c r="EKC12" s="114"/>
      <c r="EKD12" s="114"/>
      <c r="EKE12" s="114"/>
      <c r="EKF12" s="114"/>
      <c r="EKG12" s="114"/>
      <c r="EKH12" s="114"/>
      <c r="EKI12" s="114"/>
      <c r="EKJ12" s="114"/>
      <c r="EKK12" s="114"/>
      <c r="EKL12" s="114"/>
      <c r="EKM12" s="114"/>
      <c r="EKN12" s="114"/>
      <c r="EKO12" s="114"/>
      <c r="EKP12" s="114"/>
      <c r="EKQ12" s="114"/>
      <c r="EKR12" s="114"/>
      <c r="EKS12" s="114"/>
      <c r="EKT12" s="114"/>
      <c r="EKU12" s="114"/>
      <c r="EKV12" s="114"/>
      <c r="EKW12" s="114"/>
      <c r="EKX12" s="114"/>
      <c r="EKY12" s="114"/>
      <c r="EKZ12" s="114"/>
      <c r="ELA12" s="114"/>
      <c r="ELB12" s="114"/>
      <c r="ELC12" s="114"/>
      <c r="ELD12" s="114"/>
      <c r="ELE12" s="114"/>
      <c r="ELF12" s="114"/>
      <c r="ELG12" s="114"/>
      <c r="ELH12" s="114"/>
      <c r="ELI12" s="114"/>
      <c r="ELJ12" s="114"/>
      <c r="ELK12" s="114"/>
      <c r="ELL12" s="114"/>
      <c r="ELM12" s="114"/>
      <c r="ELN12" s="114"/>
      <c r="ELO12" s="114"/>
      <c r="ELP12" s="114"/>
      <c r="ELQ12" s="114"/>
      <c r="ELR12" s="114"/>
      <c r="ELS12" s="114"/>
      <c r="ELT12" s="114"/>
      <c r="ELU12" s="114"/>
      <c r="ELV12" s="114"/>
      <c r="ELW12" s="114"/>
      <c r="ELX12" s="114"/>
      <c r="ELY12" s="114"/>
      <c r="ELZ12" s="114"/>
      <c r="EMA12" s="114"/>
      <c r="EMB12" s="114"/>
      <c r="EMC12" s="114"/>
      <c r="EMD12" s="114"/>
      <c r="EME12" s="114"/>
      <c r="EMF12" s="114"/>
      <c r="EMG12" s="114"/>
      <c r="EMH12" s="114"/>
      <c r="EMI12" s="114"/>
      <c r="EMJ12" s="114"/>
      <c r="EMK12" s="114"/>
      <c r="EML12" s="114"/>
      <c r="EMM12" s="114"/>
      <c r="EMN12" s="114"/>
      <c r="EMO12" s="114"/>
      <c r="EMP12" s="114"/>
      <c r="EMQ12" s="114"/>
      <c r="EMR12" s="114"/>
      <c r="EMS12" s="114"/>
      <c r="EMT12" s="114"/>
      <c r="EMU12" s="114"/>
      <c r="EMV12" s="114"/>
      <c r="EMW12" s="114"/>
      <c r="EMX12" s="114"/>
      <c r="EMY12" s="114"/>
      <c r="EMZ12" s="114"/>
      <c r="ENA12" s="114"/>
      <c r="ENB12" s="114"/>
      <c r="ENC12" s="114"/>
      <c r="END12" s="114"/>
      <c r="ENE12" s="114"/>
      <c r="ENF12" s="114"/>
      <c r="ENG12" s="114"/>
      <c r="ENH12" s="114"/>
      <c r="ENI12" s="114"/>
      <c r="ENJ12" s="114"/>
      <c r="ENK12" s="114"/>
      <c r="ENL12" s="114"/>
      <c r="ENM12" s="114"/>
      <c r="ENN12" s="114"/>
      <c r="ENO12" s="114"/>
      <c r="ENP12" s="114"/>
      <c r="ENQ12" s="114"/>
      <c r="ENR12" s="114"/>
      <c r="ENS12" s="114"/>
      <c r="ENT12" s="114"/>
      <c r="ENU12" s="114"/>
      <c r="ENV12" s="114"/>
      <c r="ENW12" s="114"/>
      <c r="ENX12" s="114"/>
      <c r="ENY12" s="114"/>
      <c r="ENZ12" s="114"/>
      <c r="EOA12" s="114"/>
      <c r="EOB12" s="114"/>
      <c r="EOC12" s="114"/>
      <c r="EOD12" s="114"/>
      <c r="EOE12" s="114"/>
      <c r="EOF12" s="114"/>
      <c r="EOG12" s="114"/>
      <c r="EOH12" s="114"/>
      <c r="EOI12" s="114"/>
      <c r="EOJ12" s="114"/>
      <c r="EOK12" s="114"/>
      <c r="EOL12" s="114"/>
      <c r="EOM12" s="114"/>
      <c r="EON12" s="114"/>
      <c r="EOO12" s="114"/>
      <c r="EOP12" s="114"/>
      <c r="EOQ12" s="114"/>
      <c r="EOR12" s="114"/>
      <c r="EOS12" s="114"/>
      <c r="EOT12" s="114"/>
      <c r="EOU12" s="114"/>
      <c r="EOV12" s="114"/>
      <c r="EOW12" s="114"/>
      <c r="EOX12" s="114"/>
      <c r="EOY12" s="114"/>
      <c r="EOZ12" s="114"/>
      <c r="EPA12" s="114"/>
      <c r="EPB12" s="114"/>
      <c r="EPC12" s="114"/>
      <c r="EPD12" s="114"/>
      <c r="EPE12" s="114"/>
      <c r="EPF12" s="114"/>
      <c r="EPG12" s="114"/>
      <c r="EPH12" s="114"/>
      <c r="EPI12" s="114"/>
      <c r="EPJ12" s="114"/>
      <c r="EPK12" s="114"/>
      <c r="EPL12" s="114"/>
      <c r="EPM12" s="114"/>
      <c r="EPN12" s="114"/>
      <c r="EPO12" s="114"/>
      <c r="EPP12" s="114"/>
      <c r="EPQ12" s="114"/>
      <c r="EPR12" s="114"/>
      <c r="EPS12" s="114"/>
      <c r="EPT12" s="114"/>
      <c r="EPU12" s="114"/>
      <c r="EPV12" s="114"/>
      <c r="EPW12" s="114"/>
      <c r="EPX12" s="114"/>
      <c r="EPY12" s="114"/>
      <c r="EPZ12" s="114"/>
      <c r="EQA12" s="114"/>
      <c r="EQB12" s="114"/>
      <c r="EQC12" s="114"/>
      <c r="EQD12" s="114"/>
      <c r="EQE12" s="114"/>
      <c r="EQF12" s="114"/>
      <c r="EQG12" s="114"/>
      <c r="EQH12" s="114"/>
      <c r="EQI12" s="114"/>
      <c r="EQJ12" s="114"/>
      <c r="EQK12" s="114"/>
      <c r="EQL12" s="114"/>
      <c r="EQM12" s="114"/>
      <c r="EQN12" s="114"/>
      <c r="EQO12" s="114"/>
      <c r="EQP12" s="114"/>
      <c r="EQQ12" s="114"/>
      <c r="EQR12" s="114"/>
      <c r="EQS12" s="114"/>
      <c r="EQT12" s="114"/>
      <c r="EQU12" s="114"/>
      <c r="EQV12" s="114"/>
      <c r="EQW12" s="114"/>
      <c r="EQX12" s="114"/>
      <c r="EQY12" s="114"/>
      <c r="EQZ12" s="114"/>
      <c r="ERA12" s="114"/>
      <c r="ERB12" s="114"/>
      <c r="ERC12" s="114"/>
      <c r="ERD12" s="114"/>
      <c r="ERE12" s="114"/>
      <c r="ERF12" s="114"/>
      <c r="ERG12" s="114"/>
      <c r="ERH12" s="114"/>
      <c r="ERI12" s="114"/>
      <c r="ERJ12" s="114"/>
      <c r="ERK12" s="114"/>
      <c r="ERL12" s="114"/>
      <c r="ERM12" s="114"/>
      <c r="ERN12" s="114"/>
      <c r="ERO12" s="114"/>
      <c r="ERP12" s="114"/>
      <c r="ERQ12" s="114"/>
      <c r="ERR12" s="114"/>
      <c r="ERS12" s="114"/>
      <c r="ERT12" s="114"/>
      <c r="ERU12" s="114"/>
      <c r="ERV12" s="114"/>
      <c r="ERW12" s="114"/>
      <c r="ERX12" s="114"/>
      <c r="ERY12" s="114"/>
      <c r="ERZ12" s="114"/>
      <c r="ESA12" s="114"/>
      <c r="ESB12" s="114"/>
      <c r="ESC12" s="114"/>
      <c r="ESD12" s="114"/>
      <c r="ESE12" s="114"/>
      <c r="ESF12" s="114"/>
      <c r="ESG12" s="114"/>
      <c r="ESH12" s="114"/>
      <c r="ESI12" s="114"/>
      <c r="ESJ12" s="114"/>
      <c r="ESK12" s="114"/>
      <c r="ESL12" s="114"/>
      <c r="ESM12" s="114"/>
      <c r="ESN12" s="114"/>
      <c r="ESO12" s="114"/>
      <c r="ESP12" s="114"/>
      <c r="ESQ12" s="114"/>
      <c r="ESR12" s="114"/>
      <c r="ESS12" s="114"/>
      <c r="EST12" s="114"/>
      <c r="ESU12" s="114"/>
      <c r="ESV12" s="114"/>
      <c r="ESW12" s="114"/>
      <c r="ESX12" s="114"/>
      <c r="ESY12" s="114"/>
      <c r="ESZ12" s="114"/>
      <c r="ETA12" s="114"/>
      <c r="ETB12" s="114"/>
      <c r="ETC12" s="114"/>
      <c r="ETD12" s="114"/>
      <c r="ETE12" s="114"/>
      <c r="ETF12" s="114"/>
      <c r="ETG12" s="114"/>
      <c r="ETH12" s="114"/>
      <c r="ETI12" s="114"/>
      <c r="ETJ12" s="114"/>
      <c r="ETK12" s="114"/>
      <c r="ETL12" s="114"/>
      <c r="ETM12" s="114"/>
      <c r="ETN12" s="114"/>
      <c r="ETO12" s="114"/>
      <c r="ETP12" s="114"/>
      <c r="ETQ12" s="114"/>
      <c r="ETR12" s="114"/>
      <c r="ETS12" s="114"/>
      <c r="ETT12" s="114"/>
      <c r="ETU12" s="114"/>
      <c r="ETV12" s="114"/>
      <c r="ETW12" s="114"/>
      <c r="ETX12" s="114"/>
      <c r="ETY12" s="114"/>
      <c r="ETZ12" s="114"/>
      <c r="EUA12" s="114"/>
      <c r="EUB12" s="114"/>
      <c r="EUC12" s="114"/>
      <c r="EUD12" s="114"/>
      <c r="EUE12" s="114"/>
      <c r="EUF12" s="114"/>
      <c r="EUG12" s="114"/>
      <c r="EUH12" s="114"/>
      <c r="EUI12" s="114"/>
      <c r="EUJ12" s="114"/>
      <c r="EUK12" s="114"/>
      <c r="EUL12" s="114"/>
      <c r="EUM12" s="114"/>
      <c r="EUN12" s="114"/>
      <c r="EUO12" s="114"/>
      <c r="EUP12" s="114"/>
      <c r="EUQ12" s="114"/>
      <c r="EUR12" s="114"/>
      <c r="EUS12" s="114"/>
      <c r="EUT12" s="114"/>
      <c r="EUU12" s="114"/>
      <c r="EUV12" s="114"/>
      <c r="EUW12" s="114"/>
      <c r="EUX12" s="114"/>
      <c r="EUY12" s="114"/>
      <c r="EUZ12" s="114"/>
      <c r="EVA12" s="114"/>
      <c r="EVB12" s="114"/>
      <c r="EVC12" s="114"/>
      <c r="EVD12" s="114"/>
      <c r="EVE12" s="114"/>
      <c r="EVF12" s="114"/>
      <c r="EVG12" s="114"/>
      <c r="EVH12" s="114"/>
      <c r="EVI12" s="114"/>
      <c r="EVJ12" s="114"/>
      <c r="EVK12" s="114"/>
      <c r="EVL12" s="114"/>
      <c r="EVM12" s="114"/>
      <c r="EVN12" s="114"/>
      <c r="EVO12" s="114"/>
      <c r="EVP12" s="114"/>
      <c r="EVQ12" s="114"/>
      <c r="EVR12" s="114"/>
      <c r="EVS12" s="114"/>
      <c r="EVT12" s="114"/>
      <c r="EVU12" s="114"/>
      <c r="EVV12" s="114"/>
      <c r="EVW12" s="114"/>
      <c r="EVX12" s="114"/>
      <c r="EVY12" s="114"/>
      <c r="EVZ12" s="114"/>
      <c r="EWA12" s="114"/>
      <c r="EWB12" s="114"/>
      <c r="EWC12" s="114"/>
      <c r="EWD12" s="114"/>
      <c r="EWE12" s="114"/>
      <c r="EWF12" s="114"/>
      <c r="EWG12" s="114"/>
      <c r="EWH12" s="114"/>
      <c r="EWI12" s="114"/>
      <c r="EWJ12" s="114"/>
      <c r="EWK12" s="114"/>
      <c r="EWL12" s="114"/>
      <c r="EWM12" s="114"/>
      <c r="EWN12" s="114"/>
      <c r="EWO12" s="114"/>
      <c r="EWP12" s="114"/>
      <c r="EWQ12" s="114"/>
      <c r="EWR12" s="114"/>
      <c r="EWS12" s="114"/>
      <c r="EWT12" s="114"/>
      <c r="EWU12" s="114"/>
      <c r="EWV12" s="114"/>
      <c r="EWW12" s="114"/>
      <c r="EWX12" s="114"/>
      <c r="EWY12" s="114"/>
      <c r="EWZ12" s="114"/>
      <c r="EXA12" s="114"/>
      <c r="EXB12" s="114"/>
      <c r="EXC12" s="114"/>
      <c r="EXD12" s="114"/>
      <c r="EXE12" s="114"/>
      <c r="EXF12" s="114"/>
      <c r="EXG12" s="114"/>
      <c r="EXH12" s="114"/>
      <c r="EXI12" s="114"/>
      <c r="EXJ12" s="114"/>
      <c r="EXK12" s="114"/>
      <c r="EXL12" s="114"/>
      <c r="EXM12" s="114"/>
      <c r="EXN12" s="114"/>
      <c r="EXO12" s="114"/>
      <c r="EXP12" s="114"/>
      <c r="EXQ12" s="114"/>
      <c r="EXR12" s="114"/>
      <c r="EXS12" s="114"/>
      <c r="EXT12" s="114"/>
      <c r="EXU12" s="114"/>
      <c r="EXV12" s="114"/>
      <c r="EXW12" s="114"/>
      <c r="EXX12" s="114"/>
      <c r="EXY12" s="114"/>
      <c r="EXZ12" s="114"/>
      <c r="EYA12" s="114"/>
      <c r="EYB12" s="114"/>
      <c r="EYC12" s="114"/>
      <c r="EYD12" s="114"/>
      <c r="EYE12" s="114"/>
      <c r="EYF12" s="114"/>
      <c r="EYG12" s="114"/>
      <c r="EYH12" s="114"/>
      <c r="EYI12" s="114"/>
      <c r="EYJ12" s="114"/>
      <c r="EYK12" s="114"/>
      <c r="EYL12" s="114"/>
      <c r="EYM12" s="114"/>
      <c r="EYN12" s="114"/>
      <c r="EYO12" s="114"/>
      <c r="EYP12" s="114"/>
      <c r="EYQ12" s="114"/>
      <c r="EYR12" s="114"/>
      <c r="EYS12" s="114"/>
      <c r="EYT12" s="114"/>
      <c r="EYU12" s="114"/>
      <c r="EYV12" s="114"/>
      <c r="EYW12" s="114"/>
      <c r="EYX12" s="114"/>
      <c r="EYY12" s="114"/>
      <c r="EYZ12" s="114"/>
      <c r="EZA12" s="114"/>
      <c r="EZB12" s="114"/>
      <c r="EZC12" s="114"/>
      <c r="EZD12" s="114"/>
      <c r="EZE12" s="114"/>
      <c r="EZF12" s="114"/>
      <c r="EZG12" s="114"/>
      <c r="EZH12" s="114"/>
      <c r="EZI12" s="114"/>
      <c r="EZJ12" s="114"/>
      <c r="EZK12" s="114"/>
      <c r="EZL12" s="114"/>
      <c r="EZM12" s="114"/>
      <c r="EZN12" s="114"/>
      <c r="EZO12" s="114"/>
      <c r="EZP12" s="114"/>
      <c r="EZQ12" s="114"/>
      <c r="EZR12" s="114"/>
      <c r="EZS12" s="114"/>
      <c r="EZT12" s="114"/>
      <c r="EZU12" s="114"/>
      <c r="EZV12" s="114"/>
      <c r="EZW12" s="114"/>
      <c r="EZX12" s="114"/>
      <c r="EZY12" s="114"/>
      <c r="EZZ12" s="114"/>
      <c r="FAA12" s="114"/>
      <c r="FAB12" s="114"/>
      <c r="FAC12" s="114"/>
      <c r="FAD12" s="114"/>
      <c r="FAE12" s="114"/>
      <c r="FAF12" s="114"/>
      <c r="FAG12" s="114"/>
      <c r="FAH12" s="114"/>
      <c r="FAI12" s="114"/>
      <c r="FAJ12" s="114"/>
      <c r="FAK12" s="114"/>
      <c r="FAL12" s="114"/>
      <c r="FAM12" s="114"/>
      <c r="FAN12" s="114"/>
      <c r="FAO12" s="114"/>
      <c r="FAP12" s="114"/>
      <c r="FAQ12" s="114"/>
      <c r="FAR12" s="114"/>
      <c r="FAS12" s="114"/>
      <c r="FAT12" s="114"/>
      <c r="FAU12" s="114"/>
      <c r="FAV12" s="114"/>
      <c r="FAW12" s="114"/>
      <c r="FAX12" s="114"/>
      <c r="FAY12" s="114"/>
      <c r="FAZ12" s="114"/>
      <c r="FBA12" s="114"/>
      <c r="FBB12" s="114"/>
      <c r="FBC12" s="114"/>
      <c r="FBD12" s="114"/>
      <c r="FBE12" s="114"/>
      <c r="FBF12" s="114"/>
      <c r="FBG12" s="114"/>
      <c r="FBH12" s="114"/>
      <c r="FBI12" s="114"/>
      <c r="FBJ12" s="114"/>
      <c r="FBK12" s="114"/>
      <c r="FBL12" s="114"/>
      <c r="FBM12" s="114"/>
      <c r="FBN12" s="114"/>
      <c r="FBO12" s="114"/>
      <c r="FBP12" s="114"/>
      <c r="FBQ12" s="114"/>
      <c r="FBR12" s="114"/>
      <c r="FBS12" s="114"/>
      <c r="FBT12" s="114"/>
      <c r="FBU12" s="114"/>
      <c r="FBV12" s="114"/>
      <c r="FBW12" s="114"/>
      <c r="FBX12" s="114"/>
      <c r="FBY12" s="114"/>
      <c r="FBZ12" s="114"/>
      <c r="FCA12" s="114"/>
      <c r="FCB12" s="114"/>
      <c r="FCC12" s="114"/>
      <c r="FCD12" s="114"/>
      <c r="FCE12" s="114"/>
      <c r="FCF12" s="114"/>
      <c r="FCG12" s="114"/>
      <c r="FCH12" s="114"/>
      <c r="FCI12" s="114"/>
      <c r="FCJ12" s="114"/>
      <c r="FCK12" s="114"/>
      <c r="FCL12" s="114"/>
      <c r="FCM12" s="114"/>
      <c r="FCN12" s="114"/>
      <c r="FCO12" s="114"/>
      <c r="FCP12" s="114"/>
      <c r="FCQ12" s="114"/>
      <c r="FCR12" s="114"/>
      <c r="FCS12" s="114"/>
      <c r="FCT12" s="114"/>
      <c r="FCU12" s="114"/>
      <c r="FCV12" s="114"/>
      <c r="FCW12" s="114"/>
      <c r="FCX12" s="114"/>
      <c r="FCY12" s="114"/>
      <c r="FCZ12" s="114"/>
      <c r="FDA12" s="114"/>
      <c r="FDB12" s="114"/>
      <c r="FDC12" s="114"/>
      <c r="FDD12" s="114"/>
      <c r="FDE12" s="114"/>
      <c r="FDF12" s="114"/>
      <c r="FDG12" s="114"/>
      <c r="FDH12" s="114"/>
      <c r="FDI12" s="114"/>
      <c r="FDJ12" s="114"/>
      <c r="FDK12" s="114"/>
      <c r="FDL12" s="114"/>
      <c r="FDM12" s="114"/>
      <c r="FDN12" s="114"/>
      <c r="FDO12" s="114"/>
      <c r="FDP12" s="114"/>
      <c r="FDQ12" s="114"/>
      <c r="FDR12" s="114"/>
      <c r="FDS12" s="114"/>
      <c r="FDT12" s="114"/>
      <c r="FDU12" s="114"/>
      <c r="FDV12" s="114"/>
      <c r="FDW12" s="114"/>
      <c r="FDX12" s="114"/>
      <c r="FDY12" s="114"/>
      <c r="FDZ12" s="114"/>
      <c r="FEA12" s="114"/>
      <c r="FEB12" s="114"/>
      <c r="FEC12" s="114"/>
      <c r="FED12" s="114"/>
      <c r="FEE12" s="114"/>
      <c r="FEF12" s="114"/>
      <c r="FEG12" s="114"/>
      <c r="FEH12" s="114"/>
      <c r="FEI12" s="114"/>
      <c r="FEJ12" s="114"/>
      <c r="FEK12" s="114"/>
      <c r="FEL12" s="114"/>
      <c r="FEM12" s="114"/>
      <c r="FEN12" s="114"/>
      <c r="FEO12" s="114"/>
      <c r="FEP12" s="114"/>
      <c r="FEQ12" s="114"/>
      <c r="FER12" s="114"/>
      <c r="FES12" s="114"/>
      <c r="FET12" s="114"/>
      <c r="FEU12" s="114"/>
      <c r="FEV12" s="114"/>
      <c r="FEW12" s="114"/>
      <c r="FEX12" s="114"/>
      <c r="FEY12" s="114"/>
      <c r="FEZ12" s="114"/>
      <c r="FFA12" s="114"/>
      <c r="FFB12" s="114"/>
      <c r="FFC12" s="114"/>
      <c r="FFD12" s="114"/>
      <c r="FFE12" s="114"/>
      <c r="FFF12" s="114"/>
      <c r="FFG12" s="114"/>
      <c r="FFH12" s="114"/>
      <c r="FFI12" s="114"/>
      <c r="FFJ12" s="114"/>
      <c r="FFK12" s="114"/>
      <c r="FFL12" s="114"/>
      <c r="FFM12" s="114"/>
      <c r="FFN12" s="114"/>
      <c r="FFO12" s="114"/>
      <c r="FFP12" s="114"/>
      <c r="FFQ12" s="114"/>
      <c r="FFR12" s="114"/>
      <c r="FFS12" s="114"/>
      <c r="FFT12" s="114"/>
      <c r="FFU12" s="114"/>
      <c r="FFV12" s="114"/>
      <c r="FFW12" s="114"/>
      <c r="FFX12" s="114"/>
      <c r="FFY12" s="114"/>
      <c r="FFZ12" s="114"/>
      <c r="FGA12" s="114"/>
      <c r="FGB12" s="114"/>
      <c r="FGC12" s="114"/>
      <c r="FGD12" s="114"/>
      <c r="FGE12" s="114"/>
      <c r="FGF12" s="114"/>
      <c r="FGG12" s="114"/>
      <c r="FGH12" s="114"/>
      <c r="FGI12" s="114"/>
      <c r="FGJ12" s="114"/>
      <c r="FGK12" s="114"/>
      <c r="FGL12" s="114"/>
      <c r="FGM12" s="114"/>
      <c r="FGN12" s="114"/>
      <c r="FGO12" s="114"/>
      <c r="FGP12" s="114"/>
      <c r="FGQ12" s="114"/>
      <c r="FGR12" s="114"/>
      <c r="FGS12" s="114"/>
      <c r="FGT12" s="114"/>
      <c r="FGU12" s="114"/>
      <c r="FGV12" s="114"/>
      <c r="FGW12" s="114"/>
      <c r="FGX12" s="114"/>
      <c r="FGY12" s="114"/>
      <c r="FGZ12" s="114"/>
      <c r="FHA12" s="114"/>
      <c r="FHB12" s="114"/>
      <c r="FHC12" s="114"/>
      <c r="FHD12" s="114"/>
      <c r="FHE12" s="114"/>
      <c r="FHF12" s="114"/>
      <c r="FHG12" s="114"/>
      <c r="FHH12" s="114"/>
      <c r="FHI12" s="114"/>
      <c r="FHJ12" s="114"/>
      <c r="FHK12" s="114"/>
      <c r="FHL12" s="114"/>
      <c r="FHM12" s="114"/>
      <c r="FHN12" s="114"/>
      <c r="FHO12" s="114"/>
      <c r="FHP12" s="114"/>
      <c r="FHQ12" s="114"/>
      <c r="FHR12" s="114"/>
      <c r="FHS12" s="114"/>
      <c r="FHT12" s="114"/>
      <c r="FHU12" s="114"/>
      <c r="FHV12" s="114"/>
      <c r="FHW12" s="114"/>
      <c r="FHX12" s="114"/>
      <c r="FHY12" s="114"/>
      <c r="FHZ12" s="114"/>
      <c r="FIA12" s="114"/>
      <c r="FIB12" s="114"/>
      <c r="FIC12" s="114"/>
      <c r="FID12" s="114"/>
      <c r="FIE12" s="114"/>
      <c r="FIF12" s="114"/>
      <c r="FIG12" s="114"/>
      <c r="FIH12" s="114"/>
      <c r="FII12" s="114"/>
      <c r="FIJ12" s="114"/>
      <c r="FIK12" s="114"/>
      <c r="FIL12" s="114"/>
      <c r="FIM12" s="114"/>
      <c r="FIN12" s="114"/>
      <c r="FIO12" s="114"/>
      <c r="FIP12" s="114"/>
      <c r="FIQ12" s="114"/>
      <c r="FIR12" s="114"/>
      <c r="FIS12" s="114"/>
      <c r="FIT12" s="114"/>
      <c r="FIU12" s="114"/>
      <c r="FIV12" s="114"/>
      <c r="FIW12" s="114"/>
      <c r="FIX12" s="114"/>
      <c r="FIY12" s="114"/>
      <c r="FIZ12" s="114"/>
      <c r="FJA12" s="114"/>
      <c r="FJB12" s="114"/>
      <c r="FJC12" s="114"/>
      <c r="FJD12" s="114"/>
      <c r="FJE12" s="114"/>
      <c r="FJF12" s="114"/>
      <c r="FJG12" s="114"/>
      <c r="FJH12" s="114"/>
      <c r="FJI12" s="114"/>
      <c r="FJJ12" s="114"/>
      <c r="FJK12" s="114"/>
      <c r="FJL12" s="114"/>
      <c r="FJM12" s="114"/>
      <c r="FJN12" s="114"/>
      <c r="FJO12" s="114"/>
      <c r="FJP12" s="114"/>
      <c r="FJQ12" s="114"/>
      <c r="FJR12" s="114"/>
      <c r="FJS12" s="114"/>
      <c r="FJT12" s="114"/>
      <c r="FJU12" s="114"/>
      <c r="FJV12" s="114"/>
      <c r="FJW12" s="114"/>
      <c r="FJX12" s="114"/>
      <c r="FJY12" s="114"/>
      <c r="FJZ12" s="114"/>
      <c r="FKA12" s="114"/>
      <c r="FKB12" s="114"/>
      <c r="FKC12" s="114"/>
      <c r="FKD12" s="114"/>
      <c r="FKE12" s="114"/>
      <c r="FKF12" s="114"/>
      <c r="FKG12" s="114"/>
      <c r="FKH12" s="114"/>
      <c r="FKI12" s="114"/>
      <c r="FKJ12" s="114"/>
      <c r="FKK12" s="114"/>
      <c r="FKL12" s="114"/>
      <c r="FKM12" s="114"/>
      <c r="FKN12" s="114"/>
      <c r="FKO12" s="114"/>
      <c r="FKP12" s="114"/>
      <c r="FKQ12" s="114"/>
      <c r="FKR12" s="114"/>
      <c r="FKS12" s="114"/>
      <c r="FKT12" s="114"/>
      <c r="FKU12" s="114"/>
      <c r="FKV12" s="114"/>
      <c r="FKW12" s="114"/>
      <c r="FKX12" s="114"/>
      <c r="FKY12" s="114"/>
      <c r="FKZ12" s="114"/>
      <c r="FLA12" s="114"/>
      <c r="FLB12" s="114"/>
      <c r="FLC12" s="114"/>
      <c r="FLD12" s="114"/>
      <c r="FLE12" s="114"/>
      <c r="FLF12" s="114"/>
      <c r="FLG12" s="114"/>
      <c r="FLH12" s="114"/>
      <c r="FLI12" s="114"/>
      <c r="FLJ12" s="114"/>
      <c r="FLK12" s="114"/>
      <c r="FLL12" s="114"/>
      <c r="FLM12" s="114"/>
      <c r="FLN12" s="114"/>
      <c r="FLO12" s="114"/>
      <c r="FLP12" s="114"/>
      <c r="FLQ12" s="114"/>
      <c r="FLR12" s="114"/>
      <c r="FLS12" s="114"/>
      <c r="FLT12" s="114"/>
      <c r="FLU12" s="114"/>
      <c r="FLV12" s="114"/>
      <c r="FLW12" s="114"/>
      <c r="FLX12" s="114"/>
      <c r="FLY12" s="114"/>
      <c r="FLZ12" s="114"/>
      <c r="FMA12" s="114"/>
      <c r="FMB12" s="114"/>
      <c r="FMC12" s="114"/>
      <c r="FMD12" s="114"/>
      <c r="FME12" s="114"/>
      <c r="FMF12" s="114"/>
      <c r="FMG12" s="114"/>
      <c r="FMH12" s="114"/>
      <c r="FMI12" s="114"/>
      <c r="FMJ12" s="114"/>
      <c r="FMK12" s="114"/>
      <c r="FML12" s="114"/>
      <c r="FMM12" s="114"/>
      <c r="FMN12" s="114"/>
      <c r="FMO12" s="114"/>
      <c r="FMP12" s="114"/>
      <c r="FMQ12" s="114"/>
      <c r="FMR12" s="114"/>
      <c r="FMS12" s="114"/>
      <c r="FMT12" s="114"/>
      <c r="FMU12" s="114"/>
      <c r="FMV12" s="114"/>
      <c r="FMW12" s="114"/>
      <c r="FMX12" s="114"/>
      <c r="FMY12" s="114"/>
      <c r="FMZ12" s="114"/>
      <c r="FNA12" s="114"/>
      <c r="FNB12" s="114"/>
      <c r="FNC12" s="114"/>
      <c r="FND12" s="114"/>
      <c r="FNE12" s="114"/>
      <c r="FNF12" s="114"/>
      <c r="FNG12" s="114"/>
      <c r="FNH12" s="114"/>
      <c r="FNI12" s="114"/>
      <c r="FNJ12" s="114"/>
      <c r="FNK12" s="114"/>
      <c r="FNL12" s="114"/>
      <c r="FNM12" s="114"/>
      <c r="FNN12" s="114"/>
      <c r="FNO12" s="114"/>
      <c r="FNP12" s="114"/>
      <c r="FNQ12" s="114"/>
      <c r="FNR12" s="114"/>
      <c r="FNS12" s="114"/>
      <c r="FNT12" s="114"/>
      <c r="FNU12" s="114"/>
      <c r="FNV12" s="114"/>
      <c r="FNW12" s="114"/>
      <c r="FNX12" s="114"/>
      <c r="FNY12" s="114"/>
      <c r="FNZ12" s="114"/>
      <c r="FOA12" s="114"/>
      <c r="FOB12" s="114"/>
      <c r="FOC12" s="114"/>
      <c r="FOD12" s="114"/>
      <c r="FOE12" s="114"/>
      <c r="FOF12" s="114"/>
      <c r="FOG12" s="114"/>
      <c r="FOH12" s="114"/>
      <c r="FOI12" s="114"/>
      <c r="FOJ12" s="114"/>
      <c r="FOK12" s="114"/>
      <c r="FOL12" s="114"/>
      <c r="FOM12" s="114"/>
      <c r="FON12" s="114"/>
      <c r="FOO12" s="114"/>
      <c r="FOP12" s="114"/>
      <c r="FOQ12" s="114"/>
      <c r="FOR12" s="114"/>
      <c r="FOS12" s="114"/>
      <c r="FOT12" s="114"/>
      <c r="FOU12" s="114"/>
      <c r="FOV12" s="114"/>
      <c r="FOW12" s="114"/>
      <c r="FOX12" s="114"/>
      <c r="FOY12" s="114"/>
      <c r="FOZ12" s="114"/>
      <c r="FPA12" s="114"/>
      <c r="FPB12" s="114"/>
      <c r="FPC12" s="114"/>
      <c r="FPD12" s="114"/>
      <c r="FPE12" s="114"/>
      <c r="FPF12" s="114"/>
      <c r="FPG12" s="114"/>
      <c r="FPH12" s="114"/>
      <c r="FPI12" s="114"/>
      <c r="FPJ12" s="114"/>
      <c r="FPK12" s="114"/>
      <c r="FPL12" s="114"/>
      <c r="FPM12" s="114"/>
      <c r="FPN12" s="114"/>
      <c r="FPO12" s="114"/>
      <c r="FPP12" s="114"/>
      <c r="FPQ12" s="114"/>
      <c r="FPR12" s="114"/>
      <c r="FPS12" s="114"/>
      <c r="FPT12" s="114"/>
      <c r="FPU12" s="114"/>
      <c r="FPV12" s="114"/>
      <c r="FPW12" s="114"/>
      <c r="FPX12" s="114"/>
      <c r="FPY12" s="114"/>
      <c r="FPZ12" s="114"/>
      <c r="FQA12" s="114"/>
      <c r="FQB12" s="114"/>
      <c r="FQC12" s="114"/>
      <c r="FQD12" s="114"/>
      <c r="FQE12" s="114"/>
      <c r="FQF12" s="114"/>
      <c r="FQG12" s="114"/>
      <c r="FQH12" s="114"/>
      <c r="FQI12" s="114"/>
      <c r="FQJ12" s="114"/>
      <c r="FQK12" s="114"/>
      <c r="FQL12" s="114"/>
      <c r="FQM12" s="114"/>
      <c r="FQN12" s="114"/>
      <c r="FQO12" s="114"/>
      <c r="FQP12" s="114"/>
      <c r="FQQ12" s="114"/>
      <c r="FQR12" s="114"/>
      <c r="FQS12" s="114"/>
      <c r="FQT12" s="114"/>
      <c r="FQU12" s="114"/>
      <c r="FQV12" s="114"/>
      <c r="FQW12" s="114"/>
      <c r="FQX12" s="114"/>
      <c r="FQY12" s="114"/>
      <c r="FQZ12" s="114"/>
      <c r="FRA12" s="114"/>
      <c r="FRB12" s="114"/>
      <c r="FRC12" s="114"/>
      <c r="FRD12" s="114"/>
      <c r="FRE12" s="114"/>
      <c r="FRF12" s="114"/>
      <c r="FRG12" s="114"/>
      <c r="FRH12" s="114"/>
      <c r="FRI12" s="114"/>
      <c r="FRJ12" s="114"/>
      <c r="FRK12" s="114"/>
      <c r="FRL12" s="114"/>
      <c r="FRM12" s="114"/>
      <c r="FRN12" s="114"/>
      <c r="FRO12" s="114"/>
      <c r="FRP12" s="114"/>
      <c r="FRQ12" s="114"/>
      <c r="FRR12" s="114"/>
      <c r="FRS12" s="114"/>
      <c r="FRT12" s="114"/>
      <c r="FRU12" s="114"/>
      <c r="FRV12" s="114"/>
      <c r="FRW12" s="114"/>
      <c r="FRX12" s="114"/>
      <c r="FRY12" s="114"/>
      <c r="FRZ12" s="114"/>
      <c r="FSA12" s="114"/>
      <c r="FSB12" s="114"/>
      <c r="FSC12" s="114"/>
      <c r="FSD12" s="114"/>
      <c r="FSE12" s="114"/>
      <c r="FSF12" s="114"/>
      <c r="FSG12" s="114"/>
      <c r="FSH12" s="114"/>
      <c r="FSI12" s="114"/>
      <c r="FSJ12" s="114"/>
      <c r="FSK12" s="114"/>
      <c r="FSL12" s="114"/>
      <c r="FSM12" s="114"/>
      <c r="FSN12" s="114"/>
      <c r="FSO12" s="114"/>
      <c r="FSP12" s="114"/>
      <c r="FSQ12" s="114"/>
      <c r="FSR12" s="114"/>
      <c r="FSS12" s="114"/>
      <c r="FST12" s="114"/>
      <c r="FSU12" s="114"/>
      <c r="FSV12" s="114"/>
      <c r="FSW12" s="114"/>
      <c r="FSX12" s="114"/>
      <c r="FSY12" s="114"/>
      <c r="FSZ12" s="114"/>
      <c r="FTA12" s="114"/>
      <c r="FTB12" s="114"/>
      <c r="FTC12" s="114"/>
      <c r="FTD12" s="114"/>
      <c r="FTE12" s="114"/>
      <c r="FTF12" s="114"/>
      <c r="FTG12" s="114"/>
      <c r="FTH12" s="114"/>
      <c r="FTI12" s="114"/>
      <c r="FTJ12" s="114"/>
      <c r="FTK12" s="114"/>
      <c r="FTL12" s="114"/>
      <c r="FTM12" s="114"/>
      <c r="FTN12" s="114"/>
      <c r="FTO12" s="114"/>
      <c r="FTP12" s="114"/>
      <c r="FTQ12" s="114"/>
      <c r="FTR12" s="114"/>
      <c r="FTS12" s="114"/>
      <c r="FTT12" s="114"/>
      <c r="FTU12" s="114"/>
      <c r="FTV12" s="114"/>
      <c r="FTW12" s="114"/>
      <c r="FTX12" s="114"/>
      <c r="FTY12" s="114"/>
      <c r="FTZ12" s="114"/>
      <c r="FUA12" s="114"/>
      <c r="FUB12" s="114"/>
      <c r="FUC12" s="114"/>
      <c r="FUD12" s="114"/>
      <c r="FUE12" s="114"/>
      <c r="FUF12" s="114"/>
      <c r="FUG12" s="114"/>
      <c r="FUH12" s="114"/>
      <c r="FUI12" s="114"/>
      <c r="FUJ12" s="114"/>
      <c r="FUK12" s="114"/>
      <c r="FUL12" s="114"/>
      <c r="FUM12" s="114"/>
      <c r="FUN12" s="114"/>
      <c r="FUO12" s="114"/>
      <c r="FUP12" s="114"/>
      <c r="FUQ12" s="114"/>
      <c r="FUR12" s="114"/>
      <c r="FUS12" s="114"/>
      <c r="FUT12" s="114"/>
      <c r="FUU12" s="114"/>
      <c r="FUV12" s="114"/>
      <c r="FUW12" s="114"/>
      <c r="FUX12" s="114"/>
      <c r="FUY12" s="114"/>
      <c r="FUZ12" s="114"/>
      <c r="FVA12" s="114"/>
      <c r="FVB12" s="114"/>
      <c r="FVC12" s="114"/>
      <c r="FVD12" s="114"/>
      <c r="FVE12" s="114"/>
      <c r="FVF12" s="114"/>
      <c r="FVG12" s="114"/>
      <c r="FVH12" s="114"/>
      <c r="FVI12" s="114"/>
      <c r="FVJ12" s="114"/>
      <c r="FVK12" s="114"/>
      <c r="FVL12" s="114"/>
      <c r="FVM12" s="114"/>
      <c r="FVN12" s="114"/>
      <c r="FVO12" s="114"/>
      <c r="FVP12" s="114"/>
      <c r="FVQ12" s="114"/>
      <c r="FVR12" s="114"/>
      <c r="FVS12" s="114"/>
      <c r="FVT12" s="114"/>
      <c r="FVU12" s="114"/>
      <c r="FVV12" s="114"/>
      <c r="FVW12" s="114"/>
      <c r="FVX12" s="114"/>
      <c r="FVY12" s="114"/>
      <c r="FVZ12" s="114"/>
      <c r="FWA12" s="114"/>
      <c r="FWB12" s="114"/>
      <c r="FWC12" s="114"/>
      <c r="FWD12" s="114"/>
      <c r="FWE12" s="114"/>
      <c r="FWF12" s="114"/>
      <c r="FWG12" s="114"/>
      <c r="FWH12" s="114"/>
      <c r="FWI12" s="114"/>
      <c r="FWJ12" s="114"/>
      <c r="FWK12" s="114"/>
      <c r="FWL12" s="114"/>
      <c r="FWM12" s="114"/>
      <c r="FWN12" s="114"/>
      <c r="FWO12" s="114"/>
      <c r="FWP12" s="114"/>
      <c r="FWQ12" s="114"/>
      <c r="FWR12" s="114"/>
      <c r="FWS12" s="114"/>
      <c r="FWT12" s="114"/>
      <c r="FWU12" s="114"/>
      <c r="FWV12" s="114"/>
      <c r="FWW12" s="114"/>
      <c r="FWX12" s="114"/>
      <c r="FWY12" s="114"/>
      <c r="FWZ12" s="114"/>
      <c r="FXA12" s="114"/>
      <c r="FXB12" s="114"/>
      <c r="FXC12" s="114"/>
      <c r="FXD12" s="114"/>
      <c r="FXE12" s="114"/>
      <c r="FXF12" s="114"/>
      <c r="FXG12" s="114"/>
      <c r="FXH12" s="114"/>
      <c r="FXI12" s="114"/>
      <c r="FXJ12" s="114"/>
      <c r="FXK12" s="114"/>
      <c r="FXL12" s="114"/>
      <c r="FXM12" s="114"/>
      <c r="FXN12" s="114"/>
      <c r="FXO12" s="114"/>
      <c r="FXP12" s="114"/>
      <c r="FXQ12" s="114"/>
      <c r="FXR12" s="114"/>
      <c r="FXS12" s="114"/>
      <c r="FXT12" s="114"/>
      <c r="FXU12" s="114"/>
      <c r="FXV12" s="114"/>
      <c r="FXW12" s="114"/>
      <c r="FXX12" s="114"/>
      <c r="FXY12" s="114"/>
      <c r="FXZ12" s="114"/>
      <c r="FYA12" s="114"/>
      <c r="FYB12" s="114"/>
      <c r="FYC12" s="114"/>
      <c r="FYD12" s="114"/>
      <c r="FYE12" s="114"/>
      <c r="FYF12" s="114"/>
      <c r="FYG12" s="114"/>
      <c r="FYH12" s="114"/>
      <c r="FYI12" s="114"/>
      <c r="FYJ12" s="114"/>
      <c r="FYK12" s="114"/>
      <c r="FYL12" s="114"/>
      <c r="FYM12" s="114"/>
      <c r="FYN12" s="114"/>
      <c r="FYO12" s="114"/>
      <c r="FYP12" s="114"/>
      <c r="FYQ12" s="114"/>
      <c r="FYR12" s="114"/>
      <c r="FYS12" s="114"/>
      <c r="FYT12" s="114"/>
      <c r="FYU12" s="114"/>
      <c r="FYV12" s="114"/>
      <c r="FYW12" s="114"/>
      <c r="FYX12" s="114"/>
      <c r="FYY12" s="114"/>
      <c r="FYZ12" s="114"/>
      <c r="FZA12" s="114"/>
      <c r="FZB12" s="114"/>
      <c r="FZC12" s="114"/>
      <c r="FZD12" s="114"/>
      <c r="FZE12" s="114"/>
      <c r="FZF12" s="114"/>
      <c r="FZG12" s="114"/>
      <c r="FZH12" s="114"/>
      <c r="FZI12" s="114"/>
      <c r="FZJ12" s="114"/>
      <c r="FZK12" s="114"/>
      <c r="FZL12" s="114"/>
      <c r="FZM12" s="114"/>
      <c r="FZN12" s="114"/>
      <c r="FZO12" s="114"/>
      <c r="FZP12" s="114"/>
      <c r="FZQ12" s="114"/>
      <c r="FZR12" s="114"/>
      <c r="FZS12" s="114"/>
      <c r="FZT12" s="114"/>
      <c r="FZU12" s="114"/>
      <c r="FZV12" s="114"/>
      <c r="FZW12" s="114"/>
      <c r="FZX12" s="114"/>
      <c r="FZY12" s="114"/>
      <c r="FZZ12" s="114"/>
      <c r="GAA12" s="114"/>
      <c r="GAB12" s="114"/>
      <c r="GAC12" s="114"/>
      <c r="GAD12" s="114"/>
      <c r="GAE12" s="114"/>
      <c r="GAF12" s="114"/>
      <c r="GAG12" s="114"/>
      <c r="GAH12" s="114"/>
      <c r="GAI12" s="114"/>
      <c r="GAJ12" s="114"/>
      <c r="GAK12" s="114"/>
      <c r="GAL12" s="114"/>
      <c r="GAM12" s="114"/>
      <c r="GAN12" s="114"/>
      <c r="GAO12" s="114"/>
      <c r="GAP12" s="114"/>
      <c r="GAQ12" s="114"/>
      <c r="GAR12" s="114"/>
      <c r="GAS12" s="114"/>
      <c r="GAT12" s="114"/>
      <c r="GAU12" s="114"/>
      <c r="GAV12" s="114"/>
      <c r="GAW12" s="114"/>
      <c r="GAX12" s="114"/>
      <c r="GAY12" s="114"/>
      <c r="GAZ12" s="114"/>
      <c r="GBA12" s="114"/>
      <c r="GBB12" s="114"/>
      <c r="GBC12" s="114"/>
      <c r="GBD12" s="114"/>
      <c r="GBE12" s="114"/>
      <c r="GBF12" s="114"/>
      <c r="GBG12" s="114"/>
      <c r="GBH12" s="114"/>
      <c r="GBI12" s="114"/>
      <c r="GBJ12" s="114"/>
      <c r="GBK12" s="114"/>
      <c r="GBL12" s="114"/>
      <c r="GBM12" s="114"/>
      <c r="GBN12" s="114"/>
      <c r="GBO12" s="114"/>
      <c r="GBP12" s="114"/>
      <c r="GBQ12" s="114"/>
      <c r="GBR12" s="114"/>
      <c r="GBS12" s="114"/>
      <c r="GBT12" s="114"/>
      <c r="GBU12" s="114"/>
      <c r="GBV12" s="114"/>
      <c r="GBW12" s="114"/>
      <c r="GBX12" s="114"/>
      <c r="GBY12" s="114"/>
      <c r="GBZ12" s="114"/>
      <c r="GCA12" s="114"/>
      <c r="GCB12" s="114"/>
      <c r="GCC12" s="114"/>
      <c r="GCD12" s="114"/>
      <c r="GCE12" s="114"/>
      <c r="GCF12" s="114"/>
      <c r="GCG12" s="114"/>
      <c r="GCH12" s="114"/>
      <c r="GCI12" s="114"/>
      <c r="GCJ12" s="114"/>
      <c r="GCK12" s="114"/>
      <c r="GCL12" s="114"/>
      <c r="GCM12" s="114"/>
      <c r="GCN12" s="114"/>
      <c r="GCO12" s="114"/>
      <c r="GCP12" s="114"/>
      <c r="GCQ12" s="114"/>
      <c r="GCR12" s="114"/>
      <c r="GCS12" s="114"/>
      <c r="GCT12" s="114"/>
      <c r="GCU12" s="114"/>
      <c r="GCV12" s="114"/>
      <c r="GCW12" s="114"/>
      <c r="GCX12" s="114"/>
      <c r="GCY12" s="114"/>
      <c r="GCZ12" s="114"/>
      <c r="GDA12" s="114"/>
      <c r="GDB12" s="114"/>
      <c r="GDC12" s="114"/>
      <c r="GDD12" s="114"/>
      <c r="GDE12" s="114"/>
      <c r="GDF12" s="114"/>
      <c r="GDG12" s="114"/>
      <c r="GDH12" s="114"/>
      <c r="GDI12" s="114"/>
      <c r="GDJ12" s="114"/>
      <c r="GDK12" s="114"/>
      <c r="GDL12" s="114"/>
      <c r="GDM12" s="114"/>
      <c r="GDN12" s="114"/>
      <c r="GDO12" s="114"/>
      <c r="GDP12" s="114"/>
      <c r="GDQ12" s="114"/>
      <c r="GDR12" s="114"/>
      <c r="GDS12" s="114"/>
      <c r="GDT12" s="114"/>
      <c r="GDU12" s="114"/>
      <c r="GDV12" s="114"/>
      <c r="GDW12" s="114"/>
      <c r="GDX12" s="114"/>
      <c r="GDY12" s="114"/>
      <c r="GDZ12" s="114"/>
      <c r="GEA12" s="114"/>
      <c r="GEB12" s="114"/>
      <c r="GEC12" s="114"/>
      <c r="GED12" s="114"/>
      <c r="GEE12" s="114"/>
      <c r="GEF12" s="114"/>
      <c r="GEG12" s="114"/>
      <c r="GEH12" s="114"/>
      <c r="GEI12" s="114"/>
      <c r="GEJ12" s="114"/>
      <c r="GEK12" s="114"/>
      <c r="GEL12" s="114"/>
      <c r="GEM12" s="114"/>
      <c r="GEN12" s="114"/>
      <c r="GEO12" s="114"/>
      <c r="GEP12" s="114"/>
      <c r="GEQ12" s="114"/>
      <c r="GER12" s="114"/>
      <c r="GES12" s="114"/>
      <c r="GET12" s="114"/>
      <c r="GEU12" s="114"/>
      <c r="GEV12" s="114"/>
      <c r="GEW12" s="114"/>
      <c r="GEX12" s="114"/>
      <c r="GEY12" s="114"/>
      <c r="GEZ12" s="114"/>
      <c r="GFA12" s="114"/>
      <c r="GFB12" s="114"/>
      <c r="GFC12" s="114"/>
      <c r="GFD12" s="114"/>
      <c r="GFE12" s="114"/>
      <c r="GFF12" s="114"/>
      <c r="GFG12" s="114"/>
      <c r="GFH12" s="114"/>
      <c r="GFI12" s="114"/>
      <c r="GFJ12" s="114"/>
      <c r="GFK12" s="114"/>
      <c r="GFL12" s="114"/>
      <c r="GFM12" s="114"/>
      <c r="GFN12" s="114"/>
      <c r="GFO12" s="114"/>
      <c r="GFP12" s="114"/>
      <c r="GFQ12" s="114"/>
      <c r="GFR12" s="114"/>
      <c r="GFS12" s="114"/>
      <c r="GFT12" s="114"/>
      <c r="GFU12" s="114"/>
      <c r="GFV12" s="114"/>
      <c r="GFW12" s="114"/>
      <c r="GFX12" s="114"/>
      <c r="GFY12" s="114"/>
      <c r="GFZ12" s="114"/>
      <c r="GGA12" s="114"/>
      <c r="GGB12" s="114"/>
      <c r="GGC12" s="114"/>
      <c r="GGD12" s="114"/>
      <c r="GGE12" s="114"/>
      <c r="GGF12" s="114"/>
      <c r="GGG12" s="114"/>
      <c r="GGH12" s="114"/>
      <c r="GGI12" s="114"/>
      <c r="GGJ12" s="114"/>
      <c r="GGK12" s="114"/>
      <c r="GGL12" s="114"/>
      <c r="GGM12" s="114"/>
      <c r="GGN12" s="114"/>
      <c r="GGO12" s="114"/>
      <c r="GGP12" s="114"/>
      <c r="GGQ12" s="114"/>
      <c r="GGR12" s="114"/>
      <c r="GGS12" s="114"/>
      <c r="GGT12" s="114"/>
      <c r="GGU12" s="114"/>
      <c r="GGV12" s="114"/>
      <c r="GGW12" s="114"/>
      <c r="GGX12" s="114"/>
      <c r="GGY12" s="114"/>
      <c r="GGZ12" s="114"/>
      <c r="GHA12" s="114"/>
      <c r="GHB12" s="114"/>
      <c r="GHC12" s="114"/>
      <c r="GHD12" s="114"/>
      <c r="GHE12" s="114"/>
      <c r="GHF12" s="114"/>
      <c r="GHG12" s="114"/>
      <c r="GHH12" s="114"/>
      <c r="GHI12" s="114"/>
      <c r="GHJ12" s="114"/>
      <c r="GHK12" s="114"/>
      <c r="GHL12" s="114"/>
      <c r="GHM12" s="114"/>
      <c r="GHN12" s="114"/>
      <c r="GHO12" s="114"/>
      <c r="GHP12" s="114"/>
      <c r="GHQ12" s="114"/>
      <c r="GHR12" s="114"/>
      <c r="GHS12" s="114"/>
      <c r="GHT12" s="114"/>
      <c r="GHU12" s="114"/>
      <c r="GHV12" s="114"/>
      <c r="GHW12" s="114"/>
      <c r="GHX12" s="114"/>
      <c r="GHY12" s="114"/>
      <c r="GHZ12" s="114"/>
      <c r="GIA12" s="114"/>
      <c r="GIB12" s="114"/>
      <c r="GIC12" s="114"/>
      <c r="GID12" s="114"/>
      <c r="GIE12" s="114"/>
      <c r="GIF12" s="114"/>
      <c r="GIG12" s="114"/>
      <c r="GIH12" s="114"/>
      <c r="GII12" s="114"/>
      <c r="GIJ12" s="114"/>
      <c r="GIK12" s="114"/>
      <c r="GIL12" s="114"/>
      <c r="GIM12" s="114"/>
      <c r="GIN12" s="114"/>
      <c r="GIO12" s="114"/>
      <c r="GIP12" s="114"/>
      <c r="GIQ12" s="114"/>
      <c r="GIR12" s="114"/>
      <c r="GIS12" s="114"/>
      <c r="GIT12" s="114"/>
      <c r="GIU12" s="114"/>
      <c r="GIV12" s="114"/>
      <c r="GIW12" s="114"/>
      <c r="GIX12" s="114"/>
      <c r="GIY12" s="114"/>
      <c r="GIZ12" s="114"/>
      <c r="GJA12" s="114"/>
      <c r="GJB12" s="114"/>
      <c r="GJC12" s="114"/>
      <c r="GJD12" s="114"/>
      <c r="GJE12" s="114"/>
      <c r="GJF12" s="114"/>
      <c r="GJG12" s="114"/>
      <c r="GJH12" s="114"/>
      <c r="GJI12" s="114"/>
      <c r="GJJ12" s="114"/>
      <c r="GJK12" s="114"/>
      <c r="GJL12" s="114"/>
      <c r="GJM12" s="114"/>
      <c r="GJN12" s="114"/>
      <c r="GJO12" s="114"/>
      <c r="GJP12" s="114"/>
      <c r="GJQ12" s="114"/>
      <c r="GJR12" s="114"/>
      <c r="GJS12" s="114"/>
      <c r="GJT12" s="114"/>
      <c r="GJU12" s="114"/>
      <c r="GJV12" s="114"/>
      <c r="GJW12" s="114"/>
      <c r="GJX12" s="114"/>
      <c r="GJY12" s="114"/>
      <c r="GJZ12" s="114"/>
      <c r="GKA12" s="114"/>
      <c r="GKB12" s="114"/>
      <c r="GKC12" s="114"/>
      <c r="GKD12" s="114"/>
      <c r="GKE12" s="114"/>
      <c r="GKF12" s="114"/>
      <c r="GKG12" s="114"/>
      <c r="GKH12" s="114"/>
      <c r="GKI12" s="114"/>
      <c r="GKJ12" s="114"/>
      <c r="GKK12" s="114"/>
      <c r="GKL12" s="114"/>
      <c r="GKM12" s="114"/>
      <c r="GKN12" s="114"/>
      <c r="GKO12" s="114"/>
      <c r="GKP12" s="114"/>
      <c r="GKQ12" s="114"/>
      <c r="GKR12" s="114"/>
      <c r="GKS12" s="114"/>
      <c r="GKT12" s="114"/>
      <c r="GKU12" s="114"/>
      <c r="GKV12" s="114"/>
      <c r="GKW12" s="114"/>
      <c r="GKX12" s="114"/>
      <c r="GKY12" s="114"/>
      <c r="GKZ12" s="114"/>
      <c r="GLA12" s="114"/>
      <c r="GLB12" s="114"/>
      <c r="GLC12" s="114"/>
      <c r="GLD12" s="114"/>
      <c r="GLE12" s="114"/>
      <c r="GLF12" s="114"/>
      <c r="GLG12" s="114"/>
      <c r="GLH12" s="114"/>
      <c r="GLI12" s="114"/>
      <c r="GLJ12" s="114"/>
      <c r="GLK12" s="114"/>
      <c r="GLL12" s="114"/>
      <c r="GLM12" s="114"/>
      <c r="GLN12" s="114"/>
      <c r="GLO12" s="114"/>
      <c r="GLP12" s="114"/>
      <c r="GLQ12" s="114"/>
      <c r="GLR12" s="114"/>
      <c r="GLS12" s="114"/>
      <c r="GLT12" s="114"/>
      <c r="GLU12" s="114"/>
      <c r="GLV12" s="114"/>
      <c r="GLW12" s="114"/>
      <c r="GLX12" s="114"/>
      <c r="GLY12" s="114"/>
      <c r="GLZ12" s="114"/>
      <c r="GMA12" s="114"/>
      <c r="GMB12" s="114"/>
      <c r="GMC12" s="114"/>
      <c r="GMD12" s="114"/>
      <c r="GME12" s="114"/>
      <c r="GMF12" s="114"/>
      <c r="GMG12" s="114"/>
      <c r="GMH12" s="114"/>
      <c r="GMI12" s="114"/>
      <c r="GMJ12" s="114"/>
      <c r="GMK12" s="114"/>
      <c r="GML12" s="114"/>
      <c r="GMM12" s="114"/>
      <c r="GMN12" s="114"/>
      <c r="GMO12" s="114"/>
      <c r="GMP12" s="114"/>
      <c r="GMQ12" s="114"/>
      <c r="GMR12" s="114"/>
      <c r="GMS12" s="114"/>
      <c r="GMT12" s="114"/>
      <c r="GMU12" s="114"/>
      <c r="GMV12" s="114"/>
      <c r="GMW12" s="114"/>
      <c r="GMX12" s="114"/>
      <c r="GMY12" s="114"/>
      <c r="GMZ12" s="114"/>
      <c r="GNA12" s="114"/>
      <c r="GNB12" s="114"/>
      <c r="GNC12" s="114"/>
      <c r="GND12" s="114"/>
      <c r="GNE12" s="114"/>
      <c r="GNF12" s="114"/>
      <c r="GNG12" s="114"/>
      <c r="GNH12" s="114"/>
      <c r="GNI12" s="114"/>
      <c r="GNJ12" s="114"/>
      <c r="GNK12" s="114"/>
      <c r="GNL12" s="114"/>
      <c r="GNM12" s="114"/>
      <c r="GNN12" s="114"/>
      <c r="GNO12" s="114"/>
      <c r="GNP12" s="114"/>
      <c r="GNQ12" s="114"/>
      <c r="GNR12" s="114"/>
      <c r="GNS12" s="114"/>
      <c r="GNT12" s="114"/>
      <c r="GNU12" s="114"/>
      <c r="GNV12" s="114"/>
      <c r="GNW12" s="114"/>
      <c r="GNX12" s="114"/>
      <c r="GNY12" s="114"/>
      <c r="GNZ12" s="114"/>
      <c r="GOA12" s="114"/>
      <c r="GOB12" s="114"/>
      <c r="GOC12" s="114"/>
      <c r="GOD12" s="114"/>
      <c r="GOE12" s="114"/>
      <c r="GOF12" s="114"/>
      <c r="GOG12" s="114"/>
      <c r="GOH12" s="114"/>
      <c r="GOI12" s="114"/>
      <c r="GOJ12" s="114"/>
      <c r="GOK12" s="114"/>
      <c r="GOL12" s="114"/>
      <c r="GOM12" s="114"/>
      <c r="GON12" s="114"/>
      <c r="GOO12" s="114"/>
      <c r="GOP12" s="114"/>
      <c r="GOQ12" s="114"/>
      <c r="GOR12" s="114"/>
      <c r="GOS12" s="114"/>
      <c r="GOT12" s="114"/>
      <c r="GOU12" s="114"/>
      <c r="GOV12" s="114"/>
      <c r="GOW12" s="114"/>
      <c r="GOX12" s="114"/>
      <c r="GOY12" s="114"/>
      <c r="GOZ12" s="114"/>
      <c r="GPA12" s="114"/>
      <c r="GPB12" s="114"/>
      <c r="GPC12" s="114"/>
      <c r="GPD12" s="114"/>
      <c r="GPE12" s="114"/>
      <c r="GPF12" s="114"/>
      <c r="GPG12" s="114"/>
      <c r="GPH12" s="114"/>
      <c r="GPI12" s="114"/>
      <c r="GPJ12" s="114"/>
      <c r="GPK12" s="114"/>
      <c r="GPL12" s="114"/>
      <c r="GPM12" s="114"/>
      <c r="GPN12" s="114"/>
      <c r="GPO12" s="114"/>
      <c r="GPP12" s="114"/>
      <c r="GPQ12" s="114"/>
      <c r="GPR12" s="114"/>
      <c r="GPS12" s="114"/>
      <c r="GPT12" s="114"/>
      <c r="GPU12" s="114"/>
      <c r="GPV12" s="114"/>
      <c r="GPW12" s="114"/>
      <c r="GPX12" s="114"/>
      <c r="GPY12" s="114"/>
      <c r="GPZ12" s="114"/>
      <c r="GQA12" s="114"/>
      <c r="GQB12" s="114"/>
      <c r="GQC12" s="114"/>
      <c r="GQD12" s="114"/>
      <c r="GQE12" s="114"/>
      <c r="GQF12" s="114"/>
      <c r="GQG12" s="114"/>
      <c r="GQH12" s="114"/>
      <c r="GQI12" s="114"/>
      <c r="GQJ12" s="114"/>
      <c r="GQK12" s="114"/>
      <c r="GQL12" s="114"/>
      <c r="GQM12" s="114"/>
      <c r="GQN12" s="114"/>
      <c r="GQO12" s="114"/>
      <c r="GQP12" s="114"/>
      <c r="GQQ12" s="114"/>
      <c r="GQR12" s="114"/>
      <c r="GQS12" s="114"/>
      <c r="GQT12" s="114"/>
      <c r="GQU12" s="114"/>
      <c r="GQV12" s="114"/>
      <c r="GQW12" s="114"/>
      <c r="GQX12" s="114"/>
      <c r="GQY12" s="114"/>
      <c r="GQZ12" s="114"/>
      <c r="GRA12" s="114"/>
      <c r="GRB12" s="114"/>
      <c r="GRC12" s="114"/>
      <c r="GRD12" s="114"/>
      <c r="GRE12" s="114"/>
      <c r="GRF12" s="114"/>
      <c r="GRG12" s="114"/>
      <c r="GRH12" s="114"/>
      <c r="GRI12" s="114"/>
      <c r="GRJ12" s="114"/>
      <c r="GRK12" s="114"/>
      <c r="GRL12" s="114"/>
      <c r="GRM12" s="114"/>
      <c r="GRN12" s="114"/>
      <c r="GRO12" s="114"/>
      <c r="GRP12" s="114"/>
      <c r="GRQ12" s="114"/>
      <c r="GRR12" s="114"/>
      <c r="GRS12" s="114"/>
      <c r="GRT12" s="114"/>
      <c r="GRU12" s="114"/>
      <c r="GRV12" s="114"/>
      <c r="GRW12" s="114"/>
      <c r="GRX12" s="114"/>
      <c r="GRY12" s="114"/>
      <c r="GRZ12" s="114"/>
      <c r="GSA12" s="114"/>
      <c r="GSB12" s="114"/>
      <c r="GSC12" s="114"/>
      <c r="GSD12" s="114"/>
      <c r="GSE12" s="114"/>
      <c r="GSF12" s="114"/>
      <c r="GSG12" s="114"/>
      <c r="GSH12" s="114"/>
      <c r="GSI12" s="114"/>
      <c r="GSJ12" s="114"/>
      <c r="GSK12" s="114"/>
      <c r="GSL12" s="114"/>
      <c r="GSM12" s="114"/>
      <c r="GSN12" s="114"/>
      <c r="GSO12" s="114"/>
      <c r="GSP12" s="114"/>
      <c r="GSQ12" s="114"/>
      <c r="GSR12" s="114"/>
      <c r="GSS12" s="114"/>
      <c r="GST12" s="114"/>
      <c r="GSU12" s="114"/>
      <c r="GSV12" s="114"/>
      <c r="GSW12" s="114"/>
      <c r="GSX12" s="114"/>
      <c r="GSY12" s="114"/>
      <c r="GSZ12" s="114"/>
      <c r="GTA12" s="114"/>
      <c r="GTB12" s="114"/>
      <c r="GTC12" s="114"/>
      <c r="GTD12" s="114"/>
      <c r="GTE12" s="114"/>
      <c r="GTF12" s="114"/>
      <c r="GTG12" s="114"/>
      <c r="GTH12" s="114"/>
      <c r="GTI12" s="114"/>
      <c r="GTJ12" s="114"/>
      <c r="GTK12" s="114"/>
      <c r="GTL12" s="114"/>
      <c r="GTM12" s="114"/>
      <c r="GTN12" s="114"/>
      <c r="GTO12" s="114"/>
      <c r="GTP12" s="114"/>
      <c r="GTQ12" s="114"/>
      <c r="GTR12" s="114"/>
      <c r="GTS12" s="114"/>
      <c r="GTT12" s="114"/>
      <c r="GTU12" s="114"/>
      <c r="GTV12" s="114"/>
      <c r="GTW12" s="114"/>
      <c r="GTX12" s="114"/>
      <c r="GTY12" s="114"/>
      <c r="GTZ12" s="114"/>
      <c r="GUA12" s="114"/>
      <c r="GUB12" s="114"/>
      <c r="GUC12" s="114"/>
      <c r="GUD12" s="114"/>
      <c r="GUE12" s="114"/>
      <c r="GUF12" s="114"/>
      <c r="GUG12" s="114"/>
      <c r="GUH12" s="114"/>
      <c r="GUI12" s="114"/>
      <c r="GUJ12" s="114"/>
      <c r="GUK12" s="114"/>
      <c r="GUL12" s="114"/>
      <c r="GUM12" s="114"/>
      <c r="GUN12" s="114"/>
      <c r="GUO12" s="114"/>
      <c r="GUP12" s="114"/>
      <c r="GUQ12" s="114"/>
      <c r="GUR12" s="114"/>
      <c r="GUS12" s="114"/>
      <c r="GUT12" s="114"/>
      <c r="GUU12" s="114"/>
      <c r="GUV12" s="114"/>
      <c r="GUW12" s="114"/>
      <c r="GUX12" s="114"/>
      <c r="GUY12" s="114"/>
      <c r="GUZ12" s="114"/>
      <c r="GVA12" s="114"/>
      <c r="GVB12" s="114"/>
      <c r="GVC12" s="114"/>
      <c r="GVD12" s="114"/>
      <c r="GVE12" s="114"/>
      <c r="GVF12" s="114"/>
      <c r="GVG12" s="114"/>
      <c r="GVH12" s="114"/>
      <c r="GVI12" s="114"/>
      <c r="GVJ12" s="114"/>
      <c r="GVK12" s="114"/>
      <c r="GVL12" s="114"/>
      <c r="GVM12" s="114"/>
      <c r="GVN12" s="114"/>
      <c r="GVO12" s="114"/>
      <c r="GVP12" s="114"/>
      <c r="GVQ12" s="114"/>
      <c r="GVR12" s="114"/>
      <c r="GVS12" s="114"/>
      <c r="GVT12" s="114"/>
      <c r="GVU12" s="114"/>
      <c r="GVV12" s="114"/>
      <c r="GVW12" s="114"/>
      <c r="GVX12" s="114"/>
      <c r="GVY12" s="114"/>
      <c r="GVZ12" s="114"/>
      <c r="GWA12" s="114"/>
      <c r="GWB12" s="114"/>
      <c r="GWC12" s="114"/>
      <c r="GWD12" s="114"/>
      <c r="GWE12" s="114"/>
      <c r="GWF12" s="114"/>
      <c r="GWG12" s="114"/>
      <c r="GWH12" s="114"/>
      <c r="GWI12" s="114"/>
      <c r="GWJ12" s="114"/>
      <c r="GWK12" s="114"/>
      <c r="GWL12" s="114"/>
      <c r="GWM12" s="114"/>
      <c r="GWN12" s="114"/>
      <c r="GWO12" s="114"/>
      <c r="GWP12" s="114"/>
      <c r="GWQ12" s="114"/>
      <c r="GWR12" s="114"/>
      <c r="GWS12" s="114"/>
      <c r="GWT12" s="114"/>
      <c r="GWU12" s="114"/>
      <c r="GWV12" s="114"/>
      <c r="GWW12" s="114"/>
      <c r="GWX12" s="114"/>
      <c r="GWY12" s="114"/>
      <c r="GWZ12" s="114"/>
      <c r="GXA12" s="114"/>
      <c r="GXB12" s="114"/>
      <c r="GXC12" s="114"/>
      <c r="GXD12" s="114"/>
      <c r="GXE12" s="114"/>
      <c r="GXF12" s="114"/>
      <c r="GXG12" s="114"/>
      <c r="GXH12" s="114"/>
      <c r="GXI12" s="114"/>
      <c r="GXJ12" s="114"/>
      <c r="GXK12" s="114"/>
      <c r="GXL12" s="114"/>
      <c r="GXM12" s="114"/>
      <c r="GXN12" s="114"/>
      <c r="GXO12" s="114"/>
      <c r="GXP12" s="114"/>
      <c r="GXQ12" s="114"/>
      <c r="GXR12" s="114"/>
      <c r="GXS12" s="114"/>
      <c r="GXT12" s="114"/>
      <c r="GXU12" s="114"/>
      <c r="GXV12" s="114"/>
      <c r="GXW12" s="114"/>
      <c r="GXX12" s="114"/>
      <c r="GXY12" s="114"/>
      <c r="GXZ12" s="114"/>
      <c r="GYA12" s="114"/>
      <c r="GYB12" s="114"/>
      <c r="GYC12" s="114"/>
      <c r="GYD12" s="114"/>
      <c r="GYE12" s="114"/>
      <c r="GYF12" s="114"/>
      <c r="GYG12" s="114"/>
      <c r="GYH12" s="114"/>
      <c r="GYI12" s="114"/>
      <c r="GYJ12" s="114"/>
      <c r="GYK12" s="114"/>
      <c r="GYL12" s="114"/>
      <c r="GYM12" s="114"/>
      <c r="GYN12" s="114"/>
      <c r="GYO12" s="114"/>
      <c r="GYP12" s="114"/>
      <c r="GYQ12" s="114"/>
      <c r="GYR12" s="114"/>
      <c r="GYS12" s="114"/>
      <c r="GYT12" s="114"/>
      <c r="GYU12" s="114"/>
      <c r="GYV12" s="114"/>
      <c r="GYW12" s="114"/>
      <c r="GYX12" s="114"/>
      <c r="GYY12" s="114"/>
      <c r="GYZ12" s="114"/>
      <c r="GZA12" s="114"/>
      <c r="GZB12" s="114"/>
      <c r="GZC12" s="114"/>
      <c r="GZD12" s="114"/>
      <c r="GZE12" s="114"/>
      <c r="GZF12" s="114"/>
      <c r="GZG12" s="114"/>
      <c r="GZH12" s="114"/>
      <c r="GZI12" s="114"/>
      <c r="GZJ12" s="114"/>
      <c r="GZK12" s="114"/>
      <c r="GZL12" s="114"/>
      <c r="GZM12" s="114"/>
      <c r="GZN12" s="114"/>
      <c r="GZO12" s="114"/>
      <c r="GZP12" s="114"/>
      <c r="GZQ12" s="114"/>
      <c r="GZR12" s="114"/>
      <c r="GZS12" s="114"/>
      <c r="GZT12" s="114"/>
      <c r="GZU12" s="114"/>
      <c r="GZV12" s="114"/>
      <c r="GZW12" s="114"/>
      <c r="GZX12" s="114"/>
      <c r="GZY12" s="114"/>
      <c r="GZZ12" s="114"/>
      <c r="HAA12" s="114"/>
      <c r="HAB12" s="114"/>
      <c r="HAC12" s="114"/>
      <c r="HAD12" s="114"/>
      <c r="HAE12" s="114"/>
      <c r="HAF12" s="114"/>
      <c r="HAG12" s="114"/>
      <c r="HAH12" s="114"/>
      <c r="HAI12" s="114"/>
      <c r="HAJ12" s="114"/>
      <c r="HAK12" s="114"/>
      <c r="HAL12" s="114"/>
      <c r="HAM12" s="114"/>
      <c r="HAN12" s="114"/>
      <c r="HAO12" s="114"/>
      <c r="HAP12" s="114"/>
      <c r="HAQ12" s="114"/>
      <c r="HAR12" s="114"/>
      <c r="HAS12" s="114"/>
      <c r="HAT12" s="114"/>
      <c r="HAU12" s="114"/>
      <c r="HAV12" s="114"/>
      <c r="HAW12" s="114"/>
      <c r="HAX12" s="114"/>
      <c r="HAY12" s="114"/>
      <c r="HAZ12" s="114"/>
      <c r="HBA12" s="114"/>
      <c r="HBB12" s="114"/>
      <c r="HBC12" s="114"/>
      <c r="HBD12" s="114"/>
      <c r="HBE12" s="114"/>
      <c r="HBF12" s="114"/>
      <c r="HBG12" s="114"/>
      <c r="HBH12" s="114"/>
      <c r="HBI12" s="114"/>
      <c r="HBJ12" s="114"/>
      <c r="HBK12" s="114"/>
      <c r="HBL12" s="114"/>
      <c r="HBM12" s="114"/>
      <c r="HBN12" s="114"/>
      <c r="HBO12" s="114"/>
      <c r="HBP12" s="114"/>
      <c r="HBQ12" s="114"/>
      <c r="HBR12" s="114"/>
      <c r="HBS12" s="114"/>
      <c r="HBT12" s="114"/>
      <c r="HBU12" s="114"/>
      <c r="HBV12" s="114"/>
      <c r="HBW12" s="114"/>
      <c r="HBX12" s="114"/>
      <c r="HBY12" s="114"/>
      <c r="HBZ12" s="114"/>
      <c r="HCA12" s="114"/>
      <c r="HCB12" s="114"/>
      <c r="HCC12" s="114"/>
      <c r="HCD12" s="114"/>
      <c r="HCE12" s="114"/>
      <c r="HCF12" s="114"/>
      <c r="HCG12" s="114"/>
      <c r="HCH12" s="114"/>
      <c r="HCI12" s="114"/>
      <c r="HCJ12" s="114"/>
      <c r="HCK12" s="114"/>
      <c r="HCL12" s="114"/>
      <c r="HCM12" s="114"/>
      <c r="HCN12" s="114"/>
      <c r="HCO12" s="114"/>
      <c r="HCP12" s="114"/>
      <c r="HCQ12" s="114"/>
      <c r="HCR12" s="114"/>
      <c r="HCS12" s="114"/>
      <c r="HCT12" s="114"/>
      <c r="HCU12" s="114"/>
      <c r="HCV12" s="114"/>
      <c r="HCW12" s="114"/>
      <c r="HCX12" s="114"/>
      <c r="HCY12" s="114"/>
      <c r="HCZ12" s="114"/>
      <c r="HDA12" s="114"/>
      <c r="HDB12" s="114"/>
      <c r="HDC12" s="114"/>
      <c r="HDD12" s="114"/>
      <c r="HDE12" s="114"/>
      <c r="HDF12" s="114"/>
      <c r="HDG12" s="114"/>
      <c r="HDH12" s="114"/>
      <c r="HDI12" s="114"/>
      <c r="HDJ12" s="114"/>
      <c r="HDK12" s="114"/>
      <c r="HDL12" s="114"/>
      <c r="HDM12" s="114"/>
      <c r="HDN12" s="114"/>
      <c r="HDO12" s="114"/>
      <c r="HDP12" s="114"/>
      <c r="HDQ12" s="114"/>
      <c r="HDR12" s="114"/>
      <c r="HDS12" s="114"/>
      <c r="HDT12" s="114"/>
      <c r="HDU12" s="114"/>
      <c r="HDV12" s="114"/>
      <c r="HDW12" s="114"/>
      <c r="HDX12" s="114"/>
      <c r="HDY12" s="114"/>
      <c r="HDZ12" s="114"/>
      <c r="HEA12" s="114"/>
      <c r="HEB12" s="114"/>
      <c r="HEC12" s="114"/>
      <c r="HED12" s="114"/>
      <c r="HEE12" s="114"/>
      <c r="HEF12" s="114"/>
      <c r="HEG12" s="114"/>
      <c r="HEH12" s="114"/>
      <c r="HEI12" s="114"/>
      <c r="HEJ12" s="114"/>
      <c r="HEK12" s="114"/>
      <c r="HEL12" s="114"/>
      <c r="HEM12" s="114"/>
      <c r="HEN12" s="114"/>
      <c r="HEO12" s="114"/>
      <c r="HEP12" s="114"/>
      <c r="HEQ12" s="114"/>
      <c r="HER12" s="114"/>
      <c r="HES12" s="114"/>
      <c r="HET12" s="114"/>
      <c r="HEU12" s="114"/>
      <c r="HEV12" s="114"/>
      <c r="HEW12" s="114"/>
      <c r="HEX12" s="114"/>
      <c r="HEY12" s="114"/>
      <c r="HEZ12" s="114"/>
      <c r="HFA12" s="114"/>
      <c r="HFB12" s="114"/>
      <c r="HFC12" s="114"/>
      <c r="HFD12" s="114"/>
      <c r="HFE12" s="114"/>
      <c r="HFF12" s="114"/>
      <c r="HFG12" s="114"/>
      <c r="HFH12" s="114"/>
      <c r="HFI12" s="114"/>
      <c r="HFJ12" s="114"/>
      <c r="HFK12" s="114"/>
      <c r="HFL12" s="114"/>
      <c r="HFM12" s="114"/>
      <c r="HFN12" s="114"/>
      <c r="HFO12" s="114"/>
      <c r="HFP12" s="114"/>
      <c r="HFQ12" s="114"/>
      <c r="HFR12" s="114"/>
      <c r="HFS12" s="114"/>
      <c r="HFT12" s="114"/>
      <c r="HFU12" s="114"/>
      <c r="HFV12" s="114"/>
      <c r="HFW12" s="114"/>
      <c r="HFX12" s="114"/>
      <c r="HFY12" s="114"/>
      <c r="HFZ12" s="114"/>
      <c r="HGA12" s="114"/>
      <c r="HGB12" s="114"/>
      <c r="HGC12" s="114"/>
      <c r="HGD12" s="114"/>
      <c r="HGE12" s="114"/>
      <c r="HGF12" s="114"/>
      <c r="HGG12" s="114"/>
      <c r="HGH12" s="114"/>
      <c r="HGI12" s="114"/>
      <c r="HGJ12" s="114"/>
      <c r="HGK12" s="114"/>
      <c r="HGL12" s="114"/>
      <c r="HGM12" s="114"/>
      <c r="HGN12" s="114"/>
      <c r="HGO12" s="114"/>
      <c r="HGP12" s="114"/>
      <c r="HGQ12" s="114"/>
      <c r="HGR12" s="114"/>
      <c r="HGS12" s="114"/>
      <c r="HGT12" s="114"/>
      <c r="HGU12" s="114"/>
      <c r="HGV12" s="114"/>
      <c r="HGW12" s="114"/>
      <c r="HGX12" s="114"/>
      <c r="HGY12" s="114"/>
      <c r="HGZ12" s="114"/>
      <c r="HHA12" s="114"/>
      <c r="HHB12" s="114"/>
      <c r="HHC12" s="114"/>
      <c r="HHD12" s="114"/>
      <c r="HHE12" s="114"/>
      <c r="HHF12" s="114"/>
      <c r="HHG12" s="114"/>
      <c r="HHH12" s="114"/>
      <c r="HHI12" s="114"/>
      <c r="HHJ12" s="114"/>
      <c r="HHK12" s="114"/>
      <c r="HHL12" s="114"/>
      <c r="HHM12" s="114"/>
      <c r="HHN12" s="114"/>
      <c r="HHO12" s="114"/>
      <c r="HHP12" s="114"/>
      <c r="HHQ12" s="114"/>
      <c r="HHR12" s="114"/>
      <c r="HHS12" s="114"/>
      <c r="HHT12" s="114"/>
      <c r="HHU12" s="114"/>
      <c r="HHV12" s="114"/>
      <c r="HHW12" s="114"/>
      <c r="HHX12" s="114"/>
      <c r="HHY12" s="114"/>
      <c r="HHZ12" s="114"/>
      <c r="HIA12" s="114"/>
      <c r="HIB12" s="114"/>
      <c r="HIC12" s="114"/>
      <c r="HID12" s="114"/>
      <c r="HIE12" s="114"/>
      <c r="HIF12" s="114"/>
      <c r="HIG12" s="114"/>
      <c r="HIH12" s="114"/>
      <c r="HII12" s="114"/>
      <c r="HIJ12" s="114"/>
      <c r="HIK12" s="114"/>
      <c r="HIL12" s="114"/>
      <c r="HIM12" s="114"/>
      <c r="HIN12" s="114"/>
      <c r="HIO12" s="114"/>
      <c r="HIP12" s="114"/>
      <c r="HIQ12" s="114"/>
      <c r="HIR12" s="114"/>
      <c r="HIS12" s="114"/>
      <c r="HIT12" s="114"/>
      <c r="HIU12" s="114"/>
      <c r="HIV12" s="114"/>
      <c r="HIW12" s="114"/>
      <c r="HIX12" s="114"/>
      <c r="HIY12" s="114"/>
      <c r="HIZ12" s="114"/>
      <c r="HJA12" s="114"/>
      <c r="HJB12" s="114"/>
      <c r="HJC12" s="114"/>
      <c r="HJD12" s="114"/>
      <c r="HJE12" s="114"/>
      <c r="HJF12" s="114"/>
      <c r="HJG12" s="114"/>
      <c r="HJH12" s="114"/>
      <c r="HJI12" s="114"/>
      <c r="HJJ12" s="114"/>
      <c r="HJK12" s="114"/>
      <c r="HJL12" s="114"/>
      <c r="HJM12" s="114"/>
      <c r="HJN12" s="114"/>
      <c r="HJO12" s="114"/>
      <c r="HJP12" s="114"/>
      <c r="HJQ12" s="114"/>
      <c r="HJR12" s="114"/>
      <c r="HJS12" s="114"/>
      <c r="HJT12" s="114"/>
      <c r="HJU12" s="114"/>
      <c r="HJV12" s="114"/>
      <c r="HJW12" s="114"/>
      <c r="HJX12" s="114"/>
      <c r="HJY12" s="114"/>
      <c r="HJZ12" s="114"/>
      <c r="HKA12" s="114"/>
      <c r="HKB12" s="114"/>
      <c r="HKC12" s="114"/>
      <c r="HKD12" s="114"/>
      <c r="HKE12" s="114"/>
      <c r="HKF12" s="114"/>
      <c r="HKG12" s="114"/>
      <c r="HKH12" s="114"/>
      <c r="HKI12" s="114"/>
      <c r="HKJ12" s="114"/>
      <c r="HKK12" s="114"/>
      <c r="HKL12" s="114"/>
      <c r="HKM12" s="114"/>
      <c r="HKN12" s="114"/>
      <c r="HKO12" s="114"/>
      <c r="HKP12" s="114"/>
      <c r="HKQ12" s="114"/>
      <c r="HKR12" s="114"/>
      <c r="HKS12" s="114"/>
      <c r="HKT12" s="114"/>
      <c r="HKU12" s="114"/>
      <c r="HKV12" s="114"/>
      <c r="HKW12" s="114"/>
      <c r="HKX12" s="114"/>
      <c r="HKY12" s="114"/>
      <c r="HKZ12" s="114"/>
      <c r="HLA12" s="114"/>
      <c r="HLB12" s="114"/>
      <c r="HLC12" s="114"/>
      <c r="HLD12" s="114"/>
      <c r="HLE12" s="114"/>
      <c r="HLF12" s="114"/>
      <c r="HLG12" s="114"/>
      <c r="HLH12" s="114"/>
      <c r="HLI12" s="114"/>
      <c r="HLJ12" s="114"/>
      <c r="HLK12" s="114"/>
      <c r="HLL12" s="114"/>
      <c r="HLM12" s="114"/>
      <c r="HLN12" s="114"/>
      <c r="HLO12" s="114"/>
      <c r="HLP12" s="114"/>
      <c r="HLQ12" s="114"/>
      <c r="HLR12" s="114"/>
      <c r="HLS12" s="114"/>
      <c r="HLT12" s="114"/>
      <c r="HLU12" s="114"/>
      <c r="HLV12" s="114"/>
      <c r="HLW12" s="114"/>
      <c r="HLX12" s="114"/>
      <c r="HLY12" s="114"/>
      <c r="HLZ12" s="114"/>
      <c r="HMA12" s="114"/>
      <c r="HMB12" s="114"/>
      <c r="HMC12" s="114"/>
      <c r="HMD12" s="114"/>
      <c r="HME12" s="114"/>
      <c r="HMF12" s="114"/>
      <c r="HMG12" s="114"/>
      <c r="HMH12" s="114"/>
      <c r="HMI12" s="114"/>
      <c r="HMJ12" s="114"/>
      <c r="HMK12" s="114"/>
      <c r="HML12" s="114"/>
      <c r="HMM12" s="114"/>
      <c r="HMN12" s="114"/>
      <c r="HMO12" s="114"/>
      <c r="HMP12" s="114"/>
      <c r="HMQ12" s="114"/>
      <c r="HMR12" s="114"/>
      <c r="HMS12" s="114"/>
      <c r="HMT12" s="114"/>
      <c r="HMU12" s="114"/>
      <c r="HMV12" s="114"/>
      <c r="HMW12" s="114"/>
      <c r="HMX12" s="114"/>
      <c r="HMY12" s="114"/>
      <c r="HMZ12" s="114"/>
      <c r="HNA12" s="114"/>
      <c r="HNB12" s="114"/>
      <c r="HNC12" s="114"/>
      <c r="HND12" s="114"/>
      <c r="HNE12" s="114"/>
      <c r="HNF12" s="114"/>
      <c r="HNG12" s="114"/>
      <c r="HNH12" s="114"/>
      <c r="HNI12" s="114"/>
      <c r="HNJ12" s="114"/>
      <c r="HNK12" s="114"/>
      <c r="HNL12" s="114"/>
      <c r="HNM12" s="114"/>
      <c r="HNN12" s="114"/>
      <c r="HNO12" s="114"/>
      <c r="HNP12" s="114"/>
      <c r="HNQ12" s="114"/>
      <c r="HNR12" s="114"/>
      <c r="HNS12" s="114"/>
      <c r="HNT12" s="114"/>
      <c r="HNU12" s="114"/>
      <c r="HNV12" s="114"/>
      <c r="HNW12" s="114"/>
      <c r="HNX12" s="114"/>
      <c r="HNY12" s="114"/>
      <c r="HNZ12" s="114"/>
      <c r="HOA12" s="114"/>
      <c r="HOB12" s="114"/>
      <c r="HOC12" s="114"/>
      <c r="HOD12" s="114"/>
      <c r="HOE12" s="114"/>
      <c r="HOF12" s="114"/>
      <c r="HOG12" s="114"/>
      <c r="HOH12" s="114"/>
      <c r="HOI12" s="114"/>
      <c r="HOJ12" s="114"/>
      <c r="HOK12" s="114"/>
      <c r="HOL12" s="114"/>
      <c r="HOM12" s="114"/>
      <c r="HON12" s="114"/>
      <c r="HOO12" s="114"/>
      <c r="HOP12" s="114"/>
      <c r="HOQ12" s="114"/>
      <c r="HOR12" s="114"/>
      <c r="HOS12" s="114"/>
      <c r="HOT12" s="114"/>
      <c r="HOU12" s="114"/>
      <c r="HOV12" s="114"/>
      <c r="HOW12" s="114"/>
      <c r="HOX12" s="114"/>
      <c r="HOY12" s="114"/>
      <c r="HOZ12" s="114"/>
      <c r="HPA12" s="114"/>
      <c r="HPB12" s="114"/>
      <c r="HPC12" s="114"/>
      <c r="HPD12" s="114"/>
      <c r="HPE12" s="114"/>
      <c r="HPF12" s="114"/>
      <c r="HPG12" s="114"/>
      <c r="HPH12" s="114"/>
      <c r="HPI12" s="114"/>
      <c r="HPJ12" s="114"/>
      <c r="HPK12" s="114"/>
      <c r="HPL12" s="114"/>
      <c r="HPM12" s="114"/>
      <c r="HPN12" s="114"/>
      <c r="HPO12" s="114"/>
      <c r="HPP12" s="114"/>
      <c r="HPQ12" s="114"/>
      <c r="HPR12" s="114"/>
      <c r="HPS12" s="114"/>
      <c r="HPT12" s="114"/>
      <c r="HPU12" s="114"/>
      <c r="HPV12" s="114"/>
      <c r="HPW12" s="114"/>
      <c r="HPX12" s="114"/>
      <c r="HPY12" s="114"/>
      <c r="HPZ12" s="114"/>
      <c r="HQA12" s="114"/>
      <c r="HQB12" s="114"/>
      <c r="HQC12" s="114"/>
      <c r="HQD12" s="114"/>
      <c r="HQE12" s="114"/>
      <c r="HQF12" s="114"/>
      <c r="HQG12" s="114"/>
      <c r="HQH12" s="114"/>
      <c r="HQI12" s="114"/>
      <c r="HQJ12" s="114"/>
      <c r="HQK12" s="114"/>
      <c r="HQL12" s="114"/>
      <c r="HQM12" s="114"/>
      <c r="HQN12" s="114"/>
      <c r="HQO12" s="114"/>
      <c r="HQP12" s="114"/>
      <c r="HQQ12" s="114"/>
      <c r="HQR12" s="114"/>
      <c r="HQS12" s="114"/>
      <c r="HQT12" s="114"/>
      <c r="HQU12" s="114"/>
      <c r="HQV12" s="114"/>
      <c r="HQW12" s="114"/>
      <c r="HQX12" s="114"/>
      <c r="HQY12" s="114"/>
      <c r="HQZ12" s="114"/>
      <c r="HRA12" s="114"/>
      <c r="HRB12" s="114"/>
      <c r="HRC12" s="114"/>
      <c r="HRD12" s="114"/>
      <c r="HRE12" s="114"/>
      <c r="HRF12" s="114"/>
      <c r="HRG12" s="114"/>
      <c r="HRH12" s="114"/>
      <c r="HRI12" s="114"/>
      <c r="HRJ12" s="114"/>
      <c r="HRK12" s="114"/>
      <c r="HRL12" s="114"/>
      <c r="HRM12" s="114"/>
      <c r="HRN12" s="114"/>
      <c r="HRO12" s="114"/>
      <c r="HRP12" s="114"/>
      <c r="HRQ12" s="114"/>
      <c r="HRR12" s="114"/>
      <c r="HRS12" s="114"/>
      <c r="HRT12" s="114"/>
      <c r="HRU12" s="114"/>
      <c r="HRV12" s="114"/>
      <c r="HRW12" s="114"/>
      <c r="HRX12" s="114"/>
      <c r="HRY12" s="114"/>
      <c r="HRZ12" s="114"/>
      <c r="HSA12" s="114"/>
      <c r="HSB12" s="114"/>
      <c r="HSC12" s="114"/>
      <c r="HSD12" s="114"/>
      <c r="HSE12" s="114"/>
      <c r="HSF12" s="114"/>
      <c r="HSG12" s="114"/>
      <c r="HSH12" s="114"/>
      <c r="HSI12" s="114"/>
      <c r="HSJ12" s="114"/>
      <c r="HSK12" s="114"/>
      <c r="HSL12" s="114"/>
      <c r="HSM12" s="114"/>
      <c r="HSN12" s="114"/>
      <c r="HSO12" s="114"/>
      <c r="HSP12" s="114"/>
      <c r="HSQ12" s="114"/>
      <c r="HSR12" s="114"/>
      <c r="HSS12" s="114"/>
      <c r="HST12" s="114"/>
      <c r="HSU12" s="114"/>
      <c r="HSV12" s="114"/>
      <c r="HSW12" s="114"/>
      <c r="HSX12" s="114"/>
      <c r="HSY12" s="114"/>
      <c r="HSZ12" s="114"/>
      <c r="HTA12" s="114"/>
      <c r="HTB12" s="114"/>
      <c r="HTC12" s="114"/>
      <c r="HTD12" s="114"/>
      <c r="HTE12" s="114"/>
      <c r="HTF12" s="114"/>
      <c r="HTG12" s="114"/>
      <c r="HTH12" s="114"/>
      <c r="HTI12" s="114"/>
      <c r="HTJ12" s="114"/>
      <c r="HTK12" s="114"/>
      <c r="HTL12" s="114"/>
      <c r="HTM12" s="114"/>
      <c r="HTN12" s="114"/>
      <c r="HTO12" s="114"/>
      <c r="HTP12" s="114"/>
      <c r="HTQ12" s="114"/>
      <c r="HTR12" s="114"/>
      <c r="HTS12" s="114"/>
      <c r="HTT12" s="114"/>
      <c r="HTU12" s="114"/>
      <c r="HTV12" s="114"/>
      <c r="HTW12" s="114"/>
      <c r="HTX12" s="114"/>
      <c r="HTY12" s="114"/>
      <c r="HTZ12" s="114"/>
      <c r="HUA12" s="114"/>
      <c r="HUB12" s="114"/>
      <c r="HUC12" s="114"/>
      <c r="HUD12" s="114"/>
      <c r="HUE12" s="114"/>
      <c r="HUF12" s="114"/>
      <c r="HUG12" s="114"/>
      <c r="HUH12" s="114"/>
      <c r="HUI12" s="114"/>
      <c r="HUJ12" s="114"/>
      <c r="HUK12" s="114"/>
      <c r="HUL12" s="114"/>
      <c r="HUM12" s="114"/>
      <c r="HUN12" s="114"/>
      <c r="HUO12" s="114"/>
      <c r="HUP12" s="114"/>
      <c r="HUQ12" s="114"/>
      <c r="HUR12" s="114"/>
      <c r="HUS12" s="114"/>
      <c r="HUT12" s="114"/>
      <c r="HUU12" s="114"/>
      <c r="HUV12" s="114"/>
      <c r="HUW12" s="114"/>
      <c r="HUX12" s="114"/>
      <c r="HUY12" s="114"/>
      <c r="HUZ12" s="114"/>
      <c r="HVA12" s="114"/>
      <c r="HVB12" s="114"/>
      <c r="HVC12" s="114"/>
      <c r="HVD12" s="114"/>
      <c r="HVE12" s="114"/>
      <c r="HVF12" s="114"/>
      <c r="HVG12" s="114"/>
      <c r="HVH12" s="114"/>
      <c r="HVI12" s="114"/>
      <c r="HVJ12" s="114"/>
      <c r="HVK12" s="114"/>
      <c r="HVL12" s="114"/>
      <c r="HVM12" s="114"/>
      <c r="HVN12" s="114"/>
      <c r="HVO12" s="114"/>
      <c r="HVP12" s="114"/>
      <c r="HVQ12" s="114"/>
      <c r="HVR12" s="114"/>
      <c r="HVS12" s="114"/>
      <c r="HVT12" s="114"/>
      <c r="HVU12" s="114"/>
      <c r="HVV12" s="114"/>
      <c r="HVW12" s="114"/>
      <c r="HVX12" s="114"/>
      <c r="HVY12" s="114"/>
      <c r="HVZ12" s="114"/>
      <c r="HWA12" s="114"/>
      <c r="HWB12" s="114"/>
      <c r="HWC12" s="114"/>
      <c r="HWD12" s="114"/>
      <c r="HWE12" s="114"/>
      <c r="HWF12" s="114"/>
      <c r="HWG12" s="114"/>
      <c r="HWH12" s="114"/>
      <c r="HWI12" s="114"/>
      <c r="HWJ12" s="114"/>
      <c r="HWK12" s="114"/>
      <c r="HWL12" s="114"/>
      <c r="HWM12" s="114"/>
      <c r="HWN12" s="114"/>
      <c r="HWO12" s="114"/>
      <c r="HWP12" s="114"/>
      <c r="HWQ12" s="114"/>
      <c r="HWR12" s="114"/>
      <c r="HWS12" s="114"/>
      <c r="HWT12" s="114"/>
      <c r="HWU12" s="114"/>
      <c r="HWV12" s="114"/>
      <c r="HWW12" s="114"/>
      <c r="HWX12" s="114"/>
      <c r="HWY12" s="114"/>
      <c r="HWZ12" s="114"/>
      <c r="HXA12" s="114"/>
      <c r="HXB12" s="114"/>
      <c r="HXC12" s="114"/>
      <c r="HXD12" s="114"/>
      <c r="HXE12" s="114"/>
      <c r="HXF12" s="114"/>
      <c r="HXG12" s="114"/>
      <c r="HXH12" s="114"/>
      <c r="HXI12" s="114"/>
      <c r="HXJ12" s="114"/>
      <c r="HXK12" s="114"/>
      <c r="HXL12" s="114"/>
      <c r="HXM12" s="114"/>
      <c r="HXN12" s="114"/>
      <c r="HXO12" s="114"/>
      <c r="HXP12" s="114"/>
      <c r="HXQ12" s="114"/>
      <c r="HXR12" s="114"/>
      <c r="HXS12" s="114"/>
      <c r="HXT12" s="114"/>
      <c r="HXU12" s="114"/>
      <c r="HXV12" s="114"/>
      <c r="HXW12" s="114"/>
      <c r="HXX12" s="114"/>
      <c r="HXY12" s="114"/>
      <c r="HXZ12" s="114"/>
      <c r="HYA12" s="114"/>
      <c r="HYB12" s="114"/>
      <c r="HYC12" s="114"/>
      <c r="HYD12" s="114"/>
      <c r="HYE12" s="114"/>
      <c r="HYF12" s="114"/>
      <c r="HYG12" s="114"/>
      <c r="HYH12" s="114"/>
      <c r="HYI12" s="114"/>
      <c r="HYJ12" s="114"/>
      <c r="HYK12" s="114"/>
      <c r="HYL12" s="114"/>
      <c r="HYM12" s="114"/>
      <c r="HYN12" s="114"/>
      <c r="HYO12" s="114"/>
      <c r="HYP12" s="114"/>
      <c r="HYQ12" s="114"/>
      <c r="HYR12" s="114"/>
      <c r="HYS12" s="114"/>
      <c r="HYT12" s="114"/>
      <c r="HYU12" s="114"/>
      <c r="HYV12" s="114"/>
      <c r="HYW12" s="114"/>
      <c r="HYX12" s="114"/>
      <c r="HYY12" s="114"/>
      <c r="HYZ12" s="114"/>
      <c r="HZA12" s="114"/>
      <c r="HZB12" s="114"/>
      <c r="HZC12" s="114"/>
      <c r="HZD12" s="114"/>
      <c r="HZE12" s="114"/>
      <c r="HZF12" s="114"/>
      <c r="HZG12" s="114"/>
      <c r="HZH12" s="114"/>
      <c r="HZI12" s="114"/>
      <c r="HZJ12" s="114"/>
      <c r="HZK12" s="114"/>
      <c r="HZL12" s="114"/>
      <c r="HZM12" s="114"/>
      <c r="HZN12" s="114"/>
      <c r="HZO12" s="114"/>
      <c r="HZP12" s="114"/>
      <c r="HZQ12" s="114"/>
      <c r="HZR12" s="114"/>
      <c r="HZS12" s="114"/>
      <c r="HZT12" s="114"/>
      <c r="HZU12" s="114"/>
      <c r="HZV12" s="114"/>
      <c r="HZW12" s="114"/>
      <c r="HZX12" s="114"/>
      <c r="HZY12" s="114"/>
      <c r="HZZ12" s="114"/>
      <c r="IAA12" s="114"/>
      <c r="IAB12" s="114"/>
      <c r="IAC12" s="114"/>
      <c r="IAD12" s="114"/>
      <c r="IAE12" s="114"/>
      <c r="IAF12" s="114"/>
      <c r="IAG12" s="114"/>
      <c r="IAH12" s="114"/>
      <c r="IAI12" s="114"/>
      <c r="IAJ12" s="114"/>
      <c r="IAK12" s="114"/>
      <c r="IAL12" s="114"/>
      <c r="IAM12" s="114"/>
      <c r="IAN12" s="114"/>
      <c r="IAO12" s="114"/>
      <c r="IAP12" s="114"/>
      <c r="IAQ12" s="114"/>
      <c r="IAR12" s="114"/>
      <c r="IAS12" s="114"/>
      <c r="IAT12" s="114"/>
      <c r="IAU12" s="114"/>
      <c r="IAV12" s="114"/>
      <c r="IAW12" s="114"/>
      <c r="IAX12" s="114"/>
      <c r="IAY12" s="114"/>
      <c r="IAZ12" s="114"/>
      <c r="IBA12" s="114"/>
      <c r="IBB12" s="114"/>
      <c r="IBC12" s="114"/>
      <c r="IBD12" s="114"/>
      <c r="IBE12" s="114"/>
      <c r="IBF12" s="114"/>
      <c r="IBG12" s="114"/>
      <c r="IBH12" s="114"/>
      <c r="IBI12" s="114"/>
      <c r="IBJ12" s="114"/>
      <c r="IBK12" s="114"/>
      <c r="IBL12" s="114"/>
      <c r="IBM12" s="114"/>
      <c r="IBN12" s="114"/>
      <c r="IBO12" s="114"/>
      <c r="IBP12" s="114"/>
      <c r="IBQ12" s="114"/>
      <c r="IBR12" s="114"/>
      <c r="IBS12" s="114"/>
      <c r="IBT12" s="114"/>
      <c r="IBU12" s="114"/>
      <c r="IBV12" s="114"/>
      <c r="IBW12" s="114"/>
      <c r="IBX12" s="114"/>
      <c r="IBY12" s="114"/>
      <c r="IBZ12" s="114"/>
      <c r="ICA12" s="114"/>
      <c r="ICB12" s="114"/>
      <c r="ICC12" s="114"/>
      <c r="ICD12" s="114"/>
      <c r="ICE12" s="114"/>
      <c r="ICF12" s="114"/>
      <c r="ICG12" s="114"/>
      <c r="ICH12" s="114"/>
      <c r="ICI12" s="114"/>
      <c r="ICJ12" s="114"/>
      <c r="ICK12" s="114"/>
      <c r="ICL12" s="114"/>
      <c r="ICM12" s="114"/>
      <c r="ICN12" s="114"/>
      <c r="ICO12" s="114"/>
      <c r="ICP12" s="114"/>
      <c r="ICQ12" s="114"/>
      <c r="ICR12" s="114"/>
      <c r="ICS12" s="114"/>
      <c r="ICT12" s="114"/>
      <c r="ICU12" s="114"/>
      <c r="ICV12" s="114"/>
      <c r="ICW12" s="114"/>
      <c r="ICX12" s="114"/>
      <c r="ICY12" s="114"/>
      <c r="ICZ12" s="114"/>
      <c r="IDA12" s="114"/>
      <c r="IDB12" s="114"/>
      <c r="IDC12" s="114"/>
      <c r="IDD12" s="114"/>
      <c r="IDE12" s="114"/>
      <c r="IDF12" s="114"/>
      <c r="IDG12" s="114"/>
      <c r="IDH12" s="114"/>
      <c r="IDI12" s="114"/>
      <c r="IDJ12" s="114"/>
      <c r="IDK12" s="114"/>
      <c r="IDL12" s="114"/>
      <c r="IDM12" s="114"/>
      <c r="IDN12" s="114"/>
      <c r="IDO12" s="114"/>
      <c r="IDP12" s="114"/>
      <c r="IDQ12" s="114"/>
      <c r="IDR12" s="114"/>
      <c r="IDS12" s="114"/>
      <c r="IDT12" s="114"/>
      <c r="IDU12" s="114"/>
      <c r="IDV12" s="114"/>
      <c r="IDW12" s="114"/>
      <c r="IDX12" s="114"/>
      <c r="IDY12" s="114"/>
      <c r="IDZ12" s="114"/>
      <c r="IEA12" s="114"/>
      <c r="IEB12" s="114"/>
      <c r="IEC12" s="114"/>
      <c r="IED12" s="114"/>
      <c r="IEE12" s="114"/>
      <c r="IEF12" s="114"/>
      <c r="IEG12" s="114"/>
      <c r="IEH12" s="114"/>
      <c r="IEI12" s="114"/>
      <c r="IEJ12" s="114"/>
      <c r="IEK12" s="114"/>
      <c r="IEL12" s="114"/>
      <c r="IEM12" s="114"/>
      <c r="IEN12" s="114"/>
      <c r="IEO12" s="114"/>
      <c r="IEP12" s="114"/>
      <c r="IEQ12" s="114"/>
      <c r="IER12" s="114"/>
      <c r="IES12" s="114"/>
      <c r="IET12" s="114"/>
      <c r="IEU12" s="114"/>
      <c r="IEV12" s="114"/>
      <c r="IEW12" s="114"/>
      <c r="IEX12" s="114"/>
      <c r="IEY12" s="114"/>
      <c r="IEZ12" s="114"/>
      <c r="IFA12" s="114"/>
      <c r="IFB12" s="114"/>
      <c r="IFC12" s="114"/>
      <c r="IFD12" s="114"/>
      <c r="IFE12" s="114"/>
      <c r="IFF12" s="114"/>
      <c r="IFG12" s="114"/>
      <c r="IFH12" s="114"/>
      <c r="IFI12" s="114"/>
      <c r="IFJ12" s="114"/>
      <c r="IFK12" s="114"/>
      <c r="IFL12" s="114"/>
      <c r="IFM12" s="114"/>
      <c r="IFN12" s="114"/>
      <c r="IFO12" s="114"/>
      <c r="IFP12" s="114"/>
      <c r="IFQ12" s="114"/>
      <c r="IFR12" s="114"/>
      <c r="IFS12" s="114"/>
      <c r="IFT12" s="114"/>
      <c r="IFU12" s="114"/>
      <c r="IFV12" s="114"/>
      <c r="IFW12" s="114"/>
      <c r="IFX12" s="114"/>
      <c r="IFY12" s="114"/>
      <c r="IFZ12" s="114"/>
      <c r="IGA12" s="114"/>
      <c r="IGB12" s="114"/>
      <c r="IGC12" s="114"/>
      <c r="IGD12" s="114"/>
      <c r="IGE12" s="114"/>
      <c r="IGF12" s="114"/>
      <c r="IGG12" s="114"/>
      <c r="IGH12" s="114"/>
      <c r="IGI12" s="114"/>
      <c r="IGJ12" s="114"/>
      <c r="IGK12" s="114"/>
      <c r="IGL12" s="114"/>
      <c r="IGM12" s="114"/>
      <c r="IGN12" s="114"/>
      <c r="IGO12" s="114"/>
      <c r="IGP12" s="114"/>
      <c r="IGQ12" s="114"/>
      <c r="IGR12" s="114"/>
      <c r="IGS12" s="114"/>
      <c r="IGT12" s="114"/>
      <c r="IGU12" s="114"/>
      <c r="IGV12" s="114"/>
      <c r="IGW12" s="114"/>
      <c r="IGX12" s="114"/>
      <c r="IGY12" s="114"/>
      <c r="IGZ12" s="114"/>
      <c r="IHA12" s="114"/>
      <c r="IHB12" s="114"/>
      <c r="IHC12" s="114"/>
      <c r="IHD12" s="114"/>
      <c r="IHE12" s="114"/>
      <c r="IHF12" s="114"/>
      <c r="IHG12" s="114"/>
      <c r="IHH12" s="114"/>
      <c r="IHI12" s="114"/>
      <c r="IHJ12" s="114"/>
      <c r="IHK12" s="114"/>
      <c r="IHL12" s="114"/>
      <c r="IHM12" s="114"/>
      <c r="IHN12" s="114"/>
      <c r="IHO12" s="114"/>
      <c r="IHP12" s="114"/>
      <c r="IHQ12" s="114"/>
      <c r="IHR12" s="114"/>
      <c r="IHS12" s="114"/>
      <c r="IHT12" s="114"/>
      <c r="IHU12" s="114"/>
      <c r="IHV12" s="114"/>
      <c r="IHW12" s="114"/>
      <c r="IHX12" s="114"/>
      <c r="IHY12" s="114"/>
      <c r="IHZ12" s="114"/>
      <c r="IIA12" s="114"/>
      <c r="IIB12" s="114"/>
      <c r="IIC12" s="114"/>
      <c r="IID12" s="114"/>
      <c r="IIE12" s="114"/>
      <c r="IIF12" s="114"/>
      <c r="IIG12" s="114"/>
      <c r="IIH12" s="114"/>
      <c r="III12" s="114"/>
      <c r="IIJ12" s="114"/>
      <c r="IIK12" s="114"/>
      <c r="IIL12" s="114"/>
      <c r="IIM12" s="114"/>
      <c r="IIN12" s="114"/>
      <c r="IIO12" s="114"/>
      <c r="IIP12" s="114"/>
      <c r="IIQ12" s="114"/>
      <c r="IIR12" s="114"/>
      <c r="IIS12" s="114"/>
      <c r="IIT12" s="114"/>
      <c r="IIU12" s="114"/>
      <c r="IIV12" s="114"/>
      <c r="IIW12" s="114"/>
      <c r="IIX12" s="114"/>
      <c r="IIY12" s="114"/>
      <c r="IIZ12" s="114"/>
      <c r="IJA12" s="114"/>
      <c r="IJB12" s="114"/>
      <c r="IJC12" s="114"/>
      <c r="IJD12" s="114"/>
      <c r="IJE12" s="114"/>
      <c r="IJF12" s="114"/>
      <c r="IJG12" s="114"/>
      <c r="IJH12" s="114"/>
      <c r="IJI12" s="114"/>
      <c r="IJJ12" s="114"/>
      <c r="IJK12" s="114"/>
      <c r="IJL12" s="114"/>
      <c r="IJM12" s="114"/>
      <c r="IJN12" s="114"/>
      <c r="IJO12" s="114"/>
      <c r="IJP12" s="114"/>
      <c r="IJQ12" s="114"/>
      <c r="IJR12" s="114"/>
      <c r="IJS12" s="114"/>
      <c r="IJT12" s="114"/>
      <c r="IJU12" s="114"/>
      <c r="IJV12" s="114"/>
      <c r="IJW12" s="114"/>
      <c r="IJX12" s="114"/>
      <c r="IJY12" s="114"/>
      <c r="IJZ12" s="114"/>
      <c r="IKA12" s="114"/>
      <c r="IKB12" s="114"/>
      <c r="IKC12" s="114"/>
      <c r="IKD12" s="114"/>
      <c r="IKE12" s="114"/>
      <c r="IKF12" s="114"/>
      <c r="IKG12" s="114"/>
      <c r="IKH12" s="114"/>
      <c r="IKI12" s="114"/>
      <c r="IKJ12" s="114"/>
      <c r="IKK12" s="114"/>
      <c r="IKL12" s="114"/>
      <c r="IKM12" s="114"/>
      <c r="IKN12" s="114"/>
      <c r="IKO12" s="114"/>
      <c r="IKP12" s="114"/>
      <c r="IKQ12" s="114"/>
      <c r="IKR12" s="114"/>
      <c r="IKS12" s="114"/>
      <c r="IKT12" s="114"/>
      <c r="IKU12" s="114"/>
      <c r="IKV12" s="114"/>
      <c r="IKW12" s="114"/>
      <c r="IKX12" s="114"/>
      <c r="IKY12" s="114"/>
      <c r="IKZ12" s="114"/>
      <c r="ILA12" s="114"/>
      <c r="ILB12" s="114"/>
      <c r="ILC12" s="114"/>
      <c r="ILD12" s="114"/>
      <c r="ILE12" s="114"/>
      <c r="ILF12" s="114"/>
      <c r="ILG12" s="114"/>
      <c r="ILH12" s="114"/>
      <c r="ILI12" s="114"/>
      <c r="ILJ12" s="114"/>
      <c r="ILK12" s="114"/>
      <c r="ILL12" s="114"/>
      <c r="ILM12" s="114"/>
      <c r="ILN12" s="114"/>
      <c r="ILO12" s="114"/>
      <c r="ILP12" s="114"/>
      <c r="ILQ12" s="114"/>
      <c r="ILR12" s="114"/>
      <c r="ILS12" s="114"/>
      <c r="ILT12" s="114"/>
      <c r="ILU12" s="114"/>
      <c r="ILV12" s="114"/>
      <c r="ILW12" s="114"/>
      <c r="ILX12" s="114"/>
      <c r="ILY12" s="114"/>
      <c r="ILZ12" s="114"/>
      <c r="IMA12" s="114"/>
      <c r="IMB12" s="114"/>
      <c r="IMC12" s="114"/>
      <c r="IMD12" s="114"/>
      <c r="IME12" s="114"/>
      <c r="IMF12" s="114"/>
      <c r="IMG12" s="114"/>
      <c r="IMH12" s="114"/>
      <c r="IMI12" s="114"/>
      <c r="IMJ12" s="114"/>
      <c r="IMK12" s="114"/>
      <c r="IML12" s="114"/>
      <c r="IMM12" s="114"/>
      <c r="IMN12" s="114"/>
      <c r="IMO12" s="114"/>
      <c r="IMP12" s="114"/>
      <c r="IMQ12" s="114"/>
      <c r="IMR12" s="114"/>
      <c r="IMS12" s="114"/>
      <c r="IMT12" s="114"/>
      <c r="IMU12" s="114"/>
      <c r="IMV12" s="114"/>
      <c r="IMW12" s="114"/>
      <c r="IMX12" s="114"/>
      <c r="IMY12" s="114"/>
      <c r="IMZ12" s="114"/>
      <c r="INA12" s="114"/>
      <c r="INB12" s="114"/>
      <c r="INC12" s="114"/>
      <c r="IND12" s="114"/>
      <c r="INE12" s="114"/>
      <c r="INF12" s="114"/>
      <c r="ING12" s="114"/>
      <c r="INH12" s="114"/>
      <c r="INI12" s="114"/>
      <c r="INJ12" s="114"/>
      <c r="INK12" s="114"/>
      <c r="INL12" s="114"/>
      <c r="INM12" s="114"/>
      <c r="INN12" s="114"/>
      <c r="INO12" s="114"/>
      <c r="INP12" s="114"/>
      <c r="INQ12" s="114"/>
      <c r="INR12" s="114"/>
      <c r="INS12" s="114"/>
      <c r="INT12" s="114"/>
      <c r="INU12" s="114"/>
      <c r="INV12" s="114"/>
      <c r="INW12" s="114"/>
      <c r="INX12" s="114"/>
      <c r="INY12" s="114"/>
      <c r="INZ12" s="114"/>
      <c r="IOA12" s="114"/>
      <c r="IOB12" s="114"/>
      <c r="IOC12" s="114"/>
      <c r="IOD12" s="114"/>
      <c r="IOE12" s="114"/>
      <c r="IOF12" s="114"/>
      <c r="IOG12" s="114"/>
      <c r="IOH12" s="114"/>
      <c r="IOI12" s="114"/>
      <c r="IOJ12" s="114"/>
      <c r="IOK12" s="114"/>
      <c r="IOL12" s="114"/>
      <c r="IOM12" s="114"/>
      <c r="ION12" s="114"/>
      <c r="IOO12" s="114"/>
      <c r="IOP12" s="114"/>
      <c r="IOQ12" s="114"/>
      <c r="IOR12" s="114"/>
      <c r="IOS12" s="114"/>
      <c r="IOT12" s="114"/>
      <c r="IOU12" s="114"/>
      <c r="IOV12" s="114"/>
      <c r="IOW12" s="114"/>
      <c r="IOX12" s="114"/>
      <c r="IOY12" s="114"/>
      <c r="IOZ12" s="114"/>
      <c r="IPA12" s="114"/>
      <c r="IPB12" s="114"/>
      <c r="IPC12" s="114"/>
      <c r="IPD12" s="114"/>
      <c r="IPE12" s="114"/>
      <c r="IPF12" s="114"/>
      <c r="IPG12" s="114"/>
      <c r="IPH12" s="114"/>
      <c r="IPI12" s="114"/>
      <c r="IPJ12" s="114"/>
      <c r="IPK12" s="114"/>
      <c r="IPL12" s="114"/>
      <c r="IPM12" s="114"/>
      <c r="IPN12" s="114"/>
      <c r="IPO12" s="114"/>
      <c r="IPP12" s="114"/>
      <c r="IPQ12" s="114"/>
      <c r="IPR12" s="114"/>
      <c r="IPS12" s="114"/>
      <c r="IPT12" s="114"/>
      <c r="IPU12" s="114"/>
      <c r="IPV12" s="114"/>
      <c r="IPW12" s="114"/>
      <c r="IPX12" s="114"/>
      <c r="IPY12" s="114"/>
      <c r="IPZ12" s="114"/>
      <c r="IQA12" s="114"/>
      <c r="IQB12" s="114"/>
      <c r="IQC12" s="114"/>
      <c r="IQD12" s="114"/>
      <c r="IQE12" s="114"/>
      <c r="IQF12" s="114"/>
      <c r="IQG12" s="114"/>
      <c r="IQH12" s="114"/>
      <c r="IQI12" s="114"/>
      <c r="IQJ12" s="114"/>
      <c r="IQK12" s="114"/>
      <c r="IQL12" s="114"/>
      <c r="IQM12" s="114"/>
      <c r="IQN12" s="114"/>
      <c r="IQO12" s="114"/>
      <c r="IQP12" s="114"/>
      <c r="IQQ12" s="114"/>
      <c r="IQR12" s="114"/>
      <c r="IQS12" s="114"/>
      <c r="IQT12" s="114"/>
      <c r="IQU12" s="114"/>
      <c r="IQV12" s="114"/>
      <c r="IQW12" s="114"/>
      <c r="IQX12" s="114"/>
      <c r="IQY12" s="114"/>
      <c r="IQZ12" s="114"/>
      <c r="IRA12" s="114"/>
      <c r="IRB12" s="114"/>
      <c r="IRC12" s="114"/>
      <c r="IRD12" s="114"/>
      <c r="IRE12" s="114"/>
      <c r="IRF12" s="114"/>
      <c r="IRG12" s="114"/>
      <c r="IRH12" s="114"/>
      <c r="IRI12" s="114"/>
      <c r="IRJ12" s="114"/>
      <c r="IRK12" s="114"/>
      <c r="IRL12" s="114"/>
      <c r="IRM12" s="114"/>
      <c r="IRN12" s="114"/>
      <c r="IRO12" s="114"/>
      <c r="IRP12" s="114"/>
      <c r="IRQ12" s="114"/>
      <c r="IRR12" s="114"/>
      <c r="IRS12" s="114"/>
      <c r="IRT12" s="114"/>
      <c r="IRU12" s="114"/>
      <c r="IRV12" s="114"/>
      <c r="IRW12" s="114"/>
      <c r="IRX12" s="114"/>
      <c r="IRY12" s="114"/>
      <c r="IRZ12" s="114"/>
      <c r="ISA12" s="114"/>
      <c r="ISB12" s="114"/>
      <c r="ISC12" s="114"/>
      <c r="ISD12" s="114"/>
      <c r="ISE12" s="114"/>
      <c r="ISF12" s="114"/>
      <c r="ISG12" s="114"/>
      <c r="ISH12" s="114"/>
      <c r="ISI12" s="114"/>
      <c r="ISJ12" s="114"/>
      <c r="ISK12" s="114"/>
      <c r="ISL12" s="114"/>
      <c r="ISM12" s="114"/>
      <c r="ISN12" s="114"/>
      <c r="ISO12" s="114"/>
      <c r="ISP12" s="114"/>
      <c r="ISQ12" s="114"/>
      <c r="ISR12" s="114"/>
      <c r="ISS12" s="114"/>
      <c r="IST12" s="114"/>
      <c r="ISU12" s="114"/>
      <c r="ISV12" s="114"/>
      <c r="ISW12" s="114"/>
      <c r="ISX12" s="114"/>
      <c r="ISY12" s="114"/>
      <c r="ISZ12" s="114"/>
      <c r="ITA12" s="114"/>
      <c r="ITB12" s="114"/>
      <c r="ITC12" s="114"/>
      <c r="ITD12" s="114"/>
      <c r="ITE12" s="114"/>
      <c r="ITF12" s="114"/>
      <c r="ITG12" s="114"/>
      <c r="ITH12" s="114"/>
      <c r="ITI12" s="114"/>
      <c r="ITJ12" s="114"/>
      <c r="ITK12" s="114"/>
      <c r="ITL12" s="114"/>
      <c r="ITM12" s="114"/>
      <c r="ITN12" s="114"/>
      <c r="ITO12" s="114"/>
      <c r="ITP12" s="114"/>
      <c r="ITQ12" s="114"/>
      <c r="ITR12" s="114"/>
      <c r="ITS12" s="114"/>
      <c r="ITT12" s="114"/>
      <c r="ITU12" s="114"/>
      <c r="ITV12" s="114"/>
      <c r="ITW12" s="114"/>
      <c r="ITX12" s="114"/>
      <c r="ITY12" s="114"/>
      <c r="ITZ12" s="114"/>
      <c r="IUA12" s="114"/>
      <c r="IUB12" s="114"/>
      <c r="IUC12" s="114"/>
      <c r="IUD12" s="114"/>
      <c r="IUE12" s="114"/>
      <c r="IUF12" s="114"/>
      <c r="IUG12" s="114"/>
      <c r="IUH12" s="114"/>
      <c r="IUI12" s="114"/>
      <c r="IUJ12" s="114"/>
      <c r="IUK12" s="114"/>
      <c r="IUL12" s="114"/>
      <c r="IUM12" s="114"/>
      <c r="IUN12" s="114"/>
      <c r="IUO12" s="114"/>
      <c r="IUP12" s="114"/>
      <c r="IUQ12" s="114"/>
      <c r="IUR12" s="114"/>
      <c r="IUS12" s="114"/>
      <c r="IUT12" s="114"/>
      <c r="IUU12" s="114"/>
      <c r="IUV12" s="114"/>
      <c r="IUW12" s="114"/>
      <c r="IUX12" s="114"/>
      <c r="IUY12" s="114"/>
      <c r="IUZ12" s="114"/>
      <c r="IVA12" s="114"/>
      <c r="IVB12" s="114"/>
      <c r="IVC12" s="114"/>
      <c r="IVD12" s="114"/>
      <c r="IVE12" s="114"/>
      <c r="IVF12" s="114"/>
      <c r="IVG12" s="114"/>
      <c r="IVH12" s="114"/>
      <c r="IVI12" s="114"/>
      <c r="IVJ12" s="114"/>
      <c r="IVK12" s="114"/>
      <c r="IVL12" s="114"/>
      <c r="IVM12" s="114"/>
      <c r="IVN12" s="114"/>
      <c r="IVO12" s="114"/>
      <c r="IVP12" s="114"/>
      <c r="IVQ12" s="114"/>
      <c r="IVR12" s="114"/>
      <c r="IVS12" s="114"/>
      <c r="IVT12" s="114"/>
      <c r="IVU12" s="114"/>
      <c r="IVV12" s="114"/>
      <c r="IVW12" s="114"/>
      <c r="IVX12" s="114"/>
      <c r="IVY12" s="114"/>
      <c r="IVZ12" s="114"/>
      <c r="IWA12" s="114"/>
      <c r="IWB12" s="114"/>
      <c r="IWC12" s="114"/>
      <c r="IWD12" s="114"/>
      <c r="IWE12" s="114"/>
      <c r="IWF12" s="114"/>
      <c r="IWG12" s="114"/>
      <c r="IWH12" s="114"/>
      <c r="IWI12" s="114"/>
      <c r="IWJ12" s="114"/>
      <c r="IWK12" s="114"/>
      <c r="IWL12" s="114"/>
      <c r="IWM12" s="114"/>
      <c r="IWN12" s="114"/>
      <c r="IWO12" s="114"/>
      <c r="IWP12" s="114"/>
      <c r="IWQ12" s="114"/>
      <c r="IWR12" s="114"/>
      <c r="IWS12" s="114"/>
      <c r="IWT12" s="114"/>
      <c r="IWU12" s="114"/>
      <c r="IWV12" s="114"/>
      <c r="IWW12" s="114"/>
      <c r="IWX12" s="114"/>
      <c r="IWY12" s="114"/>
      <c r="IWZ12" s="114"/>
      <c r="IXA12" s="114"/>
      <c r="IXB12" s="114"/>
      <c r="IXC12" s="114"/>
      <c r="IXD12" s="114"/>
      <c r="IXE12" s="114"/>
      <c r="IXF12" s="114"/>
      <c r="IXG12" s="114"/>
      <c r="IXH12" s="114"/>
      <c r="IXI12" s="114"/>
      <c r="IXJ12" s="114"/>
      <c r="IXK12" s="114"/>
      <c r="IXL12" s="114"/>
      <c r="IXM12" s="114"/>
      <c r="IXN12" s="114"/>
      <c r="IXO12" s="114"/>
      <c r="IXP12" s="114"/>
      <c r="IXQ12" s="114"/>
      <c r="IXR12" s="114"/>
      <c r="IXS12" s="114"/>
      <c r="IXT12" s="114"/>
      <c r="IXU12" s="114"/>
      <c r="IXV12" s="114"/>
      <c r="IXW12" s="114"/>
      <c r="IXX12" s="114"/>
      <c r="IXY12" s="114"/>
      <c r="IXZ12" s="114"/>
      <c r="IYA12" s="114"/>
      <c r="IYB12" s="114"/>
      <c r="IYC12" s="114"/>
      <c r="IYD12" s="114"/>
      <c r="IYE12" s="114"/>
      <c r="IYF12" s="114"/>
      <c r="IYG12" s="114"/>
      <c r="IYH12" s="114"/>
      <c r="IYI12" s="114"/>
      <c r="IYJ12" s="114"/>
      <c r="IYK12" s="114"/>
      <c r="IYL12" s="114"/>
      <c r="IYM12" s="114"/>
      <c r="IYN12" s="114"/>
      <c r="IYO12" s="114"/>
      <c r="IYP12" s="114"/>
      <c r="IYQ12" s="114"/>
      <c r="IYR12" s="114"/>
      <c r="IYS12" s="114"/>
      <c r="IYT12" s="114"/>
      <c r="IYU12" s="114"/>
      <c r="IYV12" s="114"/>
      <c r="IYW12" s="114"/>
      <c r="IYX12" s="114"/>
      <c r="IYY12" s="114"/>
      <c r="IYZ12" s="114"/>
      <c r="IZA12" s="114"/>
      <c r="IZB12" s="114"/>
      <c r="IZC12" s="114"/>
      <c r="IZD12" s="114"/>
      <c r="IZE12" s="114"/>
      <c r="IZF12" s="114"/>
      <c r="IZG12" s="114"/>
      <c r="IZH12" s="114"/>
      <c r="IZI12" s="114"/>
      <c r="IZJ12" s="114"/>
      <c r="IZK12" s="114"/>
      <c r="IZL12" s="114"/>
      <c r="IZM12" s="114"/>
      <c r="IZN12" s="114"/>
      <c r="IZO12" s="114"/>
      <c r="IZP12" s="114"/>
      <c r="IZQ12" s="114"/>
      <c r="IZR12" s="114"/>
      <c r="IZS12" s="114"/>
      <c r="IZT12" s="114"/>
      <c r="IZU12" s="114"/>
      <c r="IZV12" s="114"/>
      <c r="IZW12" s="114"/>
      <c r="IZX12" s="114"/>
      <c r="IZY12" s="114"/>
      <c r="IZZ12" s="114"/>
      <c r="JAA12" s="114"/>
      <c r="JAB12" s="114"/>
      <c r="JAC12" s="114"/>
      <c r="JAD12" s="114"/>
      <c r="JAE12" s="114"/>
      <c r="JAF12" s="114"/>
      <c r="JAG12" s="114"/>
      <c r="JAH12" s="114"/>
      <c r="JAI12" s="114"/>
      <c r="JAJ12" s="114"/>
      <c r="JAK12" s="114"/>
      <c r="JAL12" s="114"/>
      <c r="JAM12" s="114"/>
      <c r="JAN12" s="114"/>
      <c r="JAO12" s="114"/>
      <c r="JAP12" s="114"/>
      <c r="JAQ12" s="114"/>
      <c r="JAR12" s="114"/>
      <c r="JAS12" s="114"/>
      <c r="JAT12" s="114"/>
      <c r="JAU12" s="114"/>
      <c r="JAV12" s="114"/>
      <c r="JAW12" s="114"/>
      <c r="JAX12" s="114"/>
      <c r="JAY12" s="114"/>
      <c r="JAZ12" s="114"/>
      <c r="JBA12" s="114"/>
      <c r="JBB12" s="114"/>
      <c r="JBC12" s="114"/>
      <c r="JBD12" s="114"/>
      <c r="JBE12" s="114"/>
      <c r="JBF12" s="114"/>
      <c r="JBG12" s="114"/>
      <c r="JBH12" s="114"/>
      <c r="JBI12" s="114"/>
      <c r="JBJ12" s="114"/>
      <c r="JBK12" s="114"/>
      <c r="JBL12" s="114"/>
      <c r="JBM12" s="114"/>
      <c r="JBN12" s="114"/>
      <c r="JBO12" s="114"/>
      <c r="JBP12" s="114"/>
      <c r="JBQ12" s="114"/>
      <c r="JBR12" s="114"/>
      <c r="JBS12" s="114"/>
      <c r="JBT12" s="114"/>
      <c r="JBU12" s="114"/>
      <c r="JBV12" s="114"/>
      <c r="JBW12" s="114"/>
      <c r="JBX12" s="114"/>
      <c r="JBY12" s="114"/>
      <c r="JBZ12" s="114"/>
      <c r="JCA12" s="114"/>
      <c r="JCB12" s="114"/>
      <c r="JCC12" s="114"/>
      <c r="JCD12" s="114"/>
      <c r="JCE12" s="114"/>
      <c r="JCF12" s="114"/>
      <c r="JCG12" s="114"/>
      <c r="JCH12" s="114"/>
      <c r="JCI12" s="114"/>
      <c r="JCJ12" s="114"/>
      <c r="JCK12" s="114"/>
      <c r="JCL12" s="114"/>
      <c r="JCM12" s="114"/>
      <c r="JCN12" s="114"/>
      <c r="JCO12" s="114"/>
      <c r="JCP12" s="114"/>
      <c r="JCQ12" s="114"/>
      <c r="JCR12" s="114"/>
      <c r="JCS12" s="114"/>
      <c r="JCT12" s="114"/>
      <c r="JCU12" s="114"/>
      <c r="JCV12" s="114"/>
      <c r="JCW12" s="114"/>
      <c r="JCX12" s="114"/>
      <c r="JCY12" s="114"/>
      <c r="JCZ12" s="114"/>
      <c r="JDA12" s="114"/>
      <c r="JDB12" s="114"/>
      <c r="JDC12" s="114"/>
      <c r="JDD12" s="114"/>
      <c r="JDE12" s="114"/>
      <c r="JDF12" s="114"/>
      <c r="JDG12" s="114"/>
      <c r="JDH12" s="114"/>
      <c r="JDI12" s="114"/>
      <c r="JDJ12" s="114"/>
      <c r="JDK12" s="114"/>
      <c r="JDL12" s="114"/>
      <c r="JDM12" s="114"/>
      <c r="JDN12" s="114"/>
      <c r="JDO12" s="114"/>
      <c r="JDP12" s="114"/>
      <c r="JDQ12" s="114"/>
      <c r="JDR12" s="114"/>
      <c r="JDS12" s="114"/>
      <c r="JDT12" s="114"/>
      <c r="JDU12" s="114"/>
      <c r="JDV12" s="114"/>
      <c r="JDW12" s="114"/>
      <c r="JDX12" s="114"/>
      <c r="JDY12" s="114"/>
      <c r="JDZ12" s="114"/>
      <c r="JEA12" s="114"/>
      <c r="JEB12" s="114"/>
      <c r="JEC12" s="114"/>
      <c r="JED12" s="114"/>
      <c r="JEE12" s="114"/>
      <c r="JEF12" s="114"/>
      <c r="JEG12" s="114"/>
      <c r="JEH12" s="114"/>
      <c r="JEI12" s="114"/>
      <c r="JEJ12" s="114"/>
      <c r="JEK12" s="114"/>
      <c r="JEL12" s="114"/>
      <c r="JEM12" s="114"/>
      <c r="JEN12" s="114"/>
      <c r="JEO12" s="114"/>
      <c r="JEP12" s="114"/>
      <c r="JEQ12" s="114"/>
      <c r="JER12" s="114"/>
      <c r="JES12" s="114"/>
      <c r="JET12" s="114"/>
      <c r="JEU12" s="114"/>
      <c r="JEV12" s="114"/>
      <c r="JEW12" s="114"/>
      <c r="JEX12" s="114"/>
      <c r="JEY12" s="114"/>
      <c r="JEZ12" s="114"/>
      <c r="JFA12" s="114"/>
      <c r="JFB12" s="114"/>
      <c r="JFC12" s="114"/>
      <c r="JFD12" s="114"/>
      <c r="JFE12" s="114"/>
      <c r="JFF12" s="114"/>
      <c r="JFG12" s="114"/>
      <c r="JFH12" s="114"/>
      <c r="JFI12" s="114"/>
      <c r="JFJ12" s="114"/>
      <c r="JFK12" s="114"/>
      <c r="JFL12" s="114"/>
      <c r="JFM12" s="114"/>
      <c r="JFN12" s="114"/>
      <c r="JFO12" s="114"/>
      <c r="JFP12" s="114"/>
      <c r="JFQ12" s="114"/>
      <c r="JFR12" s="114"/>
      <c r="JFS12" s="114"/>
      <c r="JFT12" s="114"/>
      <c r="JFU12" s="114"/>
      <c r="JFV12" s="114"/>
      <c r="JFW12" s="114"/>
      <c r="JFX12" s="114"/>
      <c r="JFY12" s="114"/>
      <c r="JFZ12" s="114"/>
      <c r="JGA12" s="114"/>
      <c r="JGB12" s="114"/>
      <c r="JGC12" s="114"/>
      <c r="JGD12" s="114"/>
      <c r="JGE12" s="114"/>
      <c r="JGF12" s="114"/>
      <c r="JGG12" s="114"/>
      <c r="JGH12" s="114"/>
      <c r="JGI12" s="114"/>
      <c r="JGJ12" s="114"/>
      <c r="JGK12" s="114"/>
      <c r="JGL12" s="114"/>
      <c r="JGM12" s="114"/>
      <c r="JGN12" s="114"/>
      <c r="JGO12" s="114"/>
      <c r="JGP12" s="114"/>
      <c r="JGQ12" s="114"/>
      <c r="JGR12" s="114"/>
      <c r="JGS12" s="114"/>
      <c r="JGT12" s="114"/>
      <c r="JGU12" s="114"/>
      <c r="JGV12" s="114"/>
      <c r="JGW12" s="114"/>
      <c r="JGX12" s="114"/>
      <c r="JGY12" s="114"/>
      <c r="JGZ12" s="114"/>
      <c r="JHA12" s="114"/>
      <c r="JHB12" s="114"/>
      <c r="JHC12" s="114"/>
      <c r="JHD12" s="114"/>
      <c r="JHE12" s="114"/>
      <c r="JHF12" s="114"/>
      <c r="JHG12" s="114"/>
      <c r="JHH12" s="114"/>
      <c r="JHI12" s="114"/>
      <c r="JHJ12" s="114"/>
      <c r="JHK12" s="114"/>
      <c r="JHL12" s="114"/>
      <c r="JHM12" s="114"/>
      <c r="JHN12" s="114"/>
      <c r="JHO12" s="114"/>
      <c r="JHP12" s="114"/>
      <c r="JHQ12" s="114"/>
      <c r="JHR12" s="114"/>
      <c r="JHS12" s="114"/>
      <c r="JHT12" s="114"/>
      <c r="JHU12" s="114"/>
      <c r="JHV12" s="114"/>
      <c r="JHW12" s="114"/>
      <c r="JHX12" s="114"/>
      <c r="JHY12" s="114"/>
      <c r="JHZ12" s="114"/>
      <c r="JIA12" s="114"/>
      <c r="JIB12" s="114"/>
      <c r="JIC12" s="114"/>
      <c r="JID12" s="114"/>
      <c r="JIE12" s="114"/>
      <c r="JIF12" s="114"/>
      <c r="JIG12" s="114"/>
      <c r="JIH12" s="114"/>
      <c r="JII12" s="114"/>
      <c r="JIJ12" s="114"/>
      <c r="JIK12" s="114"/>
      <c r="JIL12" s="114"/>
      <c r="JIM12" s="114"/>
      <c r="JIN12" s="114"/>
      <c r="JIO12" s="114"/>
      <c r="JIP12" s="114"/>
      <c r="JIQ12" s="114"/>
      <c r="JIR12" s="114"/>
      <c r="JIS12" s="114"/>
      <c r="JIT12" s="114"/>
      <c r="JIU12" s="114"/>
      <c r="JIV12" s="114"/>
      <c r="JIW12" s="114"/>
      <c r="JIX12" s="114"/>
      <c r="JIY12" s="114"/>
      <c r="JIZ12" s="114"/>
      <c r="JJA12" s="114"/>
      <c r="JJB12" s="114"/>
      <c r="JJC12" s="114"/>
      <c r="JJD12" s="114"/>
      <c r="JJE12" s="114"/>
      <c r="JJF12" s="114"/>
      <c r="JJG12" s="114"/>
      <c r="JJH12" s="114"/>
      <c r="JJI12" s="114"/>
      <c r="JJJ12" s="114"/>
      <c r="JJK12" s="114"/>
      <c r="JJL12" s="114"/>
      <c r="JJM12" s="114"/>
      <c r="JJN12" s="114"/>
      <c r="JJO12" s="114"/>
      <c r="JJP12" s="114"/>
      <c r="JJQ12" s="114"/>
      <c r="JJR12" s="114"/>
      <c r="JJS12" s="114"/>
      <c r="JJT12" s="114"/>
      <c r="JJU12" s="114"/>
      <c r="JJV12" s="114"/>
      <c r="JJW12" s="114"/>
      <c r="JJX12" s="114"/>
      <c r="JJY12" s="114"/>
      <c r="JJZ12" s="114"/>
      <c r="JKA12" s="114"/>
      <c r="JKB12" s="114"/>
      <c r="JKC12" s="114"/>
      <c r="JKD12" s="114"/>
      <c r="JKE12" s="114"/>
      <c r="JKF12" s="114"/>
      <c r="JKG12" s="114"/>
      <c r="JKH12" s="114"/>
      <c r="JKI12" s="114"/>
      <c r="JKJ12" s="114"/>
      <c r="JKK12" s="114"/>
      <c r="JKL12" s="114"/>
      <c r="JKM12" s="114"/>
      <c r="JKN12" s="114"/>
      <c r="JKO12" s="114"/>
      <c r="JKP12" s="114"/>
      <c r="JKQ12" s="114"/>
      <c r="JKR12" s="114"/>
      <c r="JKS12" s="114"/>
      <c r="JKT12" s="114"/>
      <c r="JKU12" s="114"/>
      <c r="JKV12" s="114"/>
      <c r="JKW12" s="114"/>
      <c r="JKX12" s="114"/>
      <c r="JKY12" s="114"/>
      <c r="JKZ12" s="114"/>
      <c r="JLA12" s="114"/>
      <c r="JLB12" s="114"/>
      <c r="JLC12" s="114"/>
      <c r="JLD12" s="114"/>
      <c r="JLE12" s="114"/>
      <c r="JLF12" s="114"/>
      <c r="JLG12" s="114"/>
      <c r="JLH12" s="114"/>
      <c r="JLI12" s="114"/>
      <c r="JLJ12" s="114"/>
      <c r="JLK12" s="114"/>
      <c r="JLL12" s="114"/>
      <c r="JLM12" s="114"/>
      <c r="JLN12" s="114"/>
      <c r="JLO12" s="114"/>
      <c r="JLP12" s="114"/>
      <c r="JLQ12" s="114"/>
      <c r="JLR12" s="114"/>
      <c r="JLS12" s="114"/>
      <c r="JLT12" s="114"/>
      <c r="JLU12" s="114"/>
      <c r="JLV12" s="114"/>
      <c r="JLW12" s="114"/>
      <c r="JLX12" s="114"/>
      <c r="JLY12" s="114"/>
      <c r="JLZ12" s="114"/>
      <c r="JMA12" s="114"/>
      <c r="JMB12" s="114"/>
      <c r="JMC12" s="114"/>
      <c r="JMD12" s="114"/>
      <c r="JME12" s="114"/>
      <c r="JMF12" s="114"/>
      <c r="JMG12" s="114"/>
      <c r="JMH12" s="114"/>
      <c r="JMI12" s="114"/>
      <c r="JMJ12" s="114"/>
      <c r="JMK12" s="114"/>
      <c r="JML12" s="114"/>
      <c r="JMM12" s="114"/>
      <c r="JMN12" s="114"/>
      <c r="JMO12" s="114"/>
      <c r="JMP12" s="114"/>
      <c r="JMQ12" s="114"/>
      <c r="JMR12" s="114"/>
      <c r="JMS12" s="114"/>
      <c r="JMT12" s="114"/>
      <c r="JMU12" s="114"/>
      <c r="JMV12" s="114"/>
      <c r="JMW12" s="114"/>
      <c r="JMX12" s="114"/>
      <c r="JMY12" s="114"/>
      <c r="JMZ12" s="114"/>
      <c r="JNA12" s="114"/>
      <c r="JNB12" s="114"/>
      <c r="JNC12" s="114"/>
      <c r="JND12" s="114"/>
      <c r="JNE12" s="114"/>
      <c r="JNF12" s="114"/>
      <c r="JNG12" s="114"/>
      <c r="JNH12" s="114"/>
      <c r="JNI12" s="114"/>
      <c r="JNJ12" s="114"/>
      <c r="JNK12" s="114"/>
      <c r="JNL12" s="114"/>
      <c r="JNM12" s="114"/>
      <c r="JNN12" s="114"/>
      <c r="JNO12" s="114"/>
      <c r="JNP12" s="114"/>
      <c r="JNQ12" s="114"/>
      <c r="JNR12" s="114"/>
      <c r="JNS12" s="114"/>
      <c r="JNT12" s="114"/>
      <c r="JNU12" s="114"/>
      <c r="JNV12" s="114"/>
      <c r="JNW12" s="114"/>
      <c r="JNX12" s="114"/>
      <c r="JNY12" s="114"/>
      <c r="JNZ12" s="114"/>
      <c r="JOA12" s="114"/>
      <c r="JOB12" s="114"/>
      <c r="JOC12" s="114"/>
      <c r="JOD12" s="114"/>
      <c r="JOE12" s="114"/>
      <c r="JOF12" s="114"/>
      <c r="JOG12" s="114"/>
      <c r="JOH12" s="114"/>
      <c r="JOI12" s="114"/>
      <c r="JOJ12" s="114"/>
      <c r="JOK12" s="114"/>
      <c r="JOL12" s="114"/>
      <c r="JOM12" s="114"/>
      <c r="JON12" s="114"/>
      <c r="JOO12" s="114"/>
      <c r="JOP12" s="114"/>
      <c r="JOQ12" s="114"/>
      <c r="JOR12" s="114"/>
      <c r="JOS12" s="114"/>
      <c r="JOT12" s="114"/>
      <c r="JOU12" s="114"/>
      <c r="JOV12" s="114"/>
      <c r="JOW12" s="114"/>
      <c r="JOX12" s="114"/>
      <c r="JOY12" s="114"/>
      <c r="JOZ12" s="114"/>
      <c r="JPA12" s="114"/>
      <c r="JPB12" s="114"/>
      <c r="JPC12" s="114"/>
      <c r="JPD12" s="114"/>
      <c r="JPE12" s="114"/>
      <c r="JPF12" s="114"/>
      <c r="JPG12" s="114"/>
      <c r="JPH12" s="114"/>
      <c r="JPI12" s="114"/>
      <c r="JPJ12" s="114"/>
      <c r="JPK12" s="114"/>
      <c r="JPL12" s="114"/>
      <c r="JPM12" s="114"/>
      <c r="JPN12" s="114"/>
      <c r="JPO12" s="114"/>
      <c r="JPP12" s="114"/>
      <c r="JPQ12" s="114"/>
      <c r="JPR12" s="114"/>
      <c r="JPS12" s="114"/>
      <c r="JPT12" s="114"/>
      <c r="JPU12" s="114"/>
      <c r="JPV12" s="114"/>
      <c r="JPW12" s="114"/>
      <c r="JPX12" s="114"/>
      <c r="JPY12" s="114"/>
      <c r="JPZ12" s="114"/>
      <c r="JQA12" s="114"/>
      <c r="JQB12" s="114"/>
      <c r="JQC12" s="114"/>
      <c r="JQD12" s="114"/>
      <c r="JQE12" s="114"/>
      <c r="JQF12" s="114"/>
      <c r="JQG12" s="114"/>
      <c r="JQH12" s="114"/>
      <c r="JQI12" s="114"/>
      <c r="JQJ12" s="114"/>
      <c r="JQK12" s="114"/>
      <c r="JQL12" s="114"/>
      <c r="JQM12" s="114"/>
      <c r="JQN12" s="114"/>
      <c r="JQO12" s="114"/>
      <c r="JQP12" s="114"/>
      <c r="JQQ12" s="114"/>
      <c r="JQR12" s="114"/>
      <c r="JQS12" s="114"/>
      <c r="JQT12" s="114"/>
      <c r="JQU12" s="114"/>
      <c r="JQV12" s="114"/>
      <c r="JQW12" s="114"/>
      <c r="JQX12" s="114"/>
      <c r="JQY12" s="114"/>
      <c r="JQZ12" s="114"/>
      <c r="JRA12" s="114"/>
      <c r="JRB12" s="114"/>
      <c r="JRC12" s="114"/>
      <c r="JRD12" s="114"/>
      <c r="JRE12" s="114"/>
      <c r="JRF12" s="114"/>
      <c r="JRG12" s="114"/>
      <c r="JRH12" s="114"/>
      <c r="JRI12" s="114"/>
      <c r="JRJ12" s="114"/>
      <c r="JRK12" s="114"/>
      <c r="JRL12" s="114"/>
      <c r="JRM12" s="114"/>
      <c r="JRN12" s="114"/>
      <c r="JRO12" s="114"/>
      <c r="JRP12" s="114"/>
      <c r="JRQ12" s="114"/>
      <c r="JRR12" s="114"/>
      <c r="JRS12" s="114"/>
      <c r="JRT12" s="114"/>
      <c r="JRU12" s="114"/>
      <c r="JRV12" s="114"/>
      <c r="JRW12" s="114"/>
      <c r="JRX12" s="114"/>
      <c r="JRY12" s="114"/>
      <c r="JRZ12" s="114"/>
      <c r="JSA12" s="114"/>
      <c r="JSB12" s="114"/>
      <c r="JSC12" s="114"/>
      <c r="JSD12" s="114"/>
      <c r="JSE12" s="114"/>
      <c r="JSF12" s="114"/>
      <c r="JSG12" s="114"/>
      <c r="JSH12" s="114"/>
      <c r="JSI12" s="114"/>
      <c r="JSJ12" s="114"/>
      <c r="JSK12" s="114"/>
      <c r="JSL12" s="114"/>
      <c r="JSM12" s="114"/>
      <c r="JSN12" s="114"/>
      <c r="JSO12" s="114"/>
      <c r="JSP12" s="114"/>
      <c r="JSQ12" s="114"/>
      <c r="JSR12" s="114"/>
      <c r="JSS12" s="114"/>
      <c r="JST12" s="114"/>
      <c r="JSU12" s="114"/>
      <c r="JSV12" s="114"/>
      <c r="JSW12" s="114"/>
      <c r="JSX12" s="114"/>
      <c r="JSY12" s="114"/>
      <c r="JSZ12" s="114"/>
      <c r="JTA12" s="114"/>
      <c r="JTB12" s="114"/>
      <c r="JTC12" s="114"/>
      <c r="JTD12" s="114"/>
      <c r="JTE12" s="114"/>
      <c r="JTF12" s="114"/>
      <c r="JTG12" s="114"/>
      <c r="JTH12" s="114"/>
      <c r="JTI12" s="114"/>
      <c r="JTJ12" s="114"/>
      <c r="JTK12" s="114"/>
      <c r="JTL12" s="114"/>
      <c r="JTM12" s="114"/>
      <c r="JTN12" s="114"/>
      <c r="JTO12" s="114"/>
      <c r="JTP12" s="114"/>
      <c r="JTQ12" s="114"/>
      <c r="JTR12" s="114"/>
      <c r="JTS12" s="114"/>
      <c r="JTT12" s="114"/>
      <c r="JTU12" s="114"/>
      <c r="JTV12" s="114"/>
      <c r="JTW12" s="114"/>
      <c r="JTX12" s="114"/>
      <c r="JTY12" s="114"/>
      <c r="JTZ12" s="114"/>
      <c r="JUA12" s="114"/>
      <c r="JUB12" s="114"/>
      <c r="JUC12" s="114"/>
      <c r="JUD12" s="114"/>
      <c r="JUE12" s="114"/>
      <c r="JUF12" s="114"/>
      <c r="JUG12" s="114"/>
      <c r="JUH12" s="114"/>
      <c r="JUI12" s="114"/>
      <c r="JUJ12" s="114"/>
      <c r="JUK12" s="114"/>
      <c r="JUL12" s="114"/>
      <c r="JUM12" s="114"/>
      <c r="JUN12" s="114"/>
      <c r="JUO12" s="114"/>
      <c r="JUP12" s="114"/>
      <c r="JUQ12" s="114"/>
      <c r="JUR12" s="114"/>
      <c r="JUS12" s="114"/>
      <c r="JUT12" s="114"/>
      <c r="JUU12" s="114"/>
      <c r="JUV12" s="114"/>
      <c r="JUW12" s="114"/>
      <c r="JUX12" s="114"/>
      <c r="JUY12" s="114"/>
      <c r="JUZ12" s="114"/>
      <c r="JVA12" s="114"/>
      <c r="JVB12" s="114"/>
      <c r="JVC12" s="114"/>
      <c r="JVD12" s="114"/>
      <c r="JVE12" s="114"/>
      <c r="JVF12" s="114"/>
      <c r="JVG12" s="114"/>
      <c r="JVH12" s="114"/>
      <c r="JVI12" s="114"/>
      <c r="JVJ12" s="114"/>
      <c r="JVK12" s="114"/>
      <c r="JVL12" s="114"/>
      <c r="JVM12" s="114"/>
      <c r="JVN12" s="114"/>
      <c r="JVO12" s="114"/>
      <c r="JVP12" s="114"/>
      <c r="JVQ12" s="114"/>
      <c r="JVR12" s="114"/>
      <c r="JVS12" s="114"/>
      <c r="JVT12" s="114"/>
      <c r="JVU12" s="114"/>
      <c r="JVV12" s="114"/>
      <c r="JVW12" s="114"/>
      <c r="JVX12" s="114"/>
      <c r="JVY12" s="114"/>
      <c r="JVZ12" s="114"/>
      <c r="JWA12" s="114"/>
      <c r="JWB12" s="114"/>
      <c r="JWC12" s="114"/>
      <c r="JWD12" s="114"/>
      <c r="JWE12" s="114"/>
      <c r="JWF12" s="114"/>
      <c r="JWG12" s="114"/>
      <c r="JWH12" s="114"/>
      <c r="JWI12" s="114"/>
      <c r="JWJ12" s="114"/>
      <c r="JWK12" s="114"/>
      <c r="JWL12" s="114"/>
      <c r="JWM12" s="114"/>
      <c r="JWN12" s="114"/>
      <c r="JWO12" s="114"/>
      <c r="JWP12" s="114"/>
      <c r="JWQ12" s="114"/>
      <c r="JWR12" s="114"/>
      <c r="JWS12" s="114"/>
      <c r="JWT12" s="114"/>
      <c r="JWU12" s="114"/>
      <c r="JWV12" s="114"/>
      <c r="JWW12" s="114"/>
      <c r="JWX12" s="114"/>
      <c r="JWY12" s="114"/>
      <c r="JWZ12" s="114"/>
      <c r="JXA12" s="114"/>
      <c r="JXB12" s="114"/>
      <c r="JXC12" s="114"/>
      <c r="JXD12" s="114"/>
      <c r="JXE12" s="114"/>
      <c r="JXF12" s="114"/>
      <c r="JXG12" s="114"/>
      <c r="JXH12" s="114"/>
      <c r="JXI12" s="114"/>
      <c r="JXJ12" s="114"/>
      <c r="JXK12" s="114"/>
      <c r="JXL12" s="114"/>
      <c r="JXM12" s="114"/>
      <c r="JXN12" s="114"/>
      <c r="JXO12" s="114"/>
      <c r="JXP12" s="114"/>
      <c r="JXQ12" s="114"/>
      <c r="JXR12" s="114"/>
      <c r="JXS12" s="114"/>
      <c r="JXT12" s="114"/>
      <c r="JXU12" s="114"/>
      <c r="JXV12" s="114"/>
      <c r="JXW12" s="114"/>
      <c r="JXX12" s="114"/>
      <c r="JXY12" s="114"/>
      <c r="JXZ12" s="114"/>
      <c r="JYA12" s="114"/>
      <c r="JYB12" s="114"/>
      <c r="JYC12" s="114"/>
      <c r="JYD12" s="114"/>
      <c r="JYE12" s="114"/>
      <c r="JYF12" s="114"/>
      <c r="JYG12" s="114"/>
      <c r="JYH12" s="114"/>
      <c r="JYI12" s="114"/>
      <c r="JYJ12" s="114"/>
      <c r="JYK12" s="114"/>
      <c r="JYL12" s="114"/>
      <c r="JYM12" s="114"/>
      <c r="JYN12" s="114"/>
      <c r="JYO12" s="114"/>
      <c r="JYP12" s="114"/>
      <c r="JYQ12" s="114"/>
      <c r="JYR12" s="114"/>
      <c r="JYS12" s="114"/>
      <c r="JYT12" s="114"/>
      <c r="JYU12" s="114"/>
      <c r="JYV12" s="114"/>
      <c r="JYW12" s="114"/>
      <c r="JYX12" s="114"/>
      <c r="JYY12" s="114"/>
      <c r="JYZ12" s="114"/>
      <c r="JZA12" s="114"/>
      <c r="JZB12" s="114"/>
      <c r="JZC12" s="114"/>
      <c r="JZD12" s="114"/>
      <c r="JZE12" s="114"/>
      <c r="JZF12" s="114"/>
      <c r="JZG12" s="114"/>
      <c r="JZH12" s="114"/>
      <c r="JZI12" s="114"/>
      <c r="JZJ12" s="114"/>
      <c r="JZK12" s="114"/>
      <c r="JZL12" s="114"/>
      <c r="JZM12" s="114"/>
      <c r="JZN12" s="114"/>
      <c r="JZO12" s="114"/>
      <c r="JZP12" s="114"/>
      <c r="JZQ12" s="114"/>
      <c r="JZR12" s="114"/>
      <c r="JZS12" s="114"/>
      <c r="JZT12" s="114"/>
      <c r="JZU12" s="114"/>
      <c r="JZV12" s="114"/>
      <c r="JZW12" s="114"/>
      <c r="JZX12" s="114"/>
      <c r="JZY12" s="114"/>
      <c r="JZZ12" s="114"/>
      <c r="KAA12" s="114"/>
      <c r="KAB12" s="114"/>
      <c r="KAC12" s="114"/>
      <c r="KAD12" s="114"/>
      <c r="KAE12" s="114"/>
      <c r="KAF12" s="114"/>
      <c r="KAG12" s="114"/>
      <c r="KAH12" s="114"/>
      <c r="KAI12" s="114"/>
      <c r="KAJ12" s="114"/>
      <c r="KAK12" s="114"/>
      <c r="KAL12" s="114"/>
      <c r="KAM12" s="114"/>
      <c r="KAN12" s="114"/>
      <c r="KAO12" s="114"/>
      <c r="KAP12" s="114"/>
      <c r="KAQ12" s="114"/>
      <c r="KAR12" s="114"/>
      <c r="KAS12" s="114"/>
      <c r="KAT12" s="114"/>
      <c r="KAU12" s="114"/>
      <c r="KAV12" s="114"/>
      <c r="KAW12" s="114"/>
      <c r="KAX12" s="114"/>
      <c r="KAY12" s="114"/>
      <c r="KAZ12" s="114"/>
      <c r="KBA12" s="114"/>
      <c r="KBB12" s="114"/>
      <c r="KBC12" s="114"/>
      <c r="KBD12" s="114"/>
      <c r="KBE12" s="114"/>
      <c r="KBF12" s="114"/>
      <c r="KBG12" s="114"/>
      <c r="KBH12" s="114"/>
      <c r="KBI12" s="114"/>
      <c r="KBJ12" s="114"/>
      <c r="KBK12" s="114"/>
      <c r="KBL12" s="114"/>
      <c r="KBM12" s="114"/>
      <c r="KBN12" s="114"/>
      <c r="KBO12" s="114"/>
      <c r="KBP12" s="114"/>
      <c r="KBQ12" s="114"/>
      <c r="KBR12" s="114"/>
      <c r="KBS12" s="114"/>
      <c r="KBT12" s="114"/>
      <c r="KBU12" s="114"/>
      <c r="KBV12" s="114"/>
      <c r="KBW12" s="114"/>
      <c r="KBX12" s="114"/>
      <c r="KBY12" s="114"/>
      <c r="KBZ12" s="114"/>
      <c r="KCA12" s="114"/>
      <c r="KCB12" s="114"/>
      <c r="KCC12" s="114"/>
      <c r="KCD12" s="114"/>
      <c r="KCE12" s="114"/>
      <c r="KCF12" s="114"/>
      <c r="KCG12" s="114"/>
      <c r="KCH12" s="114"/>
      <c r="KCI12" s="114"/>
      <c r="KCJ12" s="114"/>
      <c r="KCK12" s="114"/>
      <c r="KCL12" s="114"/>
      <c r="KCM12" s="114"/>
      <c r="KCN12" s="114"/>
      <c r="KCO12" s="114"/>
      <c r="KCP12" s="114"/>
      <c r="KCQ12" s="114"/>
      <c r="KCR12" s="114"/>
      <c r="KCS12" s="114"/>
      <c r="KCT12" s="114"/>
      <c r="KCU12" s="114"/>
      <c r="KCV12" s="114"/>
      <c r="KCW12" s="114"/>
      <c r="KCX12" s="114"/>
      <c r="KCY12" s="114"/>
      <c r="KCZ12" s="114"/>
      <c r="KDA12" s="114"/>
      <c r="KDB12" s="114"/>
      <c r="KDC12" s="114"/>
      <c r="KDD12" s="114"/>
      <c r="KDE12" s="114"/>
      <c r="KDF12" s="114"/>
      <c r="KDG12" s="114"/>
      <c r="KDH12" s="114"/>
      <c r="KDI12" s="114"/>
      <c r="KDJ12" s="114"/>
      <c r="KDK12" s="114"/>
      <c r="KDL12" s="114"/>
      <c r="KDM12" s="114"/>
      <c r="KDN12" s="114"/>
      <c r="KDO12" s="114"/>
      <c r="KDP12" s="114"/>
      <c r="KDQ12" s="114"/>
      <c r="KDR12" s="114"/>
      <c r="KDS12" s="114"/>
      <c r="KDT12" s="114"/>
      <c r="KDU12" s="114"/>
      <c r="KDV12" s="114"/>
      <c r="KDW12" s="114"/>
      <c r="KDX12" s="114"/>
      <c r="KDY12" s="114"/>
      <c r="KDZ12" s="114"/>
      <c r="KEA12" s="114"/>
      <c r="KEB12" s="114"/>
      <c r="KEC12" s="114"/>
      <c r="KED12" s="114"/>
      <c r="KEE12" s="114"/>
      <c r="KEF12" s="114"/>
      <c r="KEG12" s="114"/>
      <c r="KEH12" s="114"/>
      <c r="KEI12" s="114"/>
      <c r="KEJ12" s="114"/>
      <c r="KEK12" s="114"/>
      <c r="KEL12" s="114"/>
      <c r="KEM12" s="114"/>
      <c r="KEN12" s="114"/>
      <c r="KEO12" s="114"/>
      <c r="KEP12" s="114"/>
      <c r="KEQ12" s="114"/>
      <c r="KER12" s="114"/>
      <c r="KES12" s="114"/>
      <c r="KET12" s="114"/>
      <c r="KEU12" s="114"/>
      <c r="KEV12" s="114"/>
      <c r="KEW12" s="114"/>
      <c r="KEX12" s="114"/>
      <c r="KEY12" s="114"/>
      <c r="KEZ12" s="114"/>
      <c r="KFA12" s="114"/>
      <c r="KFB12" s="114"/>
      <c r="KFC12" s="114"/>
      <c r="KFD12" s="114"/>
      <c r="KFE12" s="114"/>
      <c r="KFF12" s="114"/>
      <c r="KFG12" s="114"/>
      <c r="KFH12" s="114"/>
      <c r="KFI12" s="114"/>
      <c r="KFJ12" s="114"/>
      <c r="KFK12" s="114"/>
      <c r="KFL12" s="114"/>
      <c r="KFM12" s="114"/>
      <c r="KFN12" s="114"/>
      <c r="KFO12" s="114"/>
      <c r="KFP12" s="114"/>
      <c r="KFQ12" s="114"/>
      <c r="KFR12" s="114"/>
      <c r="KFS12" s="114"/>
      <c r="KFT12" s="114"/>
      <c r="KFU12" s="114"/>
      <c r="KFV12" s="114"/>
      <c r="KFW12" s="114"/>
      <c r="KFX12" s="114"/>
      <c r="KFY12" s="114"/>
      <c r="KFZ12" s="114"/>
      <c r="KGA12" s="114"/>
      <c r="KGB12" s="114"/>
      <c r="KGC12" s="114"/>
      <c r="KGD12" s="114"/>
      <c r="KGE12" s="114"/>
      <c r="KGF12" s="114"/>
      <c r="KGG12" s="114"/>
      <c r="KGH12" s="114"/>
      <c r="KGI12" s="114"/>
      <c r="KGJ12" s="114"/>
      <c r="KGK12" s="114"/>
      <c r="KGL12" s="114"/>
      <c r="KGM12" s="114"/>
      <c r="KGN12" s="114"/>
      <c r="KGO12" s="114"/>
      <c r="KGP12" s="114"/>
      <c r="KGQ12" s="114"/>
      <c r="KGR12" s="114"/>
      <c r="KGS12" s="114"/>
      <c r="KGT12" s="114"/>
      <c r="KGU12" s="114"/>
      <c r="KGV12" s="114"/>
      <c r="KGW12" s="114"/>
      <c r="KGX12" s="114"/>
      <c r="KGY12" s="114"/>
      <c r="KGZ12" s="114"/>
      <c r="KHA12" s="114"/>
      <c r="KHB12" s="114"/>
      <c r="KHC12" s="114"/>
      <c r="KHD12" s="114"/>
      <c r="KHE12" s="114"/>
      <c r="KHF12" s="114"/>
      <c r="KHG12" s="114"/>
      <c r="KHH12" s="114"/>
      <c r="KHI12" s="114"/>
      <c r="KHJ12" s="114"/>
      <c r="KHK12" s="114"/>
      <c r="KHL12" s="114"/>
      <c r="KHM12" s="114"/>
      <c r="KHN12" s="114"/>
      <c r="KHO12" s="114"/>
      <c r="KHP12" s="114"/>
      <c r="KHQ12" s="114"/>
      <c r="KHR12" s="114"/>
      <c r="KHS12" s="114"/>
      <c r="KHT12" s="114"/>
      <c r="KHU12" s="114"/>
      <c r="KHV12" s="114"/>
      <c r="KHW12" s="114"/>
      <c r="KHX12" s="114"/>
      <c r="KHY12" s="114"/>
      <c r="KHZ12" s="114"/>
      <c r="KIA12" s="114"/>
      <c r="KIB12" s="114"/>
      <c r="KIC12" s="114"/>
      <c r="KID12" s="114"/>
      <c r="KIE12" s="114"/>
      <c r="KIF12" s="114"/>
      <c r="KIG12" s="114"/>
      <c r="KIH12" s="114"/>
      <c r="KII12" s="114"/>
      <c r="KIJ12" s="114"/>
      <c r="KIK12" s="114"/>
      <c r="KIL12" s="114"/>
      <c r="KIM12" s="114"/>
      <c r="KIN12" s="114"/>
      <c r="KIO12" s="114"/>
      <c r="KIP12" s="114"/>
      <c r="KIQ12" s="114"/>
      <c r="KIR12" s="114"/>
      <c r="KIS12" s="114"/>
      <c r="KIT12" s="114"/>
      <c r="KIU12" s="114"/>
      <c r="KIV12" s="114"/>
      <c r="KIW12" s="114"/>
      <c r="KIX12" s="114"/>
      <c r="KIY12" s="114"/>
      <c r="KIZ12" s="114"/>
      <c r="KJA12" s="114"/>
      <c r="KJB12" s="114"/>
      <c r="KJC12" s="114"/>
      <c r="KJD12" s="114"/>
      <c r="KJE12" s="114"/>
      <c r="KJF12" s="114"/>
      <c r="KJG12" s="114"/>
      <c r="KJH12" s="114"/>
      <c r="KJI12" s="114"/>
      <c r="KJJ12" s="114"/>
      <c r="KJK12" s="114"/>
      <c r="KJL12" s="114"/>
      <c r="KJM12" s="114"/>
      <c r="KJN12" s="114"/>
      <c r="KJO12" s="114"/>
      <c r="KJP12" s="114"/>
      <c r="KJQ12" s="114"/>
      <c r="KJR12" s="114"/>
      <c r="KJS12" s="114"/>
      <c r="KJT12" s="114"/>
      <c r="KJU12" s="114"/>
      <c r="KJV12" s="114"/>
      <c r="KJW12" s="114"/>
      <c r="KJX12" s="114"/>
      <c r="KJY12" s="114"/>
      <c r="KJZ12" s="114"/>
      <c r="KKA12" s="114"/>
      <c r="KKB12" s="114"/>
      <c r="KKC12" s="114"/>
      <c r="KKD12" s="114"/>
      <c r="KKE12" s="114"/>
      <c r="KKF12" s="114"/>
      <c r="KKG12" s="114"/>
      <c r="KKH12" s="114"/>
      <c r="KKI12" s="114"/>
      <c r="KKJ12" s="114"/>
      <c r="KKK12" s="114"/>
      <c r="KKL12" s="114"/>
      <c r="KKM12" s="114"/>
      <c r="KKN12" s="114"/>
      <c r="KKO12" s="114"/>
      <c r="KKP12" s="114"/>
      <c r="KKQ12" s="114"/>
      <c r="KKR12" s="114"/>
      <c r="KKS12" s="114"/>
      <c r="KKT12" s="114"/>
      <c r="KKU12" s="114"/>
      <c r="KKV12" s="114"/>
      <c r="KKW12" s="114"/>
      <c r="KKX12" s="114"/>
      <c r="KKY12" s="114"/>
      <c r="KKZ12" s="114"/>
      <c r="KLA12" s="114"/>
      <c r="KLB12" s="114"/>
      <c r="KLC12" s="114"/>
      <c r="KLD12" s="114"/>
      <c r="KLE12" s="114"/>
      <c r="KLF12" s="114"/>
      <c r="KLG12" s="114"/>
      <c r="KLH12" s="114"/>
      <c r="KLI12" s="114"/>
      <c r="KLJ12" s="114"/>
      <c r="KLK12" s="114"/>
      <c r="KLL12" s="114"/>
      <c r="KLM12" s="114"/>
      <c r="KLN12" s="114"/>
      <c r="KLO12" s="114"/>
      <c r="KLP12" s="114"/>
      <c r="KLQ12" s="114"/>
      <c r="KLR12" s="114"/>
      <c r="KLS12" s="114"/>
      <c r="KLT12" s="114"/>
      <c r="KLU12" s="114"/>
      <c r="KLV12" s="114"/>
      <c r="KLW12" s="114"/>
      <c r="KLX12" s="114"/>
      <c r="KLY12" s="114"/>
      <c r="KLZ12" s="114"/>
      <c r="KMA12" s="114"/>
      <c r="KMB12" s="114"/>
      <c r="KMC12" s="114"/>
      <c r="KMD12" s="114"/>
      <c r="KME12" s="114"/>
      <c r="KMF12" s="114"/>
      <c r="KMG12" s="114"/>
      <c r="KMH12" s="114"/>
      <c r="KMI12" s="114"/>
      <c r="KMJ12" s="114"/>
      <c r="KMK12" s="114"/>
      <c r="KML12" s="114"/>
      <c r="KMM12" s="114"/>
      <c r="KMN12" s="114"/>
      <c r="KMO12" s="114"/>
      <c r="KMP12" s="114"/>
      <c r="KMQ12" s="114"/>
      <c r="KMR12" s="114"/>
      <c r="KMS12" s="114"/>
      <c r="KMT12" s="114"/>
      <c r="KMU12" s="114"/>
      <c r="KMV12" s="114"/>
      <c r="KMW12" s="114"/>
      <c r="KMX12" s="114"/>
      <c r="KMY12" s="114"/>
      <c r="KMZ12" s="114"/>
      <c r="KNA12" s="114"/>
      <c r="KNB12" s="114"/>
      <c r="KNC12" s="114"/>
      <c r="KND12" s="114"/>
      <c r="KNE12" s="114"/>
      <c r="KNF12" s="114"/>
      <c r="KNG12" s="114"/>
      <c r="KNH12" s="114"/>
      <c r="KNI12" s="114"/>
      <c r="KNJ12" s="114"/>
      <c r="KNK12" s="114"/>
      <c r="KNL12" s="114"/>
      <c r="KNM12" s="114"/>
      <c r="KNN12" s="114"/>
      <c r="KNO12" s="114"/>
      <c r="KNP12" s="114"/>
      <c r="KNQ12" s="114"/>
      <c r="KNR12" s="114"/>
      <c r="KNS12" s="114"/>
      <c r="KNT12" s="114"/>
      <c r="KNU12" s="114"/>
      <c r="KNV12" s="114"/>
      <c r="KNW12" s="114"/>
      <c r="KNX12" s="114"/>
      <c r="KNY12" s="114"/>
      <c r="KNZ12" s="114"/>
      <c r="KOA12" s="114"/>
      <c r="KOB12" s="114"/>
      <c r="KOC12" s="114"/>
      <c r="KOD12" s="114"/>
      <c r="KOE12" s="114"/>
      <c r="KOF12" s="114"/>
      <c r="KOG12" s="114"/>
      <c r="KOH12" s="114"/>
      <c r="KOI12" s="114"/>
      <c r="KOJ12" s="114"/>
      <c r="KOK12" s="114"/>
      <c r="KOL12" s="114"/>
      <c r="KOM12" s="114"/>
      <c r="KON12" s="114"/>
      <c r="KOO12" s="114"/>
      <c r="KOP12" s="114"/>
      <c r="KOQ12" s="114"/>
      <c r="KOR12" s="114"/>
      <c r="KOS12" s="114"/>
      <c r="KOT12" s="114"/>
      <c r="KOU12" s="114"/>
      <c r="KOV12" s="114"/>
      <c r="KOW12" s="114"/>
      <c r="KOX12" s="114"/>
      <c r="KOY12" s="114"/>
      <c r="KOZ12" s="114"/>
      <c r="KPA12" s="114"/>
      <c r="KPB12" s="114"/>
      <c r="KPC12" s="114"/>
      <c r="KPD12" s="114"/>
      <c r="KPE12" s="114"/>
      <c r="KPF12" s="114"/>
      <c r="KPG12" s="114"/>
      <c r="KPH12" s="114"/>
      <c r="KPI12" s="114"/>
      <c r="KPJ12" s="114"/>
      <c r="KPK12" s="114"/>
      <c r="KPL12" s="114"/>
      <c r="KPM12" s="114"/>
      <c r="KPN12" s="114"/>
      <c r="KPO12" s="114"/>
      <c r="KPP12" s="114"/>
      <c r="KPQ12" s="114"/>
      <c r="KPR12" s="114"/>
      <c r="KPS12" s="114"/>
      <c r="KPT12" s="114"/>
      <c r="KPU12" s="114"/>
      <c r="KPV12" s="114"/>
      <c r="KPW12" s="114"/>
      <c r="KPX12" s="114"/>
      <c r="KPY12" s="114"/>
      <c r="KPZ12" s="114"/>
      <c r="KQA12" s="114"/>
      <c r="KQB12" s="114"/>
      <c r="KQC12" s="114"/>
      <c r="KQD12" s="114"/>
      <c r="KQE12" s="114"/>
      <c r="KQF12" s="114"/>
      <c r="KQG12" s="114"/>
      <c r="KQH12" s="114"/>
      <c r="KQI12" s="114"/>
      <c r="KQJ12" s="114"/>
      <c r="KQK12" s="114"/>
      <c r="KQL12" s="114"/>
      <c r="KQM12" s="114"/>
      <c r="KQN12" s="114"/>
      <c r="KQO12" s="114"/>
      <c r="KQP12" s="114"/>
      <c r="KQQ12" s="114"/>
      <c r="KQR12" s="114"/>
      <c r="KQS12" s="114"/>
      <c r="KQT12" s="114"/>
      <c r="KQU12" s="114"/>
      <c r="KQV12" s="114"/>
      <c r="KQW12" s="114"/>
      <c r="KQX12" s="114"/>
      <c r="KQY12" s="114"/>
      <c r="KQZ12" s="114"/>
      <c r="KRA12" s="114"/>
      <c r="KRB12" s="114"/>
      <c r="KRC12" s="114"/>
      <c r="KRD12" s="114"/>
      <c r="KRE12" s="114"/>
      <c r="KRF12" s="114"/>
      <c r="KRG12" s="114"/>
      <c r="KRH12" s="114"/>
      <c r="KRI12" s="114"/>
      <c r="KRJ12" s="114"/>
      <c r="KRK12" s="114"/>
      <c r="KRL12" s="114"/>
      <c r="KRM12" s="114"/>
      <c r="KRN12" s="114"/>
      <c r="KRO12" s="114"/>
      <c r="KRP12" s="114"/>
      <c r="KRQ12" s="114"/>
      <c r="KRR12" s="114"/>
      <c r="KRS12" s="114"/>
      <c r="KRT12" s="114"/>
      <c r="KRU12" s="114"/>
      <c r="KRV12" s="114"/>
      <c r="KRW12" s="114"/>
      <c r="KRX12" s="114"/>
      <c r="KRY12" s="114"/>
      <c r="KRZ12" s="114"/>
      <c r="KSA12" s="114"/>
      <c r="KSB12" s="114"/>
      <c r="KSC12" s="114"/>
      <c r="KSD12" s="114"/>
      <c r="KSE12" s="114"/>
      <c r="KSF12" s="114"/>
      <c r="KSG12" s="114"/>
      <c r="KSH12" s="114"/>
      <c r="KSI12" s="114"/>
      <c r="KSJ12" s="114"/>
      <c r="KSK12" s="114"/>
      <c r="KSL12" s="114"/>
      <c r="KSM12" s="114"/>
      <c r="KSN12" s="114"/>
      <c r="KSO12" s="114"/>
      <c r="KSP12" s="114"/>
      <c r="KSQ12" s="114"/>
      <c r="KSR12" s="114"/>
      <c r="KSS12" s="114"/>
      <c r="KST12" s="114"/>
      <c r="KSU12" s="114"/>
      <c r="KSV12" s="114"/>
      <c r="KSW12" s="114"/>
      <c r="KSX12" s="114"/>
      <c r="KSY12" s="114"/>
      <c r="KSZ12" s="114"/>
      <c r="KTA12" s="114"/>
      <c r="KTB12" s="114"/>
      <c r="KTC12" s="114"/>
      <c r="KTD12" s="114"/>
      <c r="KTE12" s="114"/>
      <c r="KTF12" s="114"/>
      <c r="KTG12" s="114"/>
      <c r="KTH12" s="114"/>
      <c r="KTI12" s="114"/>
      <c r="KTJ12" s="114"/>
      <c r="KTK12" s="114"/>
      <c r="KTL12" s="114"/>
      <c r="KTM12" s="114"/>
      <c r="KTN12" s="114"/>
      <c r="KTO12" s="114"/>
      <c r="KTP12" s="114"/>
      <c r="KTQ12" s="114"/>
      <c r="KTR12" s="114"/>
      <c r="KTS12" s="114"/>
      <c r="KTT12" s="114"/>
      <c r="KTU12" s="114"/>
      <c r="KTV12" s="114"/>
      <c r="KTW12" s="114"/>
      <c r="KTX12" s="114"/>
      <c r="KTY12" s="114"/>
      <c r="KTZ12" s="114"/>
      <c r="KUA12" s="114"/>
      <c r="KUB12" s="114"/>
      <c r="KUC12" s="114"/>
      <c r="KUD12" s="114"/>
      <c r="KUE12" s="114"/>
      <c r="KUF12" s="114"/>
      <c r="KUG12" s="114"/>
      <c r="KUH12" s="114"/>
      <c r="KUI12" s="114"/>
      <c r="KUJ12" s="114"/>
      <c r="KUK12" s="114"/>
      <c r="KUL12" s="114"/>
      <c r="KUM12" s="114"/>
      <c r="KUN12" s="114"/>
      <c r="KUO12" s="114"/>
      <c r="KUP12" s="114"/>
      <c r="KUQ12" s="114"/>
      <c r="KUR12" s="114"/>
      <c r="KUS12" s="114"/>
      <c r="KUT12" s="114"/>
      <c r="KUU12" s="114"/>
      <c r="KUV12" s="114"/>
      <c r="KUW12" s="114"/>
      <c r="KUX12" s="114"/>
      <c r="KUY12" s="114"/>
      <c r="KUZ12" s="114"/>
      <c r="KVA12" s="114"/>
      <c r="KVB12" s="114"/>
      <c r="KVC12" s="114"/>
      <c r="KVD12" s="114"/>
      <c r="KVE12" s="114"/>
      <c r="KVF12" s="114"/>
      <c r="KVG12" s="114"/>
      <c r="KVH12" s="114"/>
      <c r="KVI12" s="114"/>
      <c r="KVJ12" s="114"/>
      <c r="KVK12" s="114"/>
      <c r="KVL12" s="114"/>
      <c r="KVM12" s="114"/>
      <c r="KVN12" s="114"/>
      <c r="KVO12" s="114"/>
      <c r="KVP12" s="114"/>
      <c r="KVQ12" s="114"/>
      <c r="KVR12" s="114"/>
      <c r="KVS12" s="114"/>
      <c r="KVT12" s="114"/>
      <c r="KVU12" s="114"/>
      <c r="KVV12" s="114"/>
      <c r="KVW12" s="114"/>
      <c r="KVX12" s="114"/>
      <c r="KVY12" s="114"/>
      <c r="KVZ12" s="114"/>
      <c r="KWA12" s="114"/>
      <c r="KWB12" s="114"/>
      <c r="KWC12" s="114"/>
      <c r="KWD12" s="114"/>
      <c r="KWE12" s="114"/>
      <c r="KWF12" s="114"/>
      <c r="KWG12" s="114"/>
      <c r="KWH12" s="114"/>
      <c r="KWI12" s="114"/>
      <c r="KWJ12" s="114"/>
      <c r="KWK12" s="114"/>
      <c r="KWL12" s="114"/>
      <c r="KWM12" s="114"/>
      <c r="KWN12" s="114"/>
      <c r="KWO12" s="114"/>
      <c r="KWP12" s="114"/>
      <c r="KWQ12" s="114"/>
      <c r="KWR12" s="114"/>
      <c r="KWS12" s="114"/>
      <c r="KWT12" s="114"/>
      <c r="KWU12" s="114"/>
      <c r="KWV12" s="114"/>
      <c r="KWW12" s="114"/>
      <c r="KWX12" s="114"/>
      <c r="KWY12" s="114"/>
      <c r="KWZ12" s="114"/>
      <c r="KXA12" s="114"/>
      <c r="KXB12" s="114"/>
      <c r="KXC12" s="114"/>
      <c r="KXD12" s="114"/>
      <c r="KXE12" s="114"/>
      <c r="KXF12" s="114"/>
      <c r="KXG12" s="114"/>
      <c r="KXH12" s="114"/>
      <c r="KXI12" s="114"/>
      <c r="KXJ12" s="114"/>
      <c r="KXK12" s="114"/>
      <c r="KXL12" s="114"/>
      <c r="KXM12" s="114"/>
      <c r="KXN12" s="114"/>
      <c r="KXO12" s="114"/>
      <c r="KXP12" s="114"/>
      <c r="KXQ12" s="114"/>
      <c r="KXR12" s="114"/>
      <c r="KXS12" s="114"/>
      <c r="KXT12" s="114"/>
      <c r="KXU12" s="114"/>
      <c r="KXV12" s="114"/>
      <c r="KXW12" s="114"/>
      <c r="KXX12" s="114"/>
      <c r="KXY12" s="114"/>
      <c r="KXZ12" s="114"/>
      <c r="KYA12" s="114"/>
      <c r="KYB12" s="114"/>
      <c r="KYC12" s="114"/>
      <c r="KYD12" s="114"/>
      <c r="KYE12" s="114"/>
      <c r="KYF12" s="114"/>
      <c r="KYG12" s="114"/>
      <c r="KYH12" s="114"/>
      <c r="KYI12" s="114"/>
      <c r="KYJ12" s="114"/>
      <c r="KYK12" s="114"/>
      <c r="KYL12" s="114"/>
      <c r="KYM12" s="114"/>
      <c r="KYN12" s="114"/>
      <c r="KYO12" s="114"/>
      <c r="KYP12" s="114"/>
      <c r="KYQ12" s="114"/>
      <c r="KYR12" s="114"/>
      <c r="KYS12" s="114"/>
      <c r="KYT12" s="114"/>
      <c r="KYU12" s="114"/>
      <c r="KYV12" s="114"/>
      <c r="KYW12" s="114"/>
      <c r="KYX12" s="114"/>
      <c r="KYY12" s="114"/>
      <c r="KYZ12" s="114"/>
      <c r="KZA12" s="114"/>
      <c r="KZB12" s="114"/>
      <c r="KZC12" s="114"/>
      <c r="KZD12" s="114"/>
      <c r="KZE12" s="114"/>
      <c r="KZF12" s="114"/>
      <c r="KZG12" s="114"/>
      <c r="KZH12" s="114"/>
      <c r="KZI12" s="114"/>
      <c r="KZJ12" s="114"/>
      <c r="KZK12" s="114"/>
      <c r="KZL12" s="114"/>
      <c r="KZM12" s="114"/>
      <c r="KZN12" s="114"/>
      <c r="KZO12" s="114"/>
      <c r="KZP12" s="114"/>
      <c r="KZQ12" s="114"/>
      <c r="KZR12" s="114"/>
      <c r="KZS12" s="114"/>
      <c r="KZT12" s="114"/>
      <c r="KZU12" s="114"/>
      <c r="KZV12" s="114"/>
      <c r="KZW12" s="114"/>
      <c r="KZX12" s="114"/>
      <c r="KZY12" s="114"/>
      <c r="KZZ12" s="114"/>
      <c r="LAA12" s="114"/>
      <c r="LAB12" s="114"/>
      <c r="LAC12" s="114"/>
      <c r="LAD12" s="114"/>
      <c r="LAE12" s="114"/>
      <c r="LAF12" s="114"/>
      <c r="LAG12" s="114"/>
      <c r="LAH12" s="114"/>
      <c r="LAI12" s="114"/>
      <c r="LAJ12" s="114"/>
      <c r="LAK12" s="114"/>
      <c r="LAL12" s="114"/>
      <c r="LAM12" s="114"/>
      <c r="LAN12" s="114"/>
      <c r="LAO12" s="114"/>
      <c r="LAP12" s="114"/>
      <c r="LAQ12" s="114"/>
      <c r="LAR12" s="114"/>
      <c r="LAS12" s="114"/>
      <c r="LAT12" s="114"/>
      <c r="LAU12" s="114"/>
      <c r="LAV12" s="114"/>
      <c r="LAW12" s="114"/>
      <c r="LAX12" s="114"/>
      <c r="LAY12" s="114"/>
      <c r="LAZ12" s="114"/>
      <c r="LBA12" s="114"/>
      <c r="LBB12" s="114"/>
      <c r="LBC12" s="114"/>
      <c r="LBD12" s="114"/>
      <c r="LBE12" s="114"/>
      <c r="LBF12" s="114"/>
      <c r="LBG12" s="114"/>
      <c r="LBH12" s="114"/>
      <c r="LBI12" s="114"/>
      <c r="LBJ12" s="114"/>
      <c r="LBK12" s="114"/>
      <c r="LBL12" s="114"/>
      <c r="LBM12" s="114"/>
      <c r="LBN12" s="114"/>
      <c r="LBO12" s="114"/>
      <c r="LBP12" s="114"/>
      <c r="LBQ12" s="114"/>
      <c r="LBR12" s="114"/>
      <c r="LBS12" s="114"/>
      <c r="LBT12" s="114"/>
      <c r="LBU12" s="114"/>
      <c r="LBV12" s="114"/>
      <c r="LBW12" s="114"/>
      <c r="LBX12" s="114"/>
      <c r="LBY12" s="114"/>
      <c r="LBZ12" s="114"/>
      <c r="LCA12" s="114"/>
      <c r="LCB12" s="114"/>
      <c r="LCC12" s="114"/>
      <c r="LCD12" s="114"/>
      <c r="LCE12" s="114"/>
      <c r="LCF12" s="114"/>
      <c r="LCG12" s="114"/>
      <c r="LCH12" s="114"/>
      <c r="LCI12" s="114"/>
      <c r="LCJ12" s="114"/>
      <c r="LCK12" s="114"/>
      <c r="LCL12" s="114"/>
      <c r="LCM12" s="114"/>
      <c r="LCN12" s="114"/>
      <c r="LCO12" s="114"/>
      <c r="LCP12" s="114"/>
      <c r="LCQ12" s="114"/>
      <c r="LCR12" s="114"/>
      <c r="LCS12" s="114"/>
      <c r="LCT12" s="114"/>
      <c r="LCU12" s="114"/>
      <c r="LCV12" s="114"/>
      <c r="LCW12" s="114"/>
      <c r="LCX12" s="114"/>
      <c r="LCY12" s="114"/>
      <c r="LCZ12" s="114"/>
      <c r="LDA12" s="114"/>
      <c r="LDB12" s="114"/>
      <c r="LDC12" s="114"/>
      <c r="LDD12" s="114"/>
      <c r="LDE12" s="114"/>
      <c r="LDF12" s="114"/>
      <c r="LDG12" s="114"/>
      <c r="LDH12" s="114"/>
      <c r="LDI12" s="114"/>
      <c r="LDJ12" s="114"/>
      <c r="LDK12" s="114"/>
      <c r="LDL12" s="114"/>
      <c r="LDM12" s="114"/>
      <c r="LDN12" s="114"/>
      <c r="LDO12" s="114"/>
      <c r="LDP12" s="114"/>
      <c r="LDQ12" s="114"/>
      <c r="LDR12" s="114"/>
      <c r="LDS12" s="114"/>
      <c r="LDT12" s="114"/>
      <c r="LDU12" s="114"/>
      <c r="LDV12" s="114"/>
      <c r="LDW12" s="114"/>
      <c r="LDX12" s="114"/>
      <c r="LDY12" s="114"/>
      <c r="LDZ12" s="114"/>
      <c r="LEA12" s="114"/>
      <c r="LEB12" s="114"/>
      <c r="LEC12" s="114"/>
      <c r="LED12" s="114"/>
      <c r="LEE12" s="114"/>
      <c r="LEF12" s="114"/>
      <c r="LEG12" s="114"/>
      <c r="LEH12" s="114"/>
      <c r="LEI12" s="114"/>
      <c r="LEJ12" s="114"/>
      <c r="LEK12" s="114"/>
      <c r="LEL12" s="114"/>
      <c r="LEM12" s="114"/>
      <c r="LEN12" s="114"/>
      <c r="LEO12" s="114"/>
      <c r="LEP12" s="114"/>
      <c r="LEQ12" s="114"/>
      <c r="LER12" s="114"/>
      <c r="LES12" s="114"/>
      <c r="LET12" s="114"/>
      <c r="LEU12" s="114"/>
      <c r="LEV12" s="114"/>
      <c r="LEW12" s="114"/>
      <c r="LEX12" s="114"/>
      <c r="LEY12" s="114"/>
      <c r="LEZ12" s="114"/>
      <c r="LFA12" s="114"/>
      <c r="LFB12" s="114"/>
      <c r="LFC12" s="114"/>
      <c r="LFD12" s="114"/>
      <c r="LFE12" s="114"/>
      <c r="LFF12" s="114"/>
      <c r="LFG12" s="114"/>
      <c r="LFH12" s="114"/>
      <c r="LFI12" s="114"/>
      <c r="LFJ12" s="114"/>
      <c r="LFK12" s="114"/>
      <c r="LFL12" s="114"/>
      <c r="LFM12" s="114"/>
      <c r="LFN12" s="114"/>
      <c r="LFO12" s="114"/>
      <c r="LFP12" s="114"/>
      <c r="LFQ12" s="114"/>
      <c r="LFR12" s="114"/>
      <c r="LFS12" s="114"/>
      <c r="LFT12" s="114"/>
      <c r="LFU12" s="114"/>
      <c r="LFV12" s="114"/>
      <c r="LFW12" s="114"/>
      <c r="LFX12" s="114"/>
      <c r="LFY12" s="114"/>
      <c r="LFZ12" s="114"/>
      <c r="LGA12" s="114"/>
      <c r="LGB12" s="114"/>
      <c r="LGC12" s="114"/>
      <c r="LGD12" s="114"/>
      <c r="LGE12" s="114"/>
      <c r="LGF12" s="114"/>
      <c r="LGG12" s="114"/>
      <c r="LGH12" s="114"/>
      <c r="LGI12" s="114"/>
      <c r="LGJ12" s="114"/>
      <c r="LGK12" s="114"/>
      <c r="LGL12" s="114"/>
      <c r="LGM12" s="114"/>
      <c r="LGN12" s="114"/>
      <c r="LGO12" s="114"/>
      <c r="LGP12" s="114"/>
      <c r="LGQ12" s="114"/>
      <c r="LGR12" s="114"/>
      <c r="LGS12" s="114"/>
      <c r="LGT12" s="114"/>
      <c r="LGU12" s="114"/>
      <c r="LGV12" s="114"/>
      <c r="LGW12" s="114"/>
      <c r="LGX12" s="114"/>
      <c r="LGY12" s="114"/>
      <c r="LGZ12" s="114"/>
      <c r="LHA12" s="114"/>
      <c r="LHB12" s="114"/>
      <c r="LHC12" s="114"/>
      <c r="LHD12" s="114"/>
      <c r="LHE12" s="114"/>
      <c r="LHF12" s="114"/>
      <c r="LHG12" s="114"/>
      <c r="LHH12" s="114"/>
      <c r="LHI12" s="114"/>
      <c r="LHJ12" s="114"/>
      <c r="LHK12" s="114"/>
      <c r="LHL12" s="114"/>
      <c r="LHM12" s="114"/>
      <c r="LHN12" s="114"/>
      <c r="LHO12" s="114"/>
      <c r="LHP12" s="114"/>
      <c r="LHQ12" s="114"/>
      <c r="LHR12" s="114"/>
      <c r="LHS12" s="114"/>
      <c r="LHT12" s="114"/>
      <c r="LHU12" s="114"/>
      <c r="LHV12" s="114"/>
      <c r="LHW12" s="114"/>
      <c r="LHX12" s="114"/>
      <c r="LHY12" s="114"/>
      <c r="LHZ12" s="114"/>
      <c r="LIA12" s="114"/>
      <c r="LIB12" s="114"/>
      <c r="LIC12" s="114"/>
      <c r="LID12" s="114"/>
      <c r="LIE12" s="114"/>
      <c r="LIF12" s="114"/>
      <c r="LIG12" s="114"/>
      <c r="LIH12" s="114"/>
      <c r="LII12" s="114"/>
      <c r="LIJ12" s="114"/>
      <c r="LIK12" s="114"/>
      <c r="LIL12" s="114"/>
      <c r="LIM12" s="114"/>
      <c r="LIN12" s="114"/>
      <c r="LIO12" s="114"/>
      <c r="LIP12" s="114"/>
      <c r="LIQ12" s="114"/>
      <c r="LIR12" s="114"/>
      <c r="LIS12" s="114"/>
      <c r="LIT12" s="114"/>
      <c r="LIU12" s="114"/>
      <c r="LIV12" s="114"/>
      <c r="LIW12" s="114"/>
      <c r="LIX12" s="114"/>
      <c r="LIY12" s="114"/>
      <c r="LIZ12" s="114"/>
      <c r="LJA12" s="114"/>
      <c r="LJB12" s="114"/>
      <c r="LJC12" s="114"/>
      <c r="LJD12" s="114"/>
      <c r="LJE12" s="114"/>
      <c r="LJF12" s="114"/>
      <c r="LJG12" s="114"/>
      <c r="LJH12" s="114"/>
      <c r="LJI12" s="114"/>
      <c r="LJJ12" s="114"/>
      <c r="LJK12" s="114"/>
      <c r="LJL12" s="114"/>
      <c r="LJM12" s="114"/>
      <c r="LJN12" s="114"/>
      <c r="LJO12" s="114"/>
      <c r="LJP12" s="114"/>
      <c r="LJQ12" s="114"/>
      <c r="LJR12" s="114"/>
      <c r="LJS12" s="114"/>
      <c r="LJT12" s="114"/>
      <c r="LJU12" s="114"/>
      <c r="LJV12" s="114"/>
      <c r="LJW12" s="114"/>
      <c r="LJX12" s="114"/>
      <c r="LJY12" s="114"/>
      <c r="LJZ12" s="114"/>
      <c r="LKA12" s="114"/>
      <c r="LKB12" s="114"/>
      <c r="LKC12" s="114"/>
      <c r="LKD12" s="114"/>
      <c r="LKE12" s="114"/>
      <c r="LKF12" s="114"/>
      <c r="LKG12" s="114"/>
      <c r="LKH12" s="114"/>
      <c r="LKI12" s="114"/>
      <c r="LKJ12" s="114"/>
      <c r="LKK12" s="114"/>
      <c r="LKL12" s="114"/>
      <c r="LKM12" s="114"/>
      <c r="LKN12" s="114"/>
      <c r="LKO12" s="114"/>
      <c r="LKP12" s="114"/>
      <c r="LKQ12" s="114"/>
      <c r="LKR12" s="114"/>
      <c r="LKS12" s="114"/>
      <c r="LKT12" s="114"/>
      <c r="LKU12" s="114"/>
      <c r="LKV12" s="114"/>
      <c r="LKW12" s="114"/>
      <c r="LKX12" s="114"/>
      <c r="LKY12" s="114"/>
      <c r="LKZ12" s="114"/>
      <c r="LLA12" s="114"/>
      <c r="LLB12" s="114"/>
      <c r="LLC12" s="114"/>
      <c r="LLD12" s="114"/>
      <c r="LLE12" s="114"/>
      <c r="LLF12" s="114"/>
      <c r="LLG12" s="114"/>
      <c r="LLH12" s="114"/>
      <c r="LLI12" s="114"/>
      <c r="LLJ12" s="114"/>
      <c r="LLK12" s="114"/>
      <c r="LLL12" s="114"/>
      <c r="LLM12" s="114"/>
      <c r="LLN12" s="114"/>
      <c r="LLO12" s="114"/>
      <c r="LLP12" s="114"/>
      <c r="LLQ12" s="114"/>
      <c r="LLR12" s="114"/>
      <c r="LLS12" s="114"/>
      <c r="LLT12" s="114"/>
      <c r="LLU12" s="114"/>
      <c r="LLV12" s="114"/>
      <c r="LLW12" s="114"/>
      <c r="LLX12" s="114"/>
      <c r="LLY12" s="114"/>
      <c r="LLZ12" s="114"/>
      <c r="LMA12" s="114"/>
      <c r="LMB12" s="114"/>
      <c r="LMC12" s="114"/>
      <c r="LMD12" s="114"/>
      <c r="LME12" s="114"/>
      <c r="LMF12" s="114"/>
      <c r="LMG12" s="114"/>
      <c r="LMH12" s="114"/>
      <c r="LMI12" s="114"/>
      <c r="LMJ12" s="114"/>
      <c r="LMK12" s="114"/>
      <c r="LML12" s="114"/>
      <c r="LMM12" s="114"/>
      <c r="LMN12" s="114"/>
      <c r="LMO12" s="114"/>
      <c r="LMP12" s="114"/>
      <c r="LMQ12" s="114"/>
      <c r="LMR12" s="114"/>
      <c r="LMS12" s="114"/>
      <c r="LMT12" s="114"/>
      <c r="LMU12" s="114"/>
      <c r="LMV12" s="114"/>
      <c r="LMW12" s="114"/>
      <c r="LMX12" s="114"/>
      <c r="LMY12" s="114"/>
      <c r="LMZ12" s="114"/>
      <c r="LNA12" s="114"/>
      <c r="LNB12" s="114"/>
      <c r="LNC12" s="114"/>
      <c r="LND12" s="114"/>
      <c r="LNE12" s="114"/>
      <c r="LNF12" s="114"/>
      <c r="LNG12" s="114"/>
      <c r="LNH12" s="114"/>
      <c r="LNI12" s="114"/>
      <c r="LNJ12" s="114"/>
      <c r="LNK12" s="114"/>
      <c r="LNL12" s="114"/>
      <c r="LNM12" s="114"/>
      <c r="LNN12" s="114"/>
      <c r="LNO12" s="114"/>
      <c r="LNP12" s="114"/>
      <c r="LNQ12" s="114"/>
      <c r="LNR12" s="114"/>
      <c r="LNS12" s="114"/>
      <c r="LNT12" s="114"/>
      <c r="LNU12" s="114"/>
      <c r="LNV12" s="114"/>
      <c r="LNW12" s="114"/>
      <c r="LNX12" s="114"/>
      <c r="LNY12" s="114"/>
      <c r="LNZ12" s="114"/>
      <c r="LOA12" s="114"/>
      <c r="LOB12" s="114"/>
      <c r="LOC12" s="114"/>
      <c r="LOD12" s="114"/>
      <c r="LOE12" s="114"/>
      <c r="LOF12" s="114"/>
      <c r="LOG12" s="114"/>
      <c r="LOH12" s="114"/>
      <c r="LOI12" s="114"/>
      <c r="LOJ12" s="114"/>
      <c r="LOK12" s="114"/>
      <c r="LOL12" s="114"/>
      <c r="LOM12" s="114"/>
      <c r="LON12" s="114"/>
      <c r="LOO12" s="114"/>
      <c r="LOP12" s="114"/>
      <c r="LOQ12" s="114"/>
      <c r="LOR12" s="114"/>
      <c r="LOS12" s="114"/>
      <c r="LOT12" s="114"/>
      <c r="LOU12" s="114"/>
      <c r="LOV12" s="114"/>
      <c r="LOW12" s="114"/>
      <c r="LOX12" s="114"/>
      <c r="LOY12" s="114"/>
      <c r="LOZ12" s="114"/>
      <c r="LPA12" s="114"/>
      <c r="LPB12" s="114"/>
      <c r="LPC12" s="114"/>
      <c r="LPD12" s="114"/>
      <c r="LPE12" s="114"/>
      <c r="LPF12" s="114"/>
      <c r="LPG12" s="114"/>
      <c r="LPH12" s="114"/>
      <c r="LPI12" s="114"/>
      <c r="LPJ12" s="114"/>
      <c r="LPK12" s="114"/>
      <c r="LPL12" s="114"/>
      <c r="LPM12" s="114"/>
      <c r="LPN12" s="114"/>
      <c r="LPO12" s="114"/>
      <c r="LPP12" s="114"/>
      <c r="LPQ12" s="114"/>
      <c r="LPR12" s="114"/>
      <c r="LPS12" s="114"/>
      <c r="LPT12" s="114"/>
      <c r="LPU12" s="114"/>
      <c r="LPV12" s="114"/>
      <c r="LPW12" s="114"/>
      <c r="LPX12" s="114"/>
      <c r="LPY12" s="114"/>
      <c r="LPZ12" s="114"/>
      <c r="LQA12" s="114"/>
      <c r="LQB12" s="114"/>
      <c r="LQC12" s="114"/>
      <c r="LQD12" s="114"/>
      <c r="LQE12" s="114"/>
      <c r="LQF12" s="114"/>
      <c r="LQG12" s="114"/>
      <c r="LQH12" s="114"/>
      <c r="LQI12" s="114"/>
      <c r="LQJ12" s="114"/>
      <c r="LQK12" s="114"/>
      <c r="LQL12" s="114"/>
      <c r="LQM12" s="114"/>
      <c r="LQN12" s="114"/>
      <c r="LQO12" s="114"/>
      <c r="LQP12" s="114"/>
      <c r="LQQ12" s="114"/>
      <c r="LQR12" s="114"/>
      <c r="LQS12" s="114"/>
      <c r="LQT12" s="114"/>
      <c r="LQU12" s="114"/>
      <c r="LQV12" s="114"/>
      <c r="LQW12" s="114"/>
      <c r="LQX12" s="114"/>
      <c r="LQY12" s="114"/>
      <c r="LQZ12" s="114"/>
      <c r="LRA12" s="114"/>
      <c r="LRB12" s="114"/>
      <c r="LRC12" s="114"/>
      <c r="LRD12" s="114"/>
      <c r="LRE12" s="114"/>
      <c r="LRF12" s="114"/>
      <c r="LRG12" s="114"/>
      <c r="LRH12" s="114"/>
      <c r="LRI12" s="114"/>
      <c r="LRJ12" s="114"/>
      <c r="LRK12" s="114"/>
      <c r="LRL12" s="114"/>
      <c r="LRM12" s="114"/>
      <c r="LRN12" s="114"/>
      <c r="LRO12" s="114"/>
      <c r="LRP12" s="114"/>
      <c r="LRQ12" s="114"/>
      <c r="LRR12" s="114"/>
      <c r="LRS12" s="114"/>
      <c r="LRT12" s="114"/>
      <c r="LRU12" s="114"/>
      <c r="LRV12" s="114"/>
      <c r="LRW12" s="114"/>
      <c r="LRX12" s="114"/>
      <c r="LRY12" s="114"/>
      <c r="LRZ12" s="114"/>
      <c r="LSA12" s="114"/>
      <c r="LSB12" s="114"/>
      <c r="LSC12" s="114"/>
      <c r="LSD12" s="114"/>
      <c r="LSE12" s="114"/>
      <c r="LSF12" s="114"/>
      <c r="LSG12" s="114"/>
      <c r="LSH12" s="114"/>
      <c r="LSI12" s="114"/>
      <c r="LSJ12" s="114"/>
      <c r="LSK12" s="114"/>
      <c r="LSL12" s="114"/>
      <c r="LSM12" s="114"/>
      <c r="LSN12" s="114"/>
      <c r="LSO12" s="114"/>
      <c r="LSP12" s="114"/>
      <c r="LSQ12" s="114"/>
      <c r="LSR12" s="114"/>
      <c r="LSS12" s="114"/>
      <c r="LST12" s="114"/>
      <c r="LSU12" s="114"/>
      <c r="LSV12" s="114"/>
      <c r="LSW12" s="114"/>
      <c r="LSX12" s="114"/>
      <c r="LSY12" s="114"/>
      <c r="LSZ12" s="114"/>
      <c r="LTA12" s="114"/>
      <c r="LTB12" s="114"/>
      <c r="LTC12" s="114"/>
      <c r="LTD12" s="114"/>
      <c r="LTE12" s="114"/>
      <c r="LTF12" s="114"/>
      <c r="LTG12" s="114"/>
      <c r="LTH12" s="114"/>
      <c r="LTI12" s="114"/>
      <c r="LTJ12" s="114"/>
      <c r="LTK12" s="114"/>
      <c r="LTL12" s="114"/>
      <c r="LTM12" s="114"/>
      <c r="LTN12" s="114"/>
      <c r="LTO12" s="114"/>
      <c r="LTP12" s="114"/>
      <c r="LTQ12" s="114"/>
      <c r="LTR12" s="114"/>
      <c r="LTS12" s="114"/>
      <c r="LTT12" s="114"/>
      <c r="LTU12" s="114"/>
      <c r="LTV12" s="114"/>
      <c r="LTW12" s="114"/>
      <c r="LTX12" s="114"/>
      <c r="LTY12" s="114"/>
      <c r="LTZ12" s="114"/>
      <c r="LUA12" s="114"/>
      <c r="LUB12" s="114"/>
      <c r="LUC12" s="114"/>
      <c r="LUD12" s="114"/>
      <c r="LUE12" s="114"/>
      <c r="LUF12" s="114"/>
      <c r="LUG12" s="114"/>
      <c r="LUH12" s="114"/>
      <c r="LUI12" s="114"/>
      <c r="LUJ12" s="114"/>
      <c r="LUK12" s="114"/>
      <c r="LUL12" s="114"/>
      <c r="LUM12" s="114"/>
      <c r="LUN12" s="114"/>
      <c r="LUO12" s="114"/>
      <c r="LUP12" s="114"/>
      <c r="LUQ12" s="114"/>
      <c r="LUR12" s="114"/>
      <c r="LUS12" s="114"/>
      <c r="LUT12" s="114"/>
      <c r="LUU12" s="114"/>
      <c r="LUV12" s="114"/>
      <c r="LUW12" s="114"/>
      <c r="LUX12" s="114"/>
      <c r="LUY12" s="114"/>
      <c r="LUZ12" s="114"/>
      <c r="LVA12" s="114"/>
      <c r="LVB12" s="114"/>
      <c r="LVC12" s="114"/>
      <c r="LVD12" s="114"/>
      <c r="LVE12" s="114"/>
      <c r="LVF12" s="114"/>
      <c r="LVG12" s="114"/>
      <c r="LVH12" s="114"/>
      <c r="LVI12" s="114"/>
      <c r="LVJ12" s="114"/>
      <c r="LVK12" s="114"/>
      <c r="LVL12" s="114"/>
      <c r="LVM12" s="114"/>
      <c r="LVN12" s="114"/>
      <c r="LVO12" s="114"/>
      <c r="LVP12" s="114"/>
      <c r="LVQ12" s="114"/>
      <c r="LVR12" s="114"/>
      <c r="LVS12" s="114"/>
      <c r="LVT12" s="114"/>
      <c r="LVU12" s="114"/>
      <c r="LVV12" s="114"/>
      <c r="LVW12" s="114"/>
      <c r="LVX12" s="114"/>
      <c r="LVY12" s="114"/>
      <c r="LVZ12" s="114"/>
      <c r="LWA12" s="114"/>
      <c r="LWB12" s="114"/>
      <c r="LWC12" s="114"/>
      <c r="LWD12" s="114"/>
      <c r="LWE12" s="114"/>
      <c r="LWF12" s="114"/>
      <c r="LWG12" s="114"/>
      <c r="LWH12" s="114"/>
      <c r="LWI12" s="114"/>
      <c r="LWJ12" s="114"/>
      <c r="LWK12" s="114"/>
      <c r="LWL12" s="114"/>
      <c r="LWM12" s="114"/>
      <c r="LWN12" s="114"/>
      <c r="LWO12" s="114"/>
      <c r="LWP12" s="114"/>
      <c r="LWQ12" s="114"/>
      <c r="LWR12" s="114"/>
      <c r="LWS12" s="114"/>
      <c r="LWT12" s="114"/>
      <c r="LWU12" s="114"/>
      <c r="LWV12" s="114"/>
      <c r="LWW12" s="114"/>
      <c r="LWX12" s="114"/>
      <c r="LWY12" s="114"/>
      <c r="LWZ12" s="114"/>
      <c r="LXA12" s="114"/>
      <c r="LXB12" s="114"/>
      <c r="LXC12" s="114"/>
      <c r="LXD12" s="114"/>
      <c r="LXE12" s="114"/>
      <c r="LXF12" s="114"/>
      <c r="LXG12" s="114"/>
      <c r="LXH12" s="114"/>
      <c r="LXI12" s="114"/>
      <c r="LXJ12" s="114"/>
      <c r="LXK12" s="114"/>
      <c r="LXL12" s="114"/>
      <c r="LXM12" s="114"/>
      <c r="LXN12" s="114"/>
      <c r="LXO12" s="114"/>
      <c r="LXP12" s="114"/>
      <c r="LXQ12" s="114"/>
      <c r="LXR12" s="114"/>
      <c r="LXS12" s="114"/>
      <c r="LXT12" s="114"/>
      <c r="LXU12" s="114"/>
      <c r="LXV12" s="114"/>
      <c r="LXW12" s="114"/>
      <c r="LXX12" s="114"/>
      <c r="LXY12" s="114"/>
      <c r="LXZ12" s="114"/>
      <c r="LYA12" s="114"/>
      <c r="LYB12" s="114"/>
      <c r="LYC12" s="114"/>
      <c r="LYD12" s="114"/>
      <c r="LYE12" s="114"/>
      <c r="LYF12" s="114"/>
      <c r="LYG12" s="114"/>
      <c r="LYH12" s="114"/>
      <c r="LYI12" s="114"/>
      <c r="LYJ12" s="114"/>
      <c r="LYK12" s="114"/>
      <c r="LYL12" s="114"/>
      <c r="LYM12" s="114"/>
      <c r="LYN12" s="114"/>
      <c r="LYO12" s="114"/>
      <c r="LYP12" s="114"/>
      <c r="LYQ12" s="114"/>
      <c r="LYR12" s="114"/>
      <c r="LYS12" s="114"/>
      <c r="LYT12" s="114"/>
      <c r="LYU12" s="114"/>
      <c r="LYV12" s="114"/>
      <c r="LYW12" s="114"/>
      <c r="LYX12" s="114"/>
      <c r="LYY12" s="114"/>
      <c r="LYZ12" s="114"/>
      <c r="LZA12" s="114"/>
      <c r="LZB12" s="114"/>
      <c r="LZC12" s="114"/>
      <c r="LZD12" s="114"/>
      <c r="LZE12" s="114"/>
      <c r="LZF12" s="114"/>
      <c r="LZG12" s="114"/>
      <c r="LZH12" s="114"/>
      <c r="LZI12" s="114"/>
      <c r="LZJ12" s="114"/>
      <c r="LZK12" s="114"/>
      <c r="LZL12" s="114"/>
      <c r="LZM12" s="114"/>
      <c r="LZN12" s="114"/>
      <c r="LZO12" s="114"/>
      <c r="LZP12" s="114"/>
      <c r="LZQ12" s="114"/>
      <c r="LZR12" s="114"/>
      <c r="LZS12" s="114"/>
      <c r="LZT12" s="114"/>
      <c r="LZU12" s="114"/>
      <c r="LZV12" s="114"/>
      <c r="LZW12" s="114"/>
      <c r="LZX12" s="114"/>
      <c r="LZY12" s="114"/>
      <c r="LZZ12" s="114"/>
      <c r="MAA12" s="114"/>
      <c r="MAB12" s="114"/>
      <c r="MAC12" s="114"/>
      <c r="MAD12" s="114"/>
      <c r="MAE12" s="114"/>
      <c r="MAF12" s="114"/>
      <c r="MAG12" s="114"/>
      <c r="MAH12" s="114"/>
      <c r="MAI12" s="114"/>
      <c r="MAJ12" s="114"/>
      <c r="MAK12" s="114"/>
      <c r="MAL12" s="114"/>
      <c r="MAM12" s="114"/>
      <c r="MAN12" s="114"/>
      <c r="MAO12" s="114"/>
      <c r="MAP12" s="114"/>
      <c r="MAQ12" s="114"/>
      <c r="MAR12" s="114"/>
      <c r="MAS12" s="114"/>
      <c r="MAT12" s="114"/>
      <c r="MAU12" s="114"/>
      <c r="MAV12" s="114"/>
      <c r="MAW12" s="114"/>
      <c r="MAX12" s="114"/>
      <c r="MAY12" s="114"/>
      <c r="MAZ12" s="114"/>
      <c r="MBA12" s="114"/>
      <c r="MBB12" s="114"/>
      <c r="MBC12" s="114"/>
      <c r="MBD12" s="114"/>
      <c r="MBE12" s="114"/>
      <c r="MBF12" s="114"/>
      <c r="MBG12" s="114"/>
      <c r="MBH12" s="114"/>
      <c r="MBI12" s="114"/>
      <c r="MBJ12" s="114"/>
      <c r="MBK12" s="114"/>
      <c r="MBL12" s="114"/>
      <c r="MBM12" s="114"/>
      <c r="MBN12" s="114"/>
      <c r="MBO12" s="114"/>
      <c r="MBP12" s="114"/>
      <c r="MBQ12" s="114"/>
      <c r="MBR12" s="114"/>
      <c r="MBS12" s="114"/>
      <c r="MBT12" s="114"/>
      <c r="MBU12" s="114"/>
      <c r="MBV12" s="114"/>
      <c r="MBW12" s="114"/>
      <c r="MBX12" s="114"/>
      <c r="MBY12" s="114"/>
      <c r="MBZ12" s="114"/>
      <c r="MCA12" s="114"/>
      <c r="MCB12" s="114"/>
      <c r="MCC12" s="114"/>
      <c r="MCD12" s="114"/>
      <c r="MCE12" s="114"/>
      <c r="MCF12" s="114"/>
      <c r="MCG12" s="114"/>
      <c r="MCH12" s="114"/>
      <c r="MCI12" s="114"/>
      <c r="MCJ12" s="114"/>
      <c r="MCK12" s="114"/>
      <c r="MCL12" s="114"/>
      <c r="MCM12" s="114"/>
      <c r="MCN12" s="114"/>
      <c r="MCO12" s="114"/>
      <c r="MCP12" s="114"/>
      <c r="MCQ12" s="114"/>
      <c r="MCR12" s="114"/>
      <c r="MCS12" s="114"/>
      <c r="MCT12" s="114"/>
      <c r="MCU12" s="114"/>
      <c r="MCV12" s="114"/>
      <c r="MCW12" s="114"/>
      <c r="MCX12" s="114"/>
      <c r="MCY12" s="114"/>
      <c r="MCZ12" s="114"/>
      <c r="MDA12" s="114"/>
      <c r="MDB12" s="114"/>
      <c r="MDC12" s="114"/>
      <c r="MDD12" s="114"/>
      <c r="MDE12" s="114"/>
      <c r="MDF12" s="114"/>
      <c r="MDG12" s="114"/>
      <c r="MDH12" s="114"/>
      <c r="MDI12" s="114"/>
      <c r="MDJ12" s="114"/>
      <c r="MDK12" s="114"/>
      <c r="MDL12" s="114"/>
      <c r="MDM12" s="114"/>
      <c r="MDN12" s="114"/>
      <c r="MDO12" s="114"/>
      <c r="MDP12" s="114"/>
      <c r="MDQ12" s="114"/>
      <c r="MDR12" s="114"/>
      <c r="MDS12" s="114"/>
      <c r="MDT12" s="114"/>
      <c r="MDU12" s="114"/>
      <c r="MDV12" s="114"/>
      <c r="MDW12" s="114"/>
      <c r="MDX12" s="114"/>
      <c r="MDY12" s="114"/>
      <c r="MDZ12" s="114"/>
      <c r="MEA12" s="114"/>
      <c r="MEB12" s="114"/>
      <c r="MEC12" s="114"/>
      <c r="MED12" s="114"/>
      <c r="MEE12" s="114"/>
      <c r="MEF12" s="114"/>
      <c r="MEG12" s="114"/>
      <c r="MEH12" s="114"/>
      <c r="MEI12" s="114"/>
      <c r="MEJ12" s="114"/>
      <c r="MEK12" s="114"/>
      <c r="MEL12" s="114"/>
      <c r="MEM12" s="114"/>
      <c r="MEN12" s="114"/>
      <c r="MEO12" s="114"/>
      <c r="MEP12" s="114"/>
      <c r="MEQ12" s="114"/>
      <c r="MER12" s="114"/>
      <c r="MES12" s="114"/>
      <c r="MET12" s="114"/>
      <c r="MEU12" s="114"/>
      <c r="MEV12" s="114"/>
      <c r="MEW12" s="114"/>
      <c r="MEX12" s="114"/>
      <c r="MEY12" s="114"/>
      <c r="MEZ12" s="114"/>
      <c r="MFA12" s="114"/>
      <c r="MFB12" s="114"/>
      <c r="MFC12" s="114"/>
      <c r="MFD12" s="114"/>
      <c r="MFE12" s="114"/>
      <c r="MFF12" s="114"/>
      <c r="MFG12" s="114"/>
      <c r="MFH12" s="114"/>
      <c r="MFI12" s="114"/>
      <c r="MFJ12" s="114"/>
      <c r="MFK12" s="114"/>
      <c r="MFL12" s="114"/>
      <c r="MFM12" s="114"/>
      <c r="MFN12" s="114"/>
      <c r="MFO12" s="114"/>
      <c r="MFP12" s="114"/>
      <c r="MFQ12" s="114"/>
      <c r="MFR12" s="114"/>
      <c r="MFS12" s="114"/>
      <c r="MFT12" s="114"/>
      <c r="MFU12" s="114"/>
      <c r="MFV12" s="114"/>
      <c r="MFW12" s="114"/>
      <c r="MFX12" s="114"/>
      <c r="MFY12" s="114"/>
      <c r="MFZ12" s="114"/>
      <c r="MGA12" s="114"/>
      <c r="MGB12" s="114"/>
      <c r="MGC12" s="114"/>
      <c r="MGD12" s="114"/>
      <c r="MGE12" s="114"/>
      <c r="MGF12" s="114"/>
      <c r="MGG12" s="114"/>
      <c r="MGH12" s="114"/>
      <c r="MGI12" s="114"/>
      <c r="MGJ12" s="114"/>
      <c r="MGK12" s="114"/>
      <c r="MGL12" s="114"/>
      <c r="MGM12" s="114"/>
      <c r="MGN12" s="114"/>
      <c r="MGO12" s="114"/>
      <c r="MGP12" s="114"/>
      <c r="MGQ12" s="114"/>
      <c r="MGR12" s="114"/>
      <c r="MGS12" s="114"/>
      <c r="MGT12" s="114"/>
      <c r="MGU12" s="114"/>
      <c r="MGV12" s="114"/>
      <c r="MGW12" s="114"/>
      <c r="MGX12" s="114"/>
      <c r="MGY12" s="114"/>
      <c r="MGZ12" s="114"/>
      <c r="MHA12" s="114"/>
      <c r="MHB12" s="114"/>
      <c r="MHC12" s="114"/>
      <c r="MHD12" s="114"/>
      <c r="MHE12" s="114"/>
      <c r="MHF12" s="114"/>
      <c r="MHG12" s="114"/>
      <c r="MHH12" s="114"/>
      <c r="MHI12" s="114"/>
      <c r="MHJ12" s="114"/>
      <c r="MHK12" s="114"/>
      <c r="MHL12" s="114"/>
      <c r="MHM12" s="114"/>
      <c r="MHN12" s="114"/>
      <c r="MHO12" s="114"/>
      <c r="MHP12" s="114"/>
      <c r="MHQ12" s="114"/>
      <c r="MHR12" s="114"/>
      <c r="MHS12" s="114"/>
      <c r="MHT12" s="114"/>
      <c r="MHU12" s="114"/>
      <c r="MHV12" s="114"/>
      <c r="MHW12" s="114"/>
      <c r="MHX12" s="114"/>
      <c r="MHY12" s="114"/>
      <c r="MHZ12" s="114"/>
      <c r="MIA12" s="114"/>
      <c r="MIB12" s="114"/>
      <c r="MIC12" s="114"/>
      <c r="MID12" s="114"/>
      <c r="MIE12" s="114"/>
      <c r="MIF12" s="114"/>
      <c r="MIG12" s="114"/>
      <c r="MIH12" s="114"/>
      <c r="MII12" s="114"/>
      <c r="MIJ12" s="114"/>
      <c r="MIK12" s="114"/>
      <c r="MIL12" s="114"/>
      <c r="MIM12" s="114"/>
      <c r="MIN12" s="114"/>
      <c r="MIO12" s="114"/>
      <c r="MIP12" s="114"/>
      <c r="MIQ12" s="114"/>
      <c r="MIR12" s="114"/>
      <c r="MIS12" s="114"/>
      <c r="MIT12" s="114"/>
      <c r="MIU12" s="114"/>
      <c r="MIV12" s="114"/>
      <c r="MIW12" s="114"/>
      <c r="MIX12" s="114"/>
      <c r="MIY12" s="114"/>
      <c r="MIZ12" s="114"/>
      <c r="MJA12" s="114"/>
      <c r="MJB12" s="114"/>
      <c r="MJC12" s="114"/>
      <c r="MJD12" s="114"/>
      <c r="MJE12" s="114"/>
      <c r="MJF12" s="114"/>
      <c r="MJG12" s="114"/>
      <c r="MJH12" s="114"/>
      <c r="MJI12" s="114"/>
      <c r="MJJ12" s="114"/>
      <c r="MJK12" s="114"/>
      <c r="MJL12" s="114"/>
      <c r="MJM12" s="114"/>
      <c r="MJN12" s="114"/>
      <c r="MJO12" s="114"/>
      <c r="MJP12" s="114"/>
      <c r="MJQ12" s="114"/>
      <c r="MJR12" s="114"/>
      <c r="MJS12" s="114"/>
      <c r="MJT12" s="114"/>
      <c r="MJU12" s="114"/>
      <c r="MJV12" s="114"/>
      <c r="MJW12" s="114"/>
      <c r="MJX12" s="114"/>
      <c r="MJY12" s="114"/>
      <c r="MJZ12" s="114"/>
      <c r="MKA12" s="114"/>
      <c r="MKB12" s="114"/>
      <c r="MKC12" s="114"/>
      <c r="MKD12" s="114"/>
      <c r="MKE12" s="114"/>
      <c r="MKF12" s="114"/>
      <c r="MKG12" s="114"/>
      <c r="MKH12" s="114"/>
      <c r="MKI12" s="114"/>
      <c r="MKJ12" s="114"/>
      <c r="MKK12" s="114"/>
      <c r="MKL12" s="114"/>
      <c r="MKM12" s="114"/>
      <c r="MKN12" s="114"/>
      <c r="MKO12" s="114"/>
      <c r="MKP12" s="114"/>
      <c r="MKQ12" s="114"/>
      <c r="MKR12" s="114"/>
      <c r="MKS12" s="114"/>
      <c r="MKT12" s="114"/>
      <c r="MKU12" s="114"/>
      <c r="MKV12" s="114"/>
      <c r="MKW12" s="114"/>
      <c r="MKX12" s="114"/>
      <c r="MKY12" s="114"/>
      <c r="MKZ12" s="114"/>
      <c r="MLA12" s="114"/>
      <c r="MLB12" s="114"/>
      <c r="MLC12" s="114"/>
      <c r="MLD12" s="114"/>
      <c r="MLE12" s="114"/>
      <c r="MLF12" s="114"/>
      <c r="MLG12" s="114"/>
      <c r="MLH12" s="114"/>
      <c r="MLI12" s="114"/>
      <c r="MLJ12" s="114"/>
      <c r="MLK12" s="114"/>
      <c r="MLL12" s="114"/>
      <c r="MLM12" s="114"/>
      <c r="MLN12" s="114"/>
      <c r="MLO12" s="114"/>
      <c r="MLP12" s="114"/>
      <c r="MLQ12" s="114"/>
      <c r="MLR12" s="114"/>
      <c r="MLS12" s="114"/>
      <c r="MLT12" s="114"/>
      <c r="MLU12" s="114"/>
      <c r="MLV12" s="114"/>
      <c r="MLW12" s="114"/>
      <c r="MLX12" s="114"/>
      <c r="MLY12" s="114"/>
      <c r="MLZ12" s="114"/>
      <c r="MMA12" s="114"/>
      <c r="MMB12" s="114"/>
      <c r="MMC12" s="114"/>
      <c r="MMD12" s="114"/>
      <c r="MME12" s="114"/>
      <c r="MMF12" s="114"/>
      <c r="MMG12" s="114"/>
      <c r="MMH12" s="114"/>
      <c r="MMI12" s="114"/>
      <c r="MMJ12" s="114"/>
      <c r="MMK12" s="114"/>
      <c r="MML12" s="114"/>
      <c r="MMM12" s="114"/>
      <c r="MMN12" s="114"/>
      <c r="MMO12" s="114"/>
      <c r="MMP12" s="114"/>
      <c r="MMQ12" s="114"/>
      <c r="MMR12" s="114"/>
      <c r="MMS12" s="114"/>
      <c r="MMT12" s="114"/>
      <c r="MMU12" s="114"/>
      <c r="MMV12" s="114"/>
      <c r="MMW12" s="114"/>
      <c r="MMX12" s="114"/>
      <c r="MMY12" s="114"/>
      <c r="MMZ12" s="114"/>
      <c r="MNA12" s="114"/>
      <c r="MNB12" s="114"/>
      <c r="MNC12" s="114"/>
      <c r="MND12" s="114"/>
      <c r="MNE12" s="114"/>
      <c r="MNF12" s="114"/>
      <c r="MNG12" s="114"/>
      <c r="MNH12" s="114"/>
      <c r="MNI12" s="114"/>
      <c r="MNJ12" s="114"/>
      <c r="MNK12" s="114"/>
      <c r="MNL12" s="114"/>
      <c r="MNM12" s="114"/>
      <c r="MNN12" s="114"/>
      <c r="MNO12" s="114"/>
      <c r="MNP12" s="114"/>
      <c r="MNQ12" s="114"/>
      <c r="MNR12" s="114"/>
      <c r="MNS12" s="114"/>
      <c r="MNT12" s="114"/>
      <c r="MNU12" s="114"/>
      <c r="MNV12" s="114"/>
      <c r="MNW12" s="114"/>
      <c r="MNX12" s="114"/>
      <c r="MNY12" s="114"/>
      <c r="MNZ12" s="114"/>
      <c r="MOA12" s="114"/>
      <c r="MOB12" s="114"/>
      <c r="MOC12" s="114"/>
      <c r="MOD12" s="114"/>
      <c r="MOE12" s="114"/>
      <c r="MOF12" s="114"/>
      <c r="MOG12" s="114"/>
      <c r="MOH12" s="114"/>
      <c r="MOI12" s="114"/>
      <c r="MOJ12" s="114"/>
      <c r="MOK12" s="114"/>
      <c r="MOL12" s="114"/>
      <c r="MOM12" s="114"/>
      <c r="MON12" s="114"/>
      <c r="MOO12" s="114"/>
      <c r="MOP12" s="114"/>
      <c r="MOQ12" s="114"/>
      <c r="MOR12" s="114"/>
      <c r="MOS12" s="114"/>
      <c r="MOT12" s="114"/>
      <c r="MOU12" s="114"/>
      <c r="MOV12" s="114"/>
      <c r="MOW12" s="114"/>
      <c r="MOX12" s="114"/>
      <c r="MOY12" s="114"/>
      <c r="MOZ12" s="114"/>
      <c r="MPA12" s="114"/>
      <c r="MPB12" s="114"/>
      <c r="MPC12" s="114"/>
      <c r="MPD12" s="114"/>
      <c r="MPE12" s="114"/>
      <c r="MPF12" s="114"/>
      <c r="MPG12" s="114"/>
      <c r="MPH12" s="114"/>
      <c r="MPI12" s="114"/>
      <c r="MPJ12" s="114"/>
      <c r="MPK12" s="114"/>
      <c r="MPL12" s="114"/>
      <c r="MPM12" s="114"/>
      <c r="MPN12" s="114"/>
      <c r="MPO12" s="114"/>
      <c r="MPP12" s="114"/>
      <c r="MPQ12" s="114"/>
      <c r="MPR12" s="114"/>
      <c r="MPS12" s="114"/>
      <c r="MPT12" s="114"/>
      <c r="MPU12" s="114"/>
      <c r="MPV12" s="114"/>
      <c r="MPW12" s="114"/>
      <c r="MPX12" s="114"/>
      <c r="MPY12" s="114"/>
      <c r="MPZ12" s="114"/>
      <c r="MQA12" s="114"/>
      <c r="MQB12" s="114"/>
      <c r="MQC12" s="114"/>
      <c r="MQD12" s="114"/>
      <c r="MQE12" s="114"/>
      <c r="MQF12" s="114"/>
      <c r="MQG12" s="114"/>
      <c r="MQH12" s="114"/>
      <c r="MQI12" s="114"/>
      <c r="MQJ12" s="114"/>
      <c r="MQK12" s="114"/>
      <c r="MQL12" s="114"/>
      <c r="MQM12" s="114"/>
      <c r="MQN12" s="114"/>
      <c r="MQO12" s="114"/>
      <c r="MQP12" s="114"/>
      <c r="MQQ12" s="114"/>
      <c r="MQR12" s="114"/>
      <c r="MQS12" s="114"/>
      <c r="MQT12" s="114"/>
      <c r="MQU12" s="114"/>
      <c r="MQV12" s="114"/>
      <c r="MQW12" s="114"/>
      <c r="MQX12" s="114"/>
      <c r="MQY12" s="114"/>
      <c r="MQZ12" s="114"/>
      <c r="MRA12" s="114"/>
      <c r="MRB12" s="114"/>
      <c r="MRC12" s="114"/>
      <c r="MRD12" s="114"/>
      <c r="MRE12" s="114"/>
      <c r="MRF12" s="114"/>
      <c r="MRG12" s="114"/>
      <c r="MRH12" s="114"/>
      <c r="MRI12" s="114"/>
      <c r="MRJ12" s="114"/>
      <c r="MRK12" s="114"/>
      <c r="MRL12" s="114"/>
      <c r="MRM12" s="114"/>
      <c r="MRN12" s="114"/>
      <c r="MRO12" s="114"/>
      <c r="MRP12" s="114"/>
      <c r="MRQ12" s="114"/>
      <c r="MRR12" s="114"/>
      <c r="MRS12" s="114"/>
      <c r="MRT12" s="114"/>
      <c r="MRU12" s="114"/>
      <c r="MRV12" s="114"/>
      <c r="MRW12" s="114"/>
      <c r="MRX12" s="114"/>
      <c r="MRY12" s="114"/>
      <c r="MRZ12" s="114"/>
      <c r="MSA12" s="114"/>
      <c r="MSB12" s="114"/>
      <c r="MSC12" s="114"/>
      <c r="MSD12" s="114"/>
      <c r="MSE12" s="114"/>
      <c r="MSF12" s="114"/>
      <c r="MSG12" s="114"/>
      <c r="MSH12" s="114"/>
      <c r="MSI12" s="114"/>
      <c r="MSJ12" s="114"/>
      <c r="MSK12" s="114"/>
      <c r="MSL12" s="114"/>
      <c r="MSM12" s="114"/>
      <c r="MSN12" s="114"/>
      <c r="MSO12" s="114"/>
      <c r="MSP12" s="114"/>
      <c r="MSQ12" s="114"/>
      <c r="MSR12" s="114"/>
      <c r="MSS12" s="114"/>
      <c r="MST12" s="114"/>
      <c r="MSU12" s="114"/>
      <c r="MSV12" s="114"/>
      <c r="MSW12" s="114"/>
      <c r="MSX12" s="114"/>
      <c r="MSY12" s="114"/>
      <c r="MSZ12" s="114"/>
      <c r="MTA12" s="114"/>
      <c r="MTB12" s="114"/>
      <c r="MTC12" s="114"/>
      <c r="MTD12" s="114"/>
      <c r="MTE12" s="114"/>
      <c r="MTF12" s="114"/>
      <c r="MTG12" s="114"/>
      <c r="MTH12" s="114"/>
      <c r="MTI12" s="114"/>
      <c r="MTJ12" s="114"/>
      <c r="MTK12" s="114"/>
      <c r="MTL12" s="114"/>
      <c r="MTM12" s="114"/>
      <c r="MTN12" s="114"/>
      <c r="MTO12" s="114"/>
      <c r="MTP12" s="114"/>
      <c r="MTQ12" s="114"/>
      <c r="MTR12" s="114"/>
      <c r="MTS12" s="114"/>
      <c r="MTT12" s="114"/>
      <c r="MTU12" s="114"/>
      <c r="MTV12" s="114"/>
      <c r="MTW12" s="114"/>
      <c r="MTX12" s="114"/>
      <c r="MTY12" s="114"/>
      <c r="MTZ12" s="114"/>
      <c r="MUA12" s="114"/>
      <c r="MUB12" s="114"/>
      <c r="MUC12" s="114"/>
      <c r="MUD12" s="114"/>
      <c r="MUE12" s="114"/>
      <c r="MUF12" s="114"/>
      <c r="MUG12" s="114"/>
      <c r="MUH12" s="114"/>
      <c r="MUI12" s="114"/>
      <c r="MUJ12" s="114"/>
      <c r="MUK12" s="114"/>
      <c r="MUL12" s="114"/>
      <c r="MUM12" s="114"/>
      <c r="MUN12" s="114"/>
      <c r="MUO12" s="114"/>
      <c r="MUP12" s="114"/>
      <c r="MUQ12" s="114"/>
      <c r="MUR12" s="114"/>
      <c r="MUS12" s="114"/>
      <c r="MUT12" s="114"/>
      <c r="MUU12" s="114"/>
      <c r="MUV12" s="114"/>
      <c r="MUW12" s="114"/>
      <c r="MUX12" s="114"/>
      <c r="MUY12" s="114"/>
      <c r="MUZ12" s="114"/>
      <c r="MVA12" s="114"/>
      <c r="MVB12" s="114"/>
      <c r="MVC12" s="114"/>
      <c r="MVD12" s="114"/>
      <c r="MVE12" s="114"/>
      <c r="MVF12" s="114"/>
      <c r="MVG12" s="114"/>
      <c r="MVH12" s="114"/>
      <c r="MVI12" s="114"/>
      <c r="MVJ12" s="114"/>
      <c r="MVK12" s="114"/>
      <c r="MVL12" s="114"/>
      <c r="MVM12" s="114"/>
      <c r="MVN12" s="114"/>
      <c r="MVO12" s="114"/>
      <c r="MVP12" s="114"/>
      <c r="MVQ12" s="114"/>
      <c r="MVR12" s="114"/>
      <c r="MVS12" s="114"/>
      <c r="MVT12" s="114"/>
      <c r="MVU12" s="114"/>
      <c r="MVV12" s="114"/>
      <c r="MVW12" s="114"/>
      <c r="MVX12" s="114"/>
      <c r="MVY12" s="114"/>
      <c r="MVZ12" s="114"/>
      <c r="MWA12" s="114"/>
      <c r="MWB12" s="114"/>
      <c r="MWC12" s="114"/>
      <c r="MWD12" s="114"/>
      <c r="MWE12" s="114"/>
      <c r="MWF12" s="114"/>
      <c r="MWG12" s="114"/>
      <c r="MWH12" s="114"/>
      <c r="MWI12" s="114"/>
      <c r="MWJ12" s="114"/>
      <c r="MWK12" s="114"/>
      <c r="MWL12" s="114"/>
      <c r="MWM12" s="114"/>
      <c r="MWN12" s="114"/>
      <c r="MWO12" s="114"/>
      <c r="MWP12" s="114"/>
      <c r="MWQ12" s="114"/>
      <c r="MWR12" s="114"/>
      <c r="MWS12" s="114"/>
      <c r="MWT12" s="114"/>
      <c r="MWU12" s="114"/>
      <c r="MWV12" s="114"/>
      <c r="MWW12" s="114"/>
      <c r="MWX12" s="114"/>
      <c r="MWY12" s="114"/>
      <c r="MWZ12" s="114"/>
      <c r="MXA12" s="114"/>
      <c r="MXB12" s="114"/>
      <c r="MXC12" s="114"/>
      <c r="MXD12" s="114"/>
      <c r="MXE12" s="114"/>
      <c r="MXF12" s="114"/>
      <c r="MXG12" s="114"/>
      <c r="MXH12" s="114"/>
      <c r="MXI12" s="114"/>
      <c r="MXJ12" s="114"/>
      <c r="MXK12" s="114"/>
      <c r="MXL12" s="114"/>
      <c r="MXM12" s="114"/>
      <c r="MXN12" s="114"/>
      <c r="MXO12" s="114"/>
      <c r="MXP12" s="114"/>
      <c r="MXQ12" s="114"/>
      <c r="MXR12" s="114"/>
      <c r="MXS12" s="114"/>
      <c r="MXT12" s="114"/>
      <c r="MXU12" s="114"/>
      <c r="MXV12" s="114"/>
      <c r="MXW12" s="114"/>
      <c r="MXX12" s="114"/>
      <c r="MXY12" s="114"/>
      <c r="MXZ12" s="114"/>
      <c r="MYA12" s="114"/>
      <c r="MYB12" s="114"/>
      <c r="MYC12" s="114"/>
      <c r="MYD12" s="114"/>
      <c r="MYE12" s="114"/>
      <c r="MYF12" s="114"/>
      <c r="MYG12" s="114"/>
      <c r="MYH12" s="114"/>
      <c r="MYI12" s="114"/>
      <c r="MYJ12" s="114"/>
      <c r="MYK12" s="114"/>
      <c r="MYL12" s="114"/>
      <c r="MYM12" s="114"/>
      <c r="MYN12" s="114"/>
      <c r="MYO12" s="114"/>
      <c r="MYP12" s="114"/>
      <c r="MYQ12" s="114"/>
      <c r="MYR12" s="114"/>
      <c r="MYS12" s="114"/>
      <c r="MYT12" s="114"/>
      <c r="MYU12" s="114"/>
      <c r="MYV12" s="114"/>
      <c r="MYW12" s="114"/>
      <c r="MYX12" s="114"/>
      <c r="MYY12" s="114"/>
      <c r="MYZ12" s="114"/>
      <c r="MZA12" s="114"/>
      <c r="MZB12" s="114"/>
      <c r="MZC12" s="114"/>
      <c r="MZD12" s="114"/>
      <c r="MZE12" s="114"/>
      <c r="MZF12" s="114"/>
      <c r="MZG12" s="114"/>
      <c r="MZH12" s="114"/>
      <c r="MZI12" s="114"/>
      <c r="MZJ12" s="114"/>
      <c r="MZK12" s="114"/>
      <c r="MZL12" s="114"/>
      <c r="MZM12" s="114"/>
      <c r="MZN12" s="114"/>
      <c r="MZO12" s="114"/>
      <c r="MZP12" s="114"/>
      <c r="MZQ12" s="114"/>
      <c r="MZR12" s="114"/>
      <c r="MZS12" s="114"/>
      <c r="MZT12" s="114"/>
      <c r="MZU12" s="114"/>
      <c r="MZV12" s="114"/>
      <c r="MZW12" s="114"/>
      <c r="MZX12" s="114"/>
      <c r="MZY12" s="114"/>
      <c r="MZZ12" s="114"/>
      <c r="NAA12" s="114"/>
      <c r="NAB12" s="114"/>
      <c r="NAC12" s="114"/>
      <c r="NAD12" s="114"/>
      <c r="NAE12" s="114"/>
      <c r="NAF12" s="114"/>
      <c r="NAG12" s="114"/>
      <c r="NAH12" s="114"/>
      <c r="NAI12" s="114"/>
      <c r="NAJ12" s="114"/>
      <c r="NAK12" s="114"/>
      <c r="NAL12" s="114"/>
      <c r="NAM12" s="114"/>
      <c r="NAN12" s="114"/>
      <c r="NAO12" s="114"/>
      <c r="NAP12" s="114"/>
      <c r="NAQ12" s="114"/>
      <c r="NAR12" s="114"/>
      <c r="NAS12" s="114"/>
      <c r="NAT12" s="114"/>
      <c r="NAU12" s="114"/>
      <c r="NAV12" s="114"/>
      <c r="NAW12" s="114"/>
      <c r="NAX12" s="114"/>
      <c r="NAY12" s="114"/>
      <c r="NAZ12" s="114"/>
      <c r="NBA12" s="114"/>
      <c r="NBB12" s="114"/>
      <c r="NBC12" s="114"/>
      <c r="NBD12" s="114"/>
      <c r="NBE12" s="114"/>
      <c r="NBF12" s="114"/>
      <c r="NBG12" s="114"/>
      <c r="NBH12" s="114"/>
      <c r="NBI12" s="114"/>
      <c r="NBJ12" s="114"/>
      <c r="NBK12" s="114"/>
      <c r="NBL12" s="114"/>
      <c r="NBM12" s="114"/>
      <c r="NBN12" s="114"/>
      <c r="NBO12" s="114"/>
      <c r="NBP12" s="114"/>
      <c r="NBQ12" s="114"/>
      <c r="NBR12" s="114"/>
      <c r="NBS12" s="114"/>
      <c r="NBT12" s="114"/>
      <c r="NBU12" s="114"/>
      <c r="NBV12" s="114"/>
      <c r="NBW12" s="114"/>
      <c r="NBX12" s="114"/>
      <c r="NBY12" s="114"/>
      <c r="NBZ12" s="114"/>
      <c r="NCA12" s="114"/>
      <c r="NCB12" s="114"/>
      <c r="NCC12" s="114"/>
      <c r="NCD12" s="114"/>
      <c r="NCE12" s="114"/>
      <c r="NCF12" s="114"/>
      <c r="NCG12" s="114"/>
      <c r="NCH12" s="114"/>
      <c r="NCI12" s="114"/>
      <c r="NCJ12" s="114"/>
      <c r="NCK12" s="114"/>
      <c r="NCL12" s="114"/>
      <c r="NCM12" s="114"/>
      <c r="NCN12" s="114"/>
      <c r="NCO12" s="114"/>
      <c r="NCP12" s="114"/>
      <c r="NCQ12" s="114"/>
      <c r="NCR12" s="114"/>
      <c r="NCS12" s="114"/>
      <c r="NCT12" s="114"/>
      <c r="NCU12" s="114"/>
      <c r="NCV12" s="114"/>
      <c r="NCW12" s="114"/>
      <c r="NCX12" s="114"/>
      <c r="NCY12" s="114"/>
      <c r="NCZ12" s="114"/>
      <c r="NDA12" s="114"/>
      <c r="NDB12" s="114"/>
      <c r="NDC12" s="114"/>
      <c r="NDD12" s="114"/>
      <c r="NDE12" s="114"/>
      <c r="NDF12" s="114"/>
      <c r="NDG12" s="114"/>
      <c r="NDH12" s="114"/>
      <c r="NDI12" s="114"/>
      <c r="NDJ12" s="114"/>
      <c r="NDK12" s="114"/>
      <c r="NDL12" s="114"/>
      <c r="NDM12" s="114"/>
      <c r="NDN12" s="114"/>
      <c r="NDO12" s="114"/>
      <c r="NDP12" s="114"/>
      <c r="NDQ12" s="114"/>
      <c r="NDR12" s="114"/>
      <c r="NDS12" s="114"/>
      <c r="NDT12" s="114"/>
      <c r="NDU12" s="114"/>
      <c r="NDV12" s="114"/>
      <c r="NDW12" s="114"/>
      <c r="NDX12" s="114"/>
      <c r="NDY12" s="114"/>
      <c r="NDZ12" s="114"/>
      <c r="NEA12" s="114"/>
      <c r="NEB12" s="114"/>
      <c r="NEC12" s="114"/>
      <c r="NED12" s="114"/>
      <c r="NEE12" s="114"/>
      <c r="NEF12" s="114"/>
      <c r="NEG12" s="114"/>
      <c r="NEH12" s="114"/>
      <c r="NEI12" s="114"/>
      <c r="NEJ12" s="114"/>
      <c r="NEK12" s="114"/>
      <c r="NEL12" s="114"/>
      <c r="NEM12" s="114"/>
      <c r="NEN12" s="114"/>
      <c r="NEO12" s="114"/>
      <c r="NEP12" s="114"/>
      <c r="NEQ12" s="114"/>
      <c r="NER12" s="114"/>
      <c r="NES12" s="114"/>
      <c r="NET12" s="114"/>
      <c r="NEU12" s="114"/>
      <c r="NEV12" s="114"/>
      <c r="NEW12" s="114"/>
      <c r="NEX12" s="114"/>
      <c r="NEY12" s="114"/>
      <c r="NEZ12" s="114"/>
      <c r="NFA12" s="114"/>
      <c r="NFB12" s="114"/>
      <c r="NFC12" s="114"/>
      <c r="NFD12" s="114"/>
      <c r="NFE12" s="114"/>
      <c r="NFF12" s="114"/>
      <c r="NFG12" s="114"/>
      <c r="NFH12" s="114"/>
      <c r="NFI12" s="114"/>
      <c r="NFJ12" s="114"/>
      <c r="NFK12" s="114"/>
      <c r="NFL12" s="114"/>
      <c r="NFM12" s="114"/>
      <c r="NFN12" s="114"/>
      <c r="NFO12" s="114"/>
      <c r="NFP12" s="114"/>
      <c r="NFQ12" s="114"/>
      <c r="NFR12" s="114"/>
      <c r="NFS12" s="114"/>
      <c r="NFT12" s="114"/>
      <c r="NFU12" s="114"/>
      <c r="NFV12" s="114"/>
      <c r="NFW12" s="114"/>
      <c r="NFX12" s="114"/>
      <c r="NFY12" s="114"/>
      <c r="NFZ12" s="114"/>
      <c r="NGA12" s="114"/>
      <c r="NGB12" s="114"/>
      <c r="NGC12" s="114"/>
      <c r="NGD12" s="114"/>
      <c r="NGE12" s="114"/>
      <c r="NGF12" s="114"/>
      <c r="NGG12" s="114"/>
      <c r="NGH12" s="114"/>
      <c r="NGI12" s="114"/>
      <c r="NGJ12" s="114"/>
      <c r="NGK12" s="114"/>
      <c r="NGL12" s="114"/>
      <c r="NGM12" s="114"/>
      <c r="NGN12" s="114"/>
      <c r="NGO12" s="114"/>
      <c r="NGP12" s="114"/>
      <c r="NGQ12" s="114"/>
      <c r="NGR12" s="114"/>
      <c r="NGS12" s="114"/>
      <c r="NGT12" s="114"/>
      <c r="NGU12" s="114"/>
      <c r="NGV12" s="114"/>
      <c r="NGW12" s="114"/>
      <c r="NGX12" s="114"/>
      <c r="NGY12" s="114"/>
      <c r="NGZ12" s="114"/>
      <c r="NHA12" s="114"/>
      <c r="NHB12" s="114"/>
      <c r="NHC12" s="114"/>
      <c r="NHD12" s="114"/>
      <c r="NHE12" s="114"/>
      <c r="NHF12" s="114"/>
      <c r="NHG12" s="114"/>
      <c r="NHH12" s="114"/>
      <c r="NHI12" s="114"/>
      <c r="NHJ12" s="114"/>
      <c r="NHK12" s="114"/>
      <c r="NHL12" s="114"/>
      <c r="NHM12" s="114"/>
      <c r="NHN12" s="114"/>
      <c r="NHO12" s="114"/>
      <c r="NHP12" s="114"/>
      <c r="NHQ12" s="114"/>
      <c r="NHR12" s="114"/>
      <c r="NHS12" s="114"/>
      <c r="NHT12" s="114"/>
      <c r="NHU12" s="114"/>
      <c r="NHV12" s="114"/>
      <c r="NHW12" s="114"/>
      <c r="NHX12" s="114"/>
      <c r="NHY12" s="114"/>
      <c r="NHZ12" s="114"/>
      <c r="NIA12" s="114"/>
      <c r="NIB12" s="114"/>
      <c r="NIC12" s="114"/>
      <c r="NID12" s="114"/>
      <c r="NIE12" s="114"/>
      <c r="NIF12" s="114"/>
      <c r="NIG12" s="114"/>
      <c r="NIH12" s="114"/>
      <c r="NII12" s="114"/>
      <c r="NIJ12" s="114"/>
      <c r="NIK12" s="114"/>
      <c r="NIL12" s="114"/>
      <c r="NIM12" s="114"/>
      <c r="NIN12" s="114"/>
      <c r="NIO12" s="114"/>
      <c r="NIP12" s="114"/>
      <c r="NIQ12" s="114"/>
      <c r="NIR12" s="114"/>
      <c r="NIS12" s="114"/>
      <c r="NIT12" s="114"/>
      <c r="NIU12" s="114"/>
      <c r="NIV12" s="114"/>
      <c r="NIW12" s="114"/>
      <c r="NIX12" s="114"/>
      <c r="NIY12" s="114"/>
      <c r="NIZ12" s="114"/>
      <c r="NJA12" s="114"/>
      <c r="NJB12" s="114"/>
      <c r="NJC12" s="114"/>
      <c r="NJD12" s="114"/>
      <c r="NJE12" s="114"/>
      <c r="NJF12" s="114"/>
      <c r="NJG12" s="114"/>
      <c r="NJH12" s="114"/>
      <c r="NJI12" s="114"/>
      <c r="NJJ12" s="114"/>
      <c r="NJK12" s="114"/>
      <c r="NJL12" s="114"/>
      <c r="NJM12" s="114"/>
      <c r="NJN12" s="114"/>
      <c r="NJO12" s="114"/>
      <c r="NJP12" s="114"/>
      <c r="NJQ12" s="114"/>
      <c r="NJR12" s="114"/>
      <c r="NJS12" s="114"/>
      <c r="NJT12" s="114"/>
      <c r="NJU12" s="114"/>
      <c r="NJV12" s="114"/>
      <c r="NJW12" s="114"/>
      <c r="NJX12" s="114"/>
      <c r="NJY12" s="114"/>
      <c r="NJZ12" s="114"/>
      <c r="NKA12" s="114"/>
      <c r="NKB12" s="114"/>
      <c r="NKC12" s="114"/>
      <c r="NKD12" s="114"/>
      <c r="NKE12" s="114"/>
      <c r="NKF12" s="114"/>
      <c r="NKG12" s="114"/>
      <c r="NKH12" s="114"/>
      <c r="NKI12" s="114"/>
      <c r="NKJ12" s="114"/>
      <c r="NKK12" s="114"/>
      <c r="NKL12" s="114"/>
      <c r="NKM12" s="114"/>
      <c r="NKN12" s="114"/>
      <c r="NKO12" s="114"/>
      <c r="NKP12" s="114"/>
      <c r="NKQ12" s="114"/>
      <c r="NKR12" s="114"/>
      <c r="NKS12" s="114"/>
      <c r="NKT12" s="114"/>
      <c r="NKU12" s="114"/>
      <c r="NKV12" s="114"/>
      <c r="NKW12" s="114"/>
      <c r="NKX12" s="114"/>
      <c r="NKY12" s="114"/>
      <c r="NKZ12" s="114"/>
      <c r="NLA12" s="114"/>
      <c r="NLB12" s="114"/>
      <c r="NLC12" s="114"/>
      <c r="NLD12" s="114"/>
      <c r="NLE12" s="114"/>
      <c r="NLF12" s="114"/>
      <c r="NLG12" s="114"/>
      <c r="NLH12" s="114"/>
      <c r="NLI12" s="114"/>
      <c r="NLJ12" s="114"/>
      <c r="NLK12" s="114"/>
      <c r="NLL12" s="114"/>
      <c r="NLM12" s="114"/>
      <c r="NLN12" s="114"/>
      <c r="NLO12" s="114"/>
      <c r="NLP12" s="114"/>
      <c r="NLQ12" s="114"/>
      <c r="NLR12" s="114"/>
      <c r="NLS12" s="114"/>
      <c r="NLT12" s="114"/>
      <c r="NLU12" s="114"/>
      <c r="NLV12" s="114"/>
      <c r="NLW12" s="114"/>
      <c r="NLX12" s="114"/>
      <c r="NLY12" s="114"/>
      <c r="NLZ12" s="114"/>
      <c r="NMA12" s="114"/>
      <c r="NMB12" s="114"/>
      <c r="NMC12" s="114"/>
      <c r="NMD12" s="114"/>
      <c r="NME12" s="114"/>
      <c r="NMF12" s="114"/>
      <c r="NMG12" s="114"/>
      <c r="NMH12" s="114"/>
      <c r="NMI12" s="114"/>
      <c r="NMJ12" s="114"/>
      <c r="NMK12" s="114"/>
      <c r="NML12" s="114"/>
      <c r="NMM12" s="114"/>
      <c r="NMN12" s="114"/>
      <c r="NMO12" s="114"/>
      <c r="NMP12" s="114"/>
      <c r="NMQ12" s="114"/>
      <c r="NMR12" s="114"/>
      <c r="NMS12" s="114"/>
      <c r="NMT12" s="114"/>
      <c r="NMU12" s="114"/>
      <c r="NMV12" s="114"/>
      <c r="NMW12" s="114"/>
      <c r="NMX12" s="114"/>
      <c r="NMY12" s="114"/>
      <c r="NMZ12" s="114"/>
      <c r="NNA12" s="114"/>
      <c r="NNB12" s="114"/>
      <c r="NNC12" s="114"/>
      <c r="NND12" s="114"/>
      <c r="NNE12" s="114"/>
      <c r="NNF12" s="114"/>
      <c r="NNG12" s="114"/>
      <c r="NNH12" s="114"/>
      <c r="NNI12" s="114"/>
      <c r="NNJ12" s="114"/>
      <c r="NNK12" s="114"/>
      <c r="NNL12" s="114"/>
      <c r="NNM12" s="114"/>
      <c r="NNN12" s="114"/>
      <c r="NNO12" s="114"/>
      <c r="NNP12" s="114"/>
      <c r="NNQ12" s="114"/>
      <c r="NNR12" s="114"/>
      <c r="NNS12" s="114"/>
      <c r="NNT12" s="114"/>
      <c r="NNU12" s="114"/>
      <c r="NNV12" s="114"/>
      <c r="NNW12" s="114"/>
      <c r="NNX12" s="114"/>
      <c r="NNY12" s="114"/>
      <c r="NNZ12" s="114"/>
      <c r="NOA12" s="114"/>
      <c r="NOB12" s="114"/>
      <c r="NOC12" s="114"/>
      <c r="NOD12" s="114"/>
      <c r="NOE12" s="114"/>
      <c r="NOF12" s="114"/>
      <c r="NOG12" s="114"/>
      <c r="NOH12" s="114"/>
      <c r="NOI12" s="114"/>
      <c r="NOJ12" s="114"/>
      <c r="NOK12" s="114"/>
      <c r="NOL12" s="114"/>
      <c r="NOM12" s="114"/>
      <c r="NON12" s="114"/>
      <c r="NOO12" s="114"/>
      <c r="NOP12" s="114"/>
      <c r="NOQ12" s="114"/>
      <c r="NOR12" s="114"/>
      <c r="NOS12" s="114"/>
      <c r="NOT12" s="114"/>
      <c r="NOU12" s="114"/>
      <c r="NOV12" s="114"/>
      <c r="NOW12" s="114"/>
      <c r="NOX12" s="114"/>
      <c r="NOY12" s="114"/>
      <c r="NOZ12" s="114"/>
      <c r="NPA12" s="114"/>
      <c r="NPB12" s="114"/>
      <c r="NPC12" s="114"/>
      <c r="NPD12" s="114"/>
      <c r="NPE12" s="114"/>
      <c r="NPF12" s="114"/>
      <c r="NPG12" s="114"/>
      <c r="NPH12" s="114"/>
      <c r="NPI12" s="114"/>
      <c r="NPJ12" s="114"/>
      <c r="NPK12" s="114"/>
      <c r="NPL12" s="114"/>
      <c r="NPM12" s="114"/>
      <c r="NPN12" s="114"/>
      <c r="NPO12" s="114"/>
      <c r="NPP12" s="114"/>
      <c r="NPQ12" s="114"/>
      <c r="NPR12" s="114"/>
      <c r="NPS12" s="114"/>
      <c r="NPT12" s="114"/>
      <c r="NPU12" s="114"/>
      <c r="NPV12" s="114"/>
      <c r="NPW12" s="114"/>
      <c r="NPX12" s="114"/>
      <c r="NPY12" s="114"/>
      <c r="NPZ12" s="114"/>
      <c r="NQA12" s="114"/>
      <c r="NQB12" s="114"/>
      <c r="NQC12" s="114"/>
      <c r="NQD12" s="114"/>
      <c r="NQE12" s="114"/>
      <c r="NQF12" s="114"/>
      <c r="NQG12" s="114"/>
      <c r="NQH12" s="114"/>
      <c r="NQI12" s="114"/>
      <c r="NQJ12" s="114"/>
      <c r="NQK12" s="114"/>
      <c r="NQL12" s="114"/>
      <c r="NQM12" s="114"/>
      <c r="NQN12" s="114"/>
      <c r="NQO12" s="114"/>
      <c r="NQP12" s="114"/>
      <c r="NQQ12" s="114"/>
      <c r="NQR12" s="114"/>
      <c r="NQS12" s="114"/>
      <c r="NQT12" s="114"/>
      <c r="NQU12" s="114"/>
      <c r="NQV12" s="114"/>
      <c r="NQW12" s="114"/>
      <c r="NQX12" s="114"/>
      <c r="NQY12" s="114"/>
      <c r="NQZ12" s="114"/>
      <c r="NRA12" s="114"/>
      <c r="NRB12" s="114"/>
      <c r="NRC12" s="114"/>
      <c r="NRD12" s="114"/>
      <c r="NRE12" s="114"/>
      <c r="NRF12" s="114"/>
      <c r="NRG12" s="114"/>
      <c r="NRH12" s="114"/>
      <c r="NRI12" s="114"/>
      <c r="NRJ12" s="114"/>
      <c r="NRK12" s="114"/>
      <c r="NRL12" s="114"/>
      <c r="NRM12" s="114"/>
      <c r="NRN12" s="114"/>
      <c r="NRO12" s="114"/>
      <c r="NRP12" s="114"/>
      <c r="NRQ12" s="114"/>
      <c r="NRR12" s="114"/>
      <c r="NRS12" s="114"/>
      <c r="NRT12" s="114"/>
      <c r="NRU12" s="114"/>
      <c r="NRV12" s="114"/>
      <c r="NRW12" s="114"/>
      <c r="NRX12" s="114"/>
      <c r="NRY12" s="114"/>
      <c r="NRZ12" s="114"/>
      <c r="NSA12" s="114"/>
      <c r="NSB12" s="114"/>
      <c r="NSC12" s="114"/>
      <c r="NSD12" s="114"/>
      <c r="NSE12" s="114"/>
      <c r="NSF12" s="114"/>
      <c r="NSG12" s="114"/>
      <c r="NSH12" s="114"/>
      <c r="NSI12" s="114"/>
      <c r="NSJ12" s="114"/>
      <c r="NSK12" s="114"/>
      <c r="NSL12" s="114"/>
      <c r="NSM12" s="114"/>
      <c r="NSN12" s="114"/>
      <c r="NSO12" s="114"/>
      <c r="NSP12" s="114"/>
      <c r="NSQ12" s="114"/>
      <c r="NSR12" s="114"/>
      <c r="NSS12" s="114"/>
      <c r="NST12" s="114"/>
      <c r="NSU12" s="114"/>
      <c r="NSV12" s="114"/>
      <c r="NSW12" s="114"/>
      <c r="NSX12" s="114"/>
      <c r="NSY12" s="114"/>
      <c r="NSZ12" s="114"/>
      <c r="NTA12" s="114"/>
      <c r="NTB12" s="114"/>
      <c r="NTC12" s="114"/>
      <c r="NTD12" s="114"/>
      <c r="NTE12" s="114"/>
      <c r="NTF12" s="114"/>
      <c r="NTG12" s="114"/>
      <c r="NTH12" s="114"/>
      <c r="NTI12" s="114"/>
      <c r="NTJ12" s="114"/>
      <c r="NTK12" s="114"/>
      <c r="NTL12" s="114"/>
      <c r="NTM12" s="114"/>
      <c r="NTN12" s="114"/>
      <c r="NTO12" s="114"/>
      <c r="NTP12" s="114"/>
      <c r="NTQ12" s="114"/>
      <c r="NTR12" s="114"/>
      <c r="NTS12" s="114"/>
      <c r="NTT12" s="114"/>
      <c r="NTU12" s="114"/>
      <c r="NTV12" s="114"/>
      <c r="NTW12" s="114"/>
      <c r="NTX12" s="114"/>
      <c r="NTY12" s="114"/>
      <c r="NTZ12" s="114"/>
      <c r="NUA12" s="114"/>
      <c r="NUB12" s="114"/>
      <c r="NUC12" s="114"/>
      <c r="NUD12" s="114"/>
      <c r="NUE12" s="114"/>
      <c r="NUF12" s="114"/>
      <c r="NUG12" s="114"/>
      <c r="NUH12" s="114"/>
      <c r="NUI12" s="114"/>
      <c r="NUJ12" s="114"/>
      <c r="NUK12" s="114"/>
      <c r="NUL12" s="114"/>
      <c r="NUM12" s="114"/>
      <c r="NUN12" s="114"/>
      <c r="NUO12" s="114"/>
      <c r="NUP12" s="114"/>
      <c r="NUQ12" s="114"/>
      <c r="NUR12" s="114"/>
      <c r="NUS12" s="114"/>
      <c r="NUT12" s="114"/>
      <c r="NUU12" s="114"/>
      <c r="NUV12" s="114"/>
      <c r="NUW12" s="114"/>
      <c r="NUX12" s="114"/>
      <c r="NUY12" s="114"/>
      <c r="NUZ12" s="114"/>
      <c r="NVA12" s="114"/>
      <c r="NVB12" s="114"/>
      <c r="NVC12" s="114"/>
      <c r="NVD12" s="114"/>
      <c r="NVE12" s="114"/>
      <c r="NVF12" s="114"/>
      <c r="NVG12" s="114"/>
      <c r="NVH12" s="114"/>
      <c r="NVI12" s="114"/>
      <c r="NVJ12" s="114"/>
      <c r="NVK12" s="114"/>
      <c r="NVL12" s="114"/>
      <c r="NVM12" s="114"/>
      <c r="NVN12" s="114"/>
      <c r="NVO12" s="114"/>
      <c r="NVP12" s="114"/>
      <c r="NVQ12" s="114"/>
      <c r="NVR12" s="114"/>
      <c r="NVS12" s="114"/>
      <c r="NVT12" s="114"/>
      <c r="NVU12" s="114"/>
      <c r="NVV12" s="114"/>
      <c r="NVW12" s="114"/>
      <c r="NVX12" s="114"/>
      <c r="NVY12" s="114"/>
      <c r="NVZ12" s="114"/>
      <c r="NWA12" s="114"/>
      <c r="NWB12" s="114"/>
      <c r="NWC12" s="114"/>
      <c r="NWD12" s="114"/>
      <c r="NWE12" s="114"/>
      <c r="NWF12" s="114"/>
      <c r="NWG12" s="114"/>
      <c r="NWH12" s="114"/>
      <c r="NWI12" s="114"/>
      <c r="NWJ12" s="114"/>
      <c r="NWK12" s="114"/>
      <c r="NWL12" s="114"/>
      <c r="NWM12" s="114"/>
      <c r="NWN12" s="114"/>
      <c r="NWO12" s="114"/>
      <c r="NWP12" s="114"/>
      <c r="NWQ12" s="114"/>
      <c r="NWR12" s="114"/>
      <c r="NWS12" s="114"/>
      <c r="NWT12" s="114"/>
      <c r="NWU12" s="114"/>
      <c r="NWV12" s="114"/>
      <c r="NWW12" s="114"/>
      <c r="NWX12" s="114"/>
      <c r="NWY12" s="114"/>
      <c r="NWZ12" s="114"/>
      <c r="NXA12" s="114"/>
      <c r="NXB12" s="114"/>
      <c r="NXC12" s="114"/>
      <c r="NXD12" s="114"/>
      <c r="NXE12" s="114"/>
      <c r="NXF12" s="114"/>
      <c r="NXG12" s="114"/>
      <c r="NXH12" s="114"/>
      <c r="NXI12" s="114"/>
      <c r="NXJ12" s="114"/>
      <c r="NXK12" s="114"/>
      <c r="NXL12" s="114"/>
      <c r="NXM12" s="114"/>
      <c r="NXN12" s="114"/>
      <c r="NXO12" s="114"/>
      <c r="NXP12" s="114"/>
      <c r="NXQ12" s="114"/>
      <c r="NXR12" s="114"/>
      <c r="NXS12" s="114"/>
      <c r="NXT12" s="114"/>
      <c r="NXU12" s="114"/>
      <c r="NXV12" s="114"/>
      <c r="NXW12" s="114"/>
      <c r="NXX12" s="114"/>
      <c r="NXY12" s="114"/>
      <c r="NXZ12" s="114"/>
      <c r="NYA12" s="114"/>
      <c r="NYB12" s="114"/>
      <c r="NYC12" s="114"/>
      <c r="NYD12" s="114"/>
      <c r="NYE12" s="114"/>
      <c r="NYF12" s="114"/>
      <c r="NYG12" s="114"/>
      <c r="NYH12" s="114"/>
      <c r="NYI12" s="114"/>
      <c r="NYJ12" s="114"/>
      <c r="NYK12" s="114"/>
      <c r="NYL12" s="114"/>
      <c r="NYM12" s="114"/>
      <c r="NYN12" s="114"/>
      <c r="NYO12" s="114"/>
      <c r="NYP12" s="114"/>
      <c r="NYQ12" s="114"/>
      <c r="NYR12" s="114"/>
      <c r="NYS12" s="114"/>
      <c r="NYT12" s="114"/>
      <c r="NYU12" s="114"/>
      <c r="NYV12" s="114"/>
      <c r="NYW12" s="114"/>
      <c r="NYX12" s="114"/>
      <c r="NYY12" s="114"/>
      <c r="NYZ12" s="114"/>
      <c r="NZA12" s="114"/>
      <c r="NZB12" s="114"/>
      <c r="NZC12" s="114"/>
      <c r="NZD12" s="114"/>
      <c r="NZE12" s="114"/>
      <c r="NZF12" s="114"/>
      <c r="NZG12" s="114"/>
      <c r="NZH12" s="114"/>
      <c r="NZI12" s="114"/>
      <c r="NZJ12" s="114"/>
      <c r="NZK12" s="114"/>
      <c r="NZL12" s="114"/>
      <c r="NZM12" s="114"/>
      <c r="NZN12" s="114"/>
      <c r="NZO12" s="114"/>
      <c r="NZP12" s="114"/>
      <c r="NZQ12" s="114"/>
      <c r="NZR12" s="114"/>
      <c r="NZS12" s="114"/>
      <c r="NZT12" s="114"/>
      <c r="NZU12" s="114"/>
      <c r="NZV12" s="114"/>
      <c r="NZW12" s="114"/>
      <c r="NZX12" s="114"/>
      <c r="NZY12" s="114"/>
      <c r="NZZ12" s="114"/>
      <c r="OAA12" s="114"/>
      <c r="OAB12" s="114"/>
      <c r="OAC12" s="114"/>
      <c r="OAD12" s="114"/>
      <c r="OAE12" s="114"/>
      <c r="OAF12" s="114"/>
      <c r="OAG12" s="114"/>
      <c r="OAH12" s="114"/>
      <c r="OAI12" s="114"/>
      <c r="OAJ12" s="114"/>
      <c r="OAK12" s="114"/>
      <c r="OAL12" s="114"/>
      <c r="OAM12" s="114"/>
      <c r="OAN12" s="114"/>
      <c r="OAO12" s="114"/>
      <c r="OAP12" s="114"/>
      <c r="OAQ12" s="114"/>
      <c r="OAR12" s="114"/>
      <c r="OAS12" s="114"/>
      <c r="OAT12" s="114"/>
      <c r="OAU12" s="114"/>
      <c r="OAV12" s="114"/>
      <c r="OAW12" s="114"/>
      <c r="OAX12" s="114"/>
      <c r="OAY12" s="114"/>
      <c r="OAZ12" s="114"/>
      <c r="OBA12" s="114"/>
      <c r="OBB12" s="114"/>
      <c r="OBC12" s="114"/>
      <c r="OBD12" s="114"/>
      <c r="OBE12" s="114"/>
      <c r="OBF12" s="114"/>
      <c r="OBG12" s="114"/>
      <c r="OBH12" s="114"/>
      <c r="OBI12" s="114"/>
      <c r="OBJ12" s="114"/>
      <c r="OBK12" s="114"/>
      <c r="OBL12" s="114"/>
      <c r="OBM12" s="114"/>
      <c r="OBN12" s="114"/>
      <c r="OBO12" s="114"/>
      <c r="OBP12" s="114"/>
      <c r="OBQ12" s="114"/>
      <c r="OBR12" s="114"/>
      <c r="OBS12" s="114"/>
      <c r="OBT12" s="114"/>
      <c r="OBU12" s="114"/>
      <c r="OBV12" s="114"/>
      <c r="OBW12" s="114"/>
      <c r="OBX12" s="114"/>
      <c r="OBY12" s="114"/>
      <c r="OBZ12" s="114"/>
      <c r="OCA12" s="114"/>
      <c r="OCB12" s="114"/>
      <c r="OCC12" s="114"/>
      <c r="OCD12" s="114"/>
      <c r="OCE12" s="114"/>
      <c r="OCF12" s="114"/>
      <c r="OCG12" s="114"/>
      <c r="OCH12" s="114"/>
      <c r="OCI12" s="114"/>
      <c r="OCJ12" s="114"/>
      <c r="OCK12" s="114"/>
      <c r="OCL12" s="114"/>
      <c r="OCM12" s="114"/>
      <c r="OCN12" s="114"/>
      <c r="OCO12" s="114"/>
      <c r="OCP12" s="114"/>
      <c r="OCQ12" s="114"/>
      <c r="OCR12" s="114"/>
      <c r="OCS12" s="114"/>
      <c r="OCT12" s="114"/>
      <c r="OCU12" s="114"/>
      <c r="OCV12" s="114"/>
      <c r="OCW12" s="114"/>
      <c r="OCX12" s="114"/>
      <c r="OCY12" s="114"/>
      <c r="OCZ12" s="114"/>
      <c r="ODA12" s="114"/>
      <c r="ODB12" s="114"/>
      <c r="ODC12" s="114"/>
      <c r="ODD12" s="114"/>
      <c r="ODE12" s="114"/>
      <c r="ODF12" s="114"/>
      <c r="ODG12" s="114"/>
      <c r="ODH12" s="114"/>
      <c r="ODI12" s="114"/>
      <c r="ODJ12" s="114"/>
      <c r="ODK12" s="114"/>
      <c r="ODL12" s="114"/>
      <c r="ODM12" s="114"/>
      <c r="ODN12" s="114"/>
      <c r="ODO12" s="114"/>
      <c r="ODP12" s="114"/>
      <c r="ODQ12" s="114"/>
      <c r="ODR12" s="114"/>
      <c r="ODS12" s="114"/>
      <c r="ODT12" s="114"/>
      <c r="ODU12" s="114"/>
      <c r="ODV12" s="114"/>
      <c r="ODW12" s="114"/>
      <c r="ODX12" s="114"/>
      <c r="ODY12" s="114"/>
      <c r="ODZ12" s="114"/>
      <c r="OEA12" s="114"/>
      <c r="OEB12" s="114"/>
      <c r="OEC12" s="114"/>
      <c r="OED12" s="114"/>
      <c r="OEE12" s="114"/>
      <c r="OEF12" s="114"/>
      <c r="OEG12" s="114"/>
      <c r="OEH12" s="114"/>
      <c r="OEI12" s="114"/>
      <c r="OEJ12" s="114"/>
      <c r="OEK12" s="114"/>
      <c r="OEL12" s="114"/>
      <c r="OEM12" s="114"/>
      <c r="OEN12" s="114"/>
      <c r="OEO12" s="114"/>
      <c r="OEP12" s="114"/>
      <c r="OEQ12" s="114"/>
      <c r="OER12" s="114"/>
      <c r="OES12" s="114"/>
      <c r="OET12" s="114"/>
      <c r="OEU12" s="114"/>
      <c r="OEV12" s="114"/>
      <c r="OEW12" s="114"/>
      <c r="OEX12" s="114"/>
      <c r="OEY12" s="114"/>
      <c r="OEZ12" s="114"/>
      <c r="OFA12" s="114"/>
      <c r="OFB12" s="114"/>
      <c r="OFC12" s="114"/>
      <c r="OFD12" s="114"/>
      <c r="OFE12" s="114"/>
      <c r="OFF12" s="114"/>
      <c r="OFG12" s="114"/>
      <c r="OFH12" s="114"/>
      <c r="OFI12" s="114"/>
      <c r="OFJ12" s="114"/>
      <c r="OFK12" s="114"/>
      <c r="OFL12" s="114"/>
      <c r="OFM12" s="114"/>
      <c r="OFN12" s="114"/>
      <c r="OFO12" s="114"/>
      <c r="OFP12" s="114"/>
      <c r="OFQ12" s="114"/>
      <c r="OFR12" s="114"/>
      <c r="OFS12" s="114"/>
      <c r="OFT12" s="114"/>
      <c r="OFU12" s="114"/>
      <c r="OFV12" s="114"/>
      <c r="OFW12" s="114"/>
      <c r="OFX12" s="114"/>
      <c r="OFY12" s="114"/>
      <c r="OFZ12" s="114"/>
      <c r="OGA12" s="114"/>
      <c r="OGB12" s="114"/>
      <c r="OGC12" s="114"/>
      <c r="OGD12" s="114"/>
      <c r="OGE12" s="114"/>
      <c r="OGF12" s="114"/>
      <c r="OGG12" s="114"/>
      <c r="OGH12" s="114"/>
      <c r="OGI12" s="114"/>
      <c r="OGJ12" s="114"/>
      <c r="OGK12" s="114"/>
      <c r="OGL12" s="114"/>
      <c r="OGM12" s="114"/>
      <c r="OGN12" s="114"/>
      <c r="OGO12" s="114"/>
      <c r="OGP12" s="114"/>
      <c r="OGQ12" s="114"/>
      <c r="OGR12" s="114"/>
      <c r="OGS12" s="114"/>
      <c r="OGT12" s="114"/>
      <c r="OGU12" s="114"/>
      <c r="OGV12" s="114"/>
      <c r="OGW12" s="114"/>
      <c r="OGX12" s="114"/>
      <c r="OGY12" s="114"/>
      <c r="OGZ12" s="114"/>
      <c r="OHA12" s="114"/>
      <c r="OHB12" s="114"/>
      <c r="OHC12" s="114"/>
      <c r="OHD12" s="114"/>
      <c r="OHE12" s="114"/>
      <c r="OHF12" s="114"/>
      <c r="OHG12" s="114"/>
      <c r="OHH12" s="114"/>
      <c r="OHI12" s="114"/>
      <c r="OHJ12" s="114"/>
      <c r="OHK12" s="114"/>
      <c r="OHL12" s="114"/>
      <c r="OHM12" s="114"/>
      <c r="OHN12" s="114"/>
      <c r="OHO12" s="114"/>
      <c r="OHP12" s="114"/>
      <c r="OHQ12" s="114"/>
      <c r="OHR12" s="114"/>
      <c r="OHS12" s="114"/>
      <c r="OHT12" s="114"/>
      <c r="OHU12" s="114"/>
      <c r="OHV12" s="114"/>
      <c r="OHW12" s="114"/>
      <c r="OHX12" s="114"/>
      <c r="OHY12" s="114"/>
      <c r="OHZ12" s="114"/>
      <c r="OIA12" s="114"/>
      <c r="OIB12" s="114"/>
      <c r="OIC12" s="114"/>
      <c r="OID12" s="114"/>
      <c r="OIE12" s="114"/>
      <c r="OIF12" s="114"/>
      <c r="OIG12" s="114"/>
      <c r="OIH12" s="114"/>
      <c r="OII12" s="114"/>
      <c r="OIJ12" s="114"/>
      <c r="OIK12" s="114"/>
      <c r="OIL12" s="114"/>
      <c r="OIM12" s="114"/>
      <c r="OIN12" s="114"/>
      <c r="OIO12" s="114"/>
      <c r="OIP12" s="114"/>
      <c r="OIQ12" s="114"/>
      <c r="OIR12" s="114"/>
      <c r="OIS12" s="114"/>
      <c r="OIT12" s="114"/>
      <c r="OIU12" s="114"/>
      <c r="OIV12" s="114"/>
      <c r="OIW12" s="114"/>
      <c r="OIX12" s="114"/>
      <c r="OIY12" s="114"/>
      <c r="OIZ12" s="114"/>
      <c r="OJA12" s="114"/>
      <c r="OJB12" s="114"/>
      <c r="OJC12" s="114"/>
      <c r="OJD12" s="114"/>
      <c r="OJE12" s="114"/>
      <c r="OJF12" s="114"/>
      <c r="OJG12" s="114"/>
      <c r="OJH12" s="114"/>
      <c r="OJI12" s="114"/>
      <c r="OJJ12" s="114"/>
      <c r="OJK12" s="114"/>
      <c r="OJL12" s="114"/>
      <c r="OJM12" s="114"/>
      <c r="OJN12" s="114"/>
      <c r="OJO12" s="114"/>
      <c r="OJP12" s="114"/>
      <c r="OJQ12" s="114"/>
      <c r="OJR12" s="114"/>
      <c r="OJS12" s="114"/>
      <c r="OJT12" s="114"/>
      <c r="OJU12" s="114"/>
      <c r="OJV12" s="114"/>
      <c r="OJW12" s="114"/>
      <c r="OJX12" s="114"/>
      <c r="OJY12" s="114"/>
      <c r="OJZ12" s="114"/>
      <c r="OKA12" s="114"/>
      <c r="OKB12" s="114"/>
      <c r="OKC12" s="114"/>
      <c r="OKD12" s="114"/>
      <c r="OKE12" s="114"/>
      <c r="OKF12" s="114"/>
      <c r="OKG12" s="114"/>
      <c r="OKH12" s="114"/>
      <c r="OKI12" s="114"/>
      <c r="OKJ12" s="114"/>
      <c r="OKK12" s="114"/>
      <c r="OKL12" s="114"/>
      <c r="OKM12" s="114"/>
      <c r="OKN12" s="114"/>
      <c r="OKO12" s="114"/>
      <c r="OKP12" s="114"/>
      <c r="OKQ12" s="114"/>
      <c r="OKR12" s="114"/>
      <c r="OKS12" s="114"/>
      <c r="OKT12" s="114"/>
      <c r="OKU12" s="114"/>
      <c r="OKV12" s="114"/>
      <c r="OKW12" s="114"/>
      <c r="OKX12" s="114"/>
      <c r="OKY12" s="114"/>
      <c r="OKZ12" s="114"/>
      <c r="OLA12" s="114"/>
      <c r="OLB12" s="114"/>
      <c r="OLC12" s="114"/>
      <c r="OLD12" s="114"/>
      <c r="OLE12" s="114"/>
      <c r="OLF12" s="114"/>
      <c r="OLG12" s="114"/>
      <c r="OLH12" s="114"/>
      <c r="OLI12" s="114"/>
      <c r="OLJ12" s="114"/>
      <c r="OLK12" s="114"/>
      <c r="OLL12" s="114"/>
      <c r="OLM12" s="114"/>
      <c r="OLN12" s="114"/>
      <c r="OLO12" s="114"/>
      <c r="OLP12" s="114"/>
      <c r="OLQ12" s="114"/>
      <c r="OLR12" s="114"/>
      <c r="OLS12" s="114"/>
      <c r="OLT12" s="114"/>
      <c r="OLU12" s="114"/>
      <c r="OLV12" s="114"/>
      <c r="OLW12" s="114"/>
      <c r="OLX12" s="114"/>
      <c r="OLY12" s="114"/>
      <c r="OLZ12" s="114"/>
      <c r="OMA12" s="114"/>
      <c r="OMB12" s="114"/>
      <c r="OMC12" s="114"/>
      <c r="OMD12" s="114"/>
      <c r="OME12" s="114"/>
      <c r="OMF12" s="114"/>
      <c r="OMG12" s="114"/>
      <c r="OMH12" s="114"/>
      <c r="OMI12" s="114"/>
      <c r="OMJ12" s="114"/>
      <c r="OMK12" s="114"/>
      <c r="OML12" s="114"/>
      <c r="OMM12" s="114"/>
      <c r="OMN12" s="114"/>
      <c r="OMO12" s="114"/>
      <c r="OMP12" s="114"/>
      <c r="OMQ12" s="114"/>
      <c r="OMR12" s="114"/>
      <c r="OMS12" s="114"/>
      <c r="OMT12" s="114"/>
      <c r="OMU12" s="114"/>
      <c r="OMV12" s="114"/>
      <c r="OMW12" s="114"/>
      <c r="OMX12" s="114"/>
      <c r="OMY12" s="114"/>
      <c r="OMZ12" s="114"/>
      <c r="ONA12" s="114"/>
      <c r="ONB12" s="114"/>
      <c r="ONC12" s="114"/>
      <c r="OND12" s="114"/>
      <c r="ONE12" s="114"/>
      <c r="ONF12" s="114"/>
      <c r="ONG12" s="114"/>
      <c r="ONH12" s="114"/>
      <c r="ONI12" s="114"/>
      <c r="ONJ12" s="114"/>
      <c r="ONK12" s="114"/>
      <c r="ONL12" s="114"/>
      <c r="ONM12" s="114"/>
      <c r="ONN12" s="114"/>
      <c r="ONO12" s="114"/>
      <c r="ONP12" s="114"/>
      <c r="ONQ12" s="114"/>
      <c r="ONR12" s="114"/>
      <c r="ONS12" s="114"/>
      <c r="ONT12" s="114"/>
      <c r="ONU12" s="114"/>
      <c r="ONV12" s="114"/>
      <c r="ONW12" s="114"/>
      <c r="ONX12" s="114"/>
      <c r="ONY12" s="114"/>
      <c r="ONZ12" s="114"/>
      <c r="OOA12" s="114"/>
      <c r="OOB12" s="114"/>
      <c r="OOC12" s="114"/>
      <c r="OOD12" s="114"/>
      <c r="OOE12" s="114"/>
      <c r="OOF12" s="114"/>
      <c r="OOG12" s="114"/>
      <c r="OOH12" s="114"/>
      <c r="OOI12" s="114"/>
      <c r="OOJ12" s="114"/>
      <c r="OOK12" s="114"/>
      <c r="OOL12" s="114"/>
      <c r="OOM12" s="114"/>
      <c r="OON12" s="114"/>
      <c r="OOO12" s="114"/>
      <c r="OOP12" s="114"/>
      <c r="OOQ12" s="114"/>
      <c r="OOR12" s="114"/>
      <c r="OOS12" s="114"/>
      <c r="OOT12" s="114"/>
      <c r="OOU12" s="114"/>
      <c r="OOV12" s="114"/>
      <c r="OOW12" s="114"/>
      <c r="OOX12" s="114"/>
      <c r="OOY12" s="114"/>
      <c r="OOZ12" s="114"/>
      <c r="OPA12" s="114"/>
      <c r="OPB12" s="114"/>
      <c r="OPC12" s="114"/>
      <c r="OPD12" s="114"/>
      <c r="OPE12" s="114"/>
      <c r="OPF12" s="114"/>
      <c r="OPG12" s="114"/>
      <c r="OPH12" s="114"/>
      <c r="OPI12" s="114"/>
      <c r="OPJ12" s="114"/>
      <c r="OPK12" s="114"/>
      <c r="OPL12" s="114"/>
      <c r="OPM12" s="114"/>
      <c r="OPN12" s="114"/>
      <c r="OPO12" s="114"/>
      <c r="OPP12" s="114"/>
      <c r="OPQ12" s="114"/>
      <c r="OPR12" s="114"/>
      <c r="OPS12" s="114"/>
      <c r="OPT12" s="114"/>
      <c r="OPU12" s="114"/>
      <c r="OPV12" s="114"/>
      <c r="OPW12" s="114"/>
      <c r="OPX12" s="114"/>
      <c r="OPY12" s="114"/>
      <c r="OPZ12" s="114"/>
      <c r="OQA12" s="114"/>
      <c r="OQB12" s="114"/>
      <c r="OQC12" s="114"/>
      <c r="OQD12" s="114"/>
      <c r="OQE12" s="114"/>
      <c r="OQF12" s="114"/>
      <c r="OQG12" s="114"/>
      <c r="OQH12" s="114"/>
      <c r="OQI12" s="114"/>
      <c r="OQJ12" s="114"/>
      <c r="OQK12" s="114"/>
      <c r="OQL12" s="114"/>
      <c r="OQM12" s="114"/>
      <c r="OQN12" s="114"/>
      <c r="OQO12" s="114"/>
      <c r="OQP12" s="114"/>
      <c r="OQQ12" s="114"/>
      <c r="OQR12" s="114"/>
      <c r="OQS12" s="114"/>
      <c r="OQT12" s="114"/>
      <c r="OQU12" s="114"/>
      <c r="OQV12" s="114"/>
      <c r="OQW12" s="114"/>
      <c r="OQX12" s="114"/>
      <c r="OQY12" s="114"/>
      <c r="OQZ12" s="114"/>
      <c r="ORA12" s="114"/>
      <c r="ORB12" s="114"/>
      <c r="ORC12" s="114"/>
      <c r="ORD12" s="114"/>
      <c r="ORE12" s="114"/>
      <c r="ORF12" s="114"/>
      <c r="ORG12" s="114"/>
      <c r="ORH12" s="114"/>
      <c r="ORI12" s="114"/>
      <c r="ORJ12" s="114"/>
      <c r="ORK12" s="114"/>
      <c r="ORL12" s="114"/>
      <c r="ORM12" s="114"/>
      <c r="ORN12" s="114"/>
      <c r="ORO12" s="114"/>
      <c r="ORP12" s="114"/>
      <c r="ORQ12" s="114"/>
      <c r="ORR12" s="114"/>
      <c r="ORS12" s="114"/>
      <c r="ORT12" s="114"/>
      <c r="ORU12" s="114"/>
      <c r="ORV12" s="114"/>
      <c r="ORW12" s="114"/>
      <c r="ORX12" s="114"/>
      <c r="ORY12" s="114"/>
      <c r="ORZ12" s="114"/>
      <c r="OSA12" s="114"/>
      <c r="OSB12" s="114"/>
      <c r="OSC12" s="114"/>
      <c r="OSD12" s="114"/>
      <c r="OSE12" s="114"/>
      <c r="OSF12" s="114"/>
      <c r="OSG12" s="114"/>
      <c r="OSH12" s="114"/>
      <c r="OSI12" s="114"/>
      <c r="OSJ12" s="114"/>
      <c r="OSK12" s="114"/>
      <c r="OSL12" s="114"/>
      <c r="OSM12" s="114"/>
      <c r="OSN12" s="114"/>
      <c r="OSO12" s="114"/>
      <c r="OSP12" s="114"/>
      <c r="OSQ12" s="114"/>
      <c r="OSR12" s="114"/>
      <c r="OSS12" s="114"/>
      <c r="OST12" s="114"/>
      <c r="OSU12" s="114"/>
      <c r="OSV12" s="114"/>
      <c r="OSW12" s="114"/>
      <c r="OSX12" s="114"/>
      <c r="OSY12" s="114"/>
      <c r="OSZ12" s="114"/>
      <c r="OTA12" s="114"/>
      <c r="OTB12" s="114"/>
      <c r="OTC12" s="114"/>
      <c r="OTD12" s="114"/>
      <c r="OTE12" s="114"/>
      <c r="OTF12" s="114"/>
      <c r="OTG12" s="114"/>
      <c r="OTH12" s="114"/>
      <c r="OTI12" s="114"/>
      <c r="OTJ12" s="114"/>
      <c r="OTK12" s="114"/>
      <c r="OTL12" s="114"/>
      <c r="OTM12" s="114"/>
      <c r="OTN12" s="114"/>
      <c r="OTO12" s="114"/>
      <c r="OTP12" s="114"/>
      <c r="OTQ12" s="114"/>
      <c r="OTR12" s="114"/>
      <c r="OTS12" s="114"/>
      <c r="OTT12" s="114"/>
      <c r="OTU12" s="114"/>
      <c r="OTV12" s="114"/>
      <c r="OTW12" s="114"/>
      <c r="OTX12" s="114"/>
      <c r="OTY12" s="114"/>
      <c r="OTZ12" s="114"/>
      <c r="OUA12" s="114"/>
      <c r="OUB12" s="114"/>
      <c r="OUC12" s="114"/>
      <c r="OUD12" s="114"/>
      <c r="OUE12" s="114"/>
      <c r="OUF12" s="114"/>
      <c r="OUG12" s="114"/>
      <c r="OUH12" s="114"/>
      <c r="OUI12" s="114"/>
      <c r="OUJ12" s="114"/>
      <c r="OUK12" s="114"/>
      <c r="OUL12" s="114"/>
      <c r="OUM12" s="114"/>
      <c r="OUN12" s="114"/>
      <c r="OUO12" s="114"/>
      <c r="OUP12" s="114"/>
      <c r="OUQ12" s="114"/>
      <c r="OUR12" s="114"/>
      <c r="OUS12" s="114"/>
      <c r="OUT12" s="114"/>
      <c r="OUU12" s="114"/>
      <c r="OUV12" s="114"/>
      <c r="OUW12" s="114"/>
      <c r="OUX12" s="114"/>
      <c r="OUY12" s="114"/>
      <c r="OUZ12" s="114"/>
      <c r="OVA12" s="114"/>
      <c r="OVB12" s="114"/>
      <c r="OVC12" s="114"/>
      <c r="OVD12" s="114"/>
      <c r="OVE12" s="114"/>
      <c r="OVF12" s="114"/>
      <c r="OVG12" s="114"/>
      <c r="OVH12" s="114"/>
      <c r="OVI12" s="114"/>
      <c r="OVJ12" s="114"/>
      <c r="OVK12" s="114"/>
      <c r="OVL12" s="114"/>
      <c r="OVM12" s="114"/>
      <c r="OVN12" s="114"/>
      <c r="OVO12" s="114"/>
      <c r="OVP12" s="114"/>
      <c r="OVQ12" s="114"/>
      <c r="OVR12" s="114"/>
      <c r="OVS12" s="114"/>
      <c r="OVT12" s="114"/>
      <c r="OVU12" s="114"/>
      <c r="OVV12" s="114"/>
      <c r="OVW12" s="114"/>
      <c r="OVX12" s="114"/>
      <c r="OVY12" s="114"/>
      <c r="OVZ12" s="114"/>
      <c r="OWA12" s="114"/>
      <c r="OWB12" s="114"/>
      <c r="OWC12" s="114"/>
      <c r="OWD12" s="114"/>
      <c r="OWE12" s="114"/>
      <c r="OWF12" s="114"/>
      <c r="OWG12" s="114"/>
      <c r="OWH12" s="114"/>
      <c r="OWI12" s="114"/>
      <c r="OWJ12" s="114"/>
      <c r="OWK12" s="114"/>
      <c r="OWL12" s="114"/>
      <c r="OWM12" s="114"/>
      <c r="OWN12" s="114"/>
      <c r="OWO12" s="114"/>
      <c r="OWP12" s="114"/>
      <c r="OWQ12" s="114"/>
      <c r="OWR12" s="114"/>
      <c r="OWS12" s="114"/>
      <c r="OWT12" s="114"/>
      <c r="OWU12" s="114"/>
      <c r="OWV12" s="114"/>
      <c r="OWW12" s="114"/>
      <c r="OWX12" s="114"/>
      <c r="OWY12" s="114"/>
      <c r="OWZ12" s="114"/>
      <c r="OXA12" s="114"/>
      <c r="OXB12" s="114"/>
      <c r="OXC12" s="114"/>
      <c r="OXD12" s="114"/>
      <c r="OXE12" s="114"/>
      <c r="OXF12" s="114"/>
      <c r="OXG12" s="114"/>
      <c r="OXH12" s="114"/>
      <c r="OXI12" s="114"/>
      <c r="OXJ12" s="114"/>
      <c r="OXK12" s="114"/>
      <c r="OXL12" s="114"/>
      <c r="OXM12" s="114"/>
      <c r="OXN12" s="114"/>
      <c r="OXO12" s="114"/>
      <c r="OXP12" s="114"/>
      <c r="OXQ12" s="114"/>
      <c r="OXR12" s="114"/>
      <c r="OXS12" s="114"/>
      <c r="OXT12" s="114"/>
      <c r="OXU12" s="114"/>
      <c r="OXV12" s="114"/>
      <c r="OXW12" s="114"/>
      <c r="OXX12" s="114"/>
      <c r="OXY12" s="114"/>
      <c r="OXZ12" s="114"/>
      <c r="OYA12" s="114"/>
      <c r="OYB12" s="114"/>
      <c r="OYC12" s="114"/>
      <c r="OYD12" s="114"/>
      <c r="OYE12" s="114"/>
      <c r="OYF12" s="114"/>
      <c r="OYG12" s="114"/>
      <c r="OYH12" s="114"/>
      <c r="OYI12" s="114"/>
      <c r="OYJ12" s="114"/>
      <c r="OYK12" s="114"/>
      <c r="OYL12" s="114"/>
      <c r="OYM12" s="114"/>
      <c r="OYN12" s="114"/>
      <c r="OYO12" s="114"/>
      <c r="OYP12" s="114"/>
      <c r="OYQ12" s="114"/>
      <c r="OYR12" s="114"/>
      <c r="OYS12" s="114"/>
      <c r="OYT12" s="114"/>
      <c r="OYU12" s="114"/>
      <c r="OYV12" s="114"/>
      <c r="OYW12" s="114"/>
      <c r="OYX12" s="114"/>
      <c r="OYY12" s="114"/>
      <c r="OYZ12" s="114"/>
      <c r="OZA12" s="114"/>
      <c r="OZB12" s="114"/>
      <c r="OZC12" s="114"/>
      <c r="OZD12" s="114"/>
      <c r="OZE12" s="114"/>
      <c r="OZF12" s="114"/>
      <c r="OZG12" s="114"/>
      <c r="OZH12" s="114"/>
      <c r="OZI12" s="114"/>
      <c r="OZJ12" s="114"/>
      <c r="OZK12" s="114"/>
      <c r="OZL12" s="114"/>
      <c r="OZM12" s="114"/>
      <c r="OZN12" s="114"/>
      <c r="OZO12" s="114"/>
      <c r="OZP12" s="114"/>
      <c r="OZQ12" s="114"/>
      <c r="OZR12" s="114"/>
      <c r="OZS12" s="114"/>
      <c r="OZT12" s="114"/>
      <c r="OZU12" s="114"/>
      <c r="OZV12" s="114"/>
      <c r="OZW12" s="114"/>
      <c r="OZX12" s="114"/>
      <c r="OZY12" s="114"/>
      <c r="OZZ12" s="114"/>
      <c r="PAA12" s="114"/>
      <c r="PAB12" s="114"/>
      <c r="PAC12" s="114"/>
      <c r="PAD12" s="114"/>
      <c r="PAE12" s="114"/>
      <c r="PAF12" s="114"/>
      <c r="PAG12" s="114"/>
      <c r="PAH12" s="114"/>
      <c r="PAI12" s="114"/>
      <c r="PAJ12" s="114"/>
      <c r="PAK12" s="114"/>
      <c r="PAL12" s="114"/>
      <c r="PAM12" s="114"/>
      <c r="PAN12" s="114"/>
      <c r="PAO12" s="114"/>
      <c r="PAP12" s="114"/>
      <c r="PAQ12" s="114"/>
      <c r="PAR12" s="114"/>
      <c r="PAS12" s="114"/>
      <c r="PAT12" s="114"/>
      <c r="PAU12" s="114"/>
      <c r="PAV12" s="114"/>
      <c r="PAW12" s="114"/>
      <c r="PAX12" s="114"/>
      <c r="PAY12" s="114"/>
      <c r="PAZ12" s="114"/>
      <c r="PBA12" s="114"/>
      <c r="PBB12" s="114"/>
      <c r="PBC12" s="114"/>
      <c r="PBD12" s="114"/>
      <c r="PBE12" s="114"/>
      <c r="PBF12" s="114"/>
      <c r="PBG12" s="114"/>
      <c r="PBH12" s="114"/>
      <c r="PBI12" s="114"/>
      <c r="PBJ12" s="114"/>
      <c r="PBK12" s="114"/>
      <c r="PBL12" s="114"/>
      <c r="PBM12" s="114"/>
      <c r="PBN12" s="114"/>
      <c r="PBO12" s="114"/>
      <c r="PBP12" s="114"/>
      <c r="PBQ12" s="114"/>
      <c r="PBR12" s="114"/>
      <c r="PBS12" s="114"/>
      <c r="PBT12" s="114"/>
      <c r="PBU12" s="114"/>
      <c r="PBV12" s="114"/>
      <c r="PBW12" s="114"/>
      <c r="PBX12" s="114"/>
      <c r="PBY12" s="114"/>
      <c r="PBZ12" s="114"/>
      <c r="PCA12" s="114"/>
      <c r="PCB12" s="114"/>
      <c r="PCC12" s="114"/>
      <c r="PCD12" s="114"/>
      <c r="PCE12" s="114"/>
      <c r="PCF12" s="114"/>
      <c r="PCG12" s="114"/>
      <c r="PCH12" s="114"/>
      <c r="PCI12" s="114"/>
      <c r="PCJ12" s="114"/>
      <c r="PCK12" s="114"/>
      <c r="PCL12" s="114"/>
      <c r="PCM12" s="114"/>
      <c r="PCN12" s="114"/>
      <c r="PCO12" s="114"/>
      <c r="PCP12" s="114"/>
      <c r="PCQ12" s="114"/>
      <c r="PCR12" s="114"/>
      <c r="PCS12" s="114"/>
      <c r="PCT12" s="114"/>
      <c r="PCU12" s="114"/>
      <c r="PCV12" s="114"/>
      <c r="PCW12" s="114"/>
      <c r="PCX12" s="114"/>
      <c r="PCY12" s="114"/>
      <c r="PCZ12" s="114"/>
      <c r="PDA12" s="114"/>
      <c r="PDB12" s="114"/>
      <c r="PDC12" s="114"/>
      <c r="PDD12" s="114"/>
      <c r="PDE12" s="114"/>
      <c r="PDF12" s="114"/>
      <c r="PDG12" s="114"/>
      <c r="PDH12" s="114"/>
      <c r="PDI12" s="114"/>
      <c r="PDJ12" s="114"/>
      <c r="PDK12" s="114"/>
      <c r="PDL12" s="114"/>
      <c r="PDM12" s="114"/>
      <c r="PDN12" s="114"/>
      <c r="PDO12" s="114"/>
      <c r="PDP12" s="114"/>
      <c r="PDQ12" s="114"/>
      <c r="PDR12" s="114"/>
      <c r="PDS12" s="114"/>
      <c r="PDT12" s="114"/>
      <c r="PDU12" s="114"/>
      <c r="PDV12" s="114"/>
      <c r="PDW12" s="114"/>
      <c r="PDX12" s="114"/>
      <c r="PDY12" s="114"/>
      <c r="PDZ12" s="114"/>
      <c r="PEA12" s="114"/>
      <c r="PEB12" s="114"/>
      <c r="PEC12" s="114"/>
      <c r="PED12" s="114"/>
      <c r="PEE12" s="114"/>
      <c r="PEF12" s="114"/>
      <c r="PEG12" s="114"/>
      <c r="PEH12" s="114"/>
      <c r="PEI12" s="114"/>
      <c r="PEJ12" s="114"/>
      <c r="PEK12" s="114"/>
      <c r="PEL12" s="114"/>
      <c r="PEM12" s="114"/>
      <c r="PEN12" s="114"/>
      <c r="PEO12" s="114"/>
      <c r="PEP12" s="114"/>
      <c r="PEQ12" s="114"/>
      <c r="PER12" s="114"/>
      <c r="PES12" s="114"/>
      <c r="PET12" s="114"/>
      <c r="PEU12" s="114"/>
      <c r="PEV12" s="114"/>
      <c r="PEW12" s="114"/>
      <c r="PEX12" s="114"/>
      <c r="PEY12" s="114"/>
      <c r="PEZ12" s="114"/>
      <c r="PFA12" s="114"/>
      <c r="PFB12" s="114"/>
      <c r="PFC12" s="114"/>
      <c r="PFD12" s="114"/>
      <c r="PFE12" s="114"/>
      <c r="PFF12" s="114"/>
      <c r="PFG12" s="114"/>
      <c r="PFH12" s="114"/>
      <c r="PFI12" s="114"/>
      <c r="PFJ12" s="114"/>
      <c r="PFK12" s="114"/>
      <c r="PFL12" s="114"/>
      <c r="PFM12" s="114"/>
      <c r="PFN12" s="114"/>
      <c r="PFO12" s="114"/>
      <c r="PFP12" s="114"/>
      <c r="PFQ12" s="114"/>
      <c r="PFR12" s="114"/>
      <c r="PFS12" s="114"/>
      <c r="PFT12" s="114"/>
      <c r="PFU12" s="114"/>
      <c r="PFV12" s="114"/>
      <c r="PFW12" s="114"/>
      <c r="PFX12" s="114"/>
      <c r="PFY12" s="114"/>
      <c r="PFZ12" s="114"/>
      <c r="PGA12" s="114"/>
      <c r="PGB12" s="114"/>
      <c r="PGC12" s="114"/>
      <c r="PGD12" s="114"/>
      <c r="PGE12" s="114"/>
      <c r="PGF12" s="114"/>
      <c r="PGG12" s="114"/>
      <c r="PGH12" s="114"/>
      <c r="PGI12" s="114"/>
      <c r="PGJ12" s="114"/>
      <c r="PGK12" s="114"/>
      <c r="PGL12" s="114"/>
      <c r="PGM12" s="114"/>
      <c r="PGN12" s="114"/>
      <c r="PGO12" s="114"/>
      <c r="PGP12" s="114"/>
      <c r="PGQ12" s="114"/>
      <c r="PGR12" s="114"/>
      <c r="PGS12" s="114"/>
      <c r="PGT12" s="114"/>
      <c r="PGU12" s="114"/>
      <c r="PGV12" s="114"/>
      <c r="PGW12" s="114"/>
      <c r="PGX12" s="114"/>
      <c r="PGY12" s="114"/>
      <c r="PGZ12" s="114"/>
      <c r="PHA12" s="114"/>
      <c r="PHB12" s="114"/>
      <c r="PHC12" s="114"/>
      <c r="PHD12" s="114"/>
      <c r="PHE12" s="114"/>
      <c r="PHF12" s="114"/>
      <c r="PHG12" s="114"/>
      <c r="PHH12" s="114"/>
      <c r="PHI12" s="114"/>
      <c r="PHJ12" s="114"/>
      <c r="PHK12" s="114"/>
      <c r="PHL12" s="114"/>
      <c r="PHM12" s="114"/>
      <c r="PHN12" s="114"/>
      <c r="PHO12" s="114"/>
      <c r="PHP12" s="114"/>
      <c r="PHQ12" s="114"/>
      <c r="PHR12" s="114"/>
      <c r="PHS12" s="114"/>
      <c r="PHT12" s="114"/>
      <c r="PHU12" s="114"/>
      <c r="PHV12" s="114"/>
      <c r="PHW12" s="114"/>
      <c r="PHX12" s="114"/>
      <c r="PHY12" s="114"/>
      <c r="PHZ12" s="114"/>
      <c r="PIA12" s="114"/>
      <c r="PIB12" s="114"/>
      <c r="PIC12" s="114"/>
      <c r="PID12" s="114"/>
      <c r="PIE12" s="114"/>
      <c r="PIF12" s="114"/>
      <c r="PIG12" s="114"/>
      <c r="PIH12" s="114"/>
      <c r="PII12" s="114"/>
      <c r="PIJ12" s="114"/>
      <c r="PIK12" s="114"/>
      <c r="PIL12" s="114"/>
      <c r="PIM12" s="114"/>
      <c r="PIN12" s="114"/>
      <c r="PIO12" s="114"/>
      <c r="PIP12" s="114"/>
      <c r="PIQ12" s="114"/>
      <c r="PIR12" s="114"/>
      <c r="PIS12" s="114"/>
      <c r="PIT12" s="114"/>
      <c r="PIU12" s="114"/>
      <c r="PIV12" s="114"/>
      <c r="PIW12" s="114"/>
      <c r="PIX12" s="114"/>
      <c r="PIY12" s="114"/>
      <c r="PIZ12" s="114"/>
      <c r="PJA12" s="114"/>
      <c r="PJB12" s="114"/>
      <c r="PJC12" s="114"/>
      <c r="PJD12" s="114"/>
      <c r="PJE12" s="114"/>
      <c r="PJF12" s="114"/>
      <c r="PJG12" s="114"/>
      <c r="PJH12" s="114"/>
      <c r="PJI12" s="114"/>
      <c r="PJJ12" s="114"/>
      <c r="PJK12" s="114"/>
      <c r="PJL12" s="114"/>
      <c r="PJM12" s="114"/>
      <c r="PJN12" s="114"/>
      <c r="PJO12" s="114"/>
      <c r="PJP12" s="114"/>
      <c r="PJQ12" s="114"/>
      <c r="PJR12" s="114"/>
      <c r="PJS12" s="114"/>
      <c r="PJT12" s="114"/>
      <c r="PJU12" s="114"/>
      <c r="PJV12" s="114"/>
      <c r="PJW12" s="114"/>
      <c r="PJX12" s="114"/>
      <c r="PJY12" s="114"/>
      <c r="PJZ12" s="114"/>
      <c r="PKA12" s="114"/>
      <c r="PKB12" s="114"/>
      <c r="PKC12" s="114"/>
      <c r="PKD12" s="114"/>
      <c r="PKE12" s="114"/>
      <c r="PKF12" s="114"/>
      <c r="PKG12" s="114"/>
      <c r="PKH12" s="114"/>
      <c r="PKI12" s="114"/>
      <c r="PKJ12" s="114"/>
      <c r="PKK12" s="114"/>
      <c r="PKL12" s="114"/>
      <c r="PKM12" s="114"/>
      <c r="PKN12" s="114"/>
      <c r="PKO12" s="114"/>
      <c r="PKP12" s="114"/>
      <c r="PKQ12" s="114"/>
      <c r="PKR12" s="114"/>
      <c r="PKS12" s="114"/>
      <c r="PKT12" s="114"/>
      <c r="PKU12" s="114"/>
      <c r="PKV12" s="114"/>
      <c r="PKW12" s="114"/>
      <c r="PKX12" s="114"/>
      <c r="PKY12" s="114"/>
      <c r="PKZ12" s="114"/>
      <c r="PLA12" s="114"/>
      <c r="PLB12" s="114"/>
      <c r="PLC12" s="114"/>
      <c r="PLD12" s="114"/>
      <c r="PLE12" s="114"/>
      <c r="PLF12" s="114"/>
      <c r="PLG12" s="114"/>
      <c r="PLH12" s="114"/>
      <c r="PLI12" s="114"/>
      <c r="PLJ12" s="114"/>
      <c r="PLK12" s="114"/>
      <c r="PLL12" s="114"/>
      <c r="PLM12" s="114"/>
      <c r="PLN12" s="114"/>
      <c r="PLO12" s="114"/>
      <c r="PLP12" s="114"/>
      <c r="PLQ12" s="114"/>
      <c r="PLR12" s="114"/>
      <c r="PLS12" s="114"/>
      <c r="PLT12" s="114"/>
      <c r="PLU12" s="114"/>
      <c r="PLV12" s="114"/>
      <c r="PLW12" s="114"/>
      <c r="PLX12" s="114"/>
      <c r="PLY12" s="114"/>
      <c r="PLZ12" s="114"/>
      <c r="PMA12" s="114"/>
      <c r="PMB12" s="114"/>
      <c r="PMC12" s="114"/>
      <c r="PMD12" s="114"/>
      <c r="PME12" s="114"/>
      <c r="PMF12" s="114"/>
      <c r="PMG12" s="114"/>
      <c r="PMH12" s="114"/>
      <c r="PMI12" s="114"/>
      <c r="PMJ12" s="114"/>
      <c r="PMK12" s="114"/>
      <c r="PML12" s="114"/>
      <c r="PMM12" s="114"/>
      <c r="PMN12" s="114"/>
      <c r="PMO12" s="114"/>
      <c r="PMP12" s="114"/>
      <c r="PMQ12" s="114"/>
      <c r="PMR12" s="114"/>
      <c r="PMS12" s="114"/>
      <c r="PMT12" s="114"/>
      <c r="PMU12" s="114"/>
      <c r="PMV12" s="114"/>
      <c r="PMW12" s="114"/>
      <c r="PMX12" s="114"/>
      <c r="PMY12" s="114"/>
      <c r="PMZ12" s="114"/>
      <c r="PNA12" s="114"/>
      <c r="PNB12" s="114"/>
      <c r="PNC12" s="114"/>
      <c r="PND12" s="114"/>
      <c r="PNE12" s="114"/>
      <c r="PNF12" s="114"/>
      <c r="PNG12" s="114"/>
      <c r="PNH12" s="114"/>
      <c r="PNI12" s="114"/>
      <c r="PNJ12" s="114"/>
      <c r="PNK12" s="114"/>
      <c r="PNL12" s="114"/>
      <c r="PNM12" s="114"/>
      <c r="PNN12" s="114"/>
      <c r="PNO12" s="114"/>
      <c r="PNP12" s="114"/>
      <c r="PNQ12" s="114"/>
      <c r="PNR12" s="114"/>
      <c r="PNS12" s="114"/>
      <c r="PNT12" s="114"/>
      <c r="PNU12" s="114"/>
      <c r="PNV12" s="114"/>
      <c r="PNW12" s="114"/>
      <c r="PNX12" s="114"/>
      <c r="PNY12" s="114"/>
      <c r="PNZ12" s="114"/>
      <c r="POA12" s="114"/>
      <c r="POB12" s="114"/>
      <c r="POC12" s="114"/>
      <c r="POD12" s="114"/>
      <c r="POE12" s="114"/>
      <c r="POF12" s="114"/>
      <c r="POG12" s="114"/>
      <c r="POH12" s="114"/>
      <c r="POI12" s="114"/>
      <c r="POJ12" s="114"/>
      <c r="POK12" s="114"/>
      <c r="POL12" s="114"/>
      <c r="POM12" s="114"/>
      <c r="PON12" s="114"/>
      <c r="POO12" s="114"/>
      <c r="POP12" s="114"/>
      <c r="POQ12" s="114"/>
      <c r="POR12" s="114"/>
      <c r="POS12" s="114"/>
      <c r="POT12" s="114"/>
      <c r="POU12" s="114"/>
      <c r="POV12" s="114"/>
      <c r="POW12" s="114"/>
      <c r="POX12" s="114"/>
      <c r="POY12" s="114"/>
      <c r="POZ12" s="114"/>
      <c r="PPA12" s="114"/>
      <c r="PPB12" s="114"/>
      <c r="PPC12" s="114"/>
      <c r="PPD12" s="114"/>
      <c r="PPE12" s="114"/>
      <c r="PPF12" s="114"/>
      <c r="PPG12" s="114"/>
      <c r="PPH12" s="114"/>
      <c r="PPI12" s="114"/>
      <c r="PPJ12" s="114"/>
      <c r="PPK12" s="114"/>
      <c r="PPL12" s="114"/>
      <c r="PPM12" s="114"/>
      <c r="PPN12" s="114"/>
      <c r="PPO12" s="114"/>
      <c r="PPP12" s="114"/>
      <c r="PPQ12" s="114"/>
      <c r="PPR12" s="114"/>
      <c r="PPS12" s="114"/>
      <c r="PPT12" s="114"/>
      <c r="PPU12" s="114"/>
      <c r="PPV12" s="114"/>
      <c r="PPW12" s="114"/>
      <c r="PPX12" s="114"/>
      <c r="PPY12" s="114"/>
      <c r="PPZ12" s="114"/>
      <c r="PQA12" s="114"/>
      <c r="PQB12" s="114"/>
      <c r="PQC12" s="114"/>
      <c r="PQD12" s="114"/>
      <c r="PQE12" s="114"/>
      <c r="PQF12" s="114"/>
      <c r="PQG12" s="114"/>
      <c r="PQH12" s="114"/>
      <c r="PQI12" s="114"/>
      <c r="PQJ12" s="114"/>
      <c r="PQK12" s="114"/>
      <c r="PQL12" s="114"/>
      <c r="PQM12" s="114"/>
      <c r="PQN12" s="114"/>
      <c r="PQO12" s="114"/>
      <c r="PQP12" s="114"/>
      <c r="PQQ12" s="114"/>
      <c r="PQR12" s="114"/>
      <c r="PQS12" s="114"/>
      <c r="PQT12" s="114"/>
      <c r="PQU12" s="114"/>
      <c r="PQV12" s="114"/>
      <c r="PQW12" s="114"/>
      <c r="PQX12" s="114"/>
      <c r="PQY12" s="114"/>
      <c r="PQZ12" s="114"/>
      <c r="PRA12" s="114"/>
      <c r="PRB12" s="114"/>
      <c r="PRC12" s="114"/>
      <c r="PRD12" s="114"/>
      <c r="PRE12" s="114"/>
      <c r="PRF12" s="114"/>
      <c r="PRG12" s="114"/>
      <c r="PRH12" s="114"/>
      <c r="PRI12" s="114"/>
      <c r="PRJ12" s="114"/>
      <c r="PRK12" s="114"/>
      <c r="PRL12" s="114"/>
      <c r="PRM12" s="114"/>
      <c r="PRN12" s="114"/>
      <c r="PRO12" s="114"/>
      <c r="PRP12" s="114"/>
      <c r="PRQ12" s="114"/>
      <c r="PRR12" s="114"/>
      <c r="PRS12" s="114"/>
      <c r="PRT12" s="114"/>
      <c r="PRU12" s="114"/>
      <c r="PRV12" s="114"/>
      <c r="PRW12" s="114"/>
      <c r="PRX12" s="114"/>
      <c r="PRY12" s="114"/>
      <c r="PRZ12" s="114"/>
      <c r="PSA12" s="114"/>
      <c r="PSB12" s="114"/>
      <c r="PSC12" s="114"/>
      <c r="PSD12" s="114"/>
      <c r="PSE12" s="114"/>
      <c r="PSF12" s="114"/>
      <c r="PSG12" s="114"/>
      <c r="PSH12" s="114"/>
      <c r="PSI12" s="114"/>
      <c r="PSJ12" s="114"/>
      <c r="PSK12" s="114"/>
      <c r="PSL12" s="114"/>
      <c r="PSM12" s="114"/>
      <c r="PSN12" s="114"/>
      <c r="PSO12" s="114"/>
      <c r="PSP12" s="114"/>
      <c r="PSQ12" s="114"/>
      <c r="PSR12" s="114"/>
      <c r="PSS12" s="114"/>
      <c r="PST12" s="114"/>
      <c r="PSU12" s="114"/>
      <c r="PSV12" s="114"/>
      <c r="PSW12" s="114"/>
      <c r="PSX12" s="114"/>
      <c r="PSY12" s="114"/>
      <c r="PSZ12" s="114"/>
      <c r="PTA12" s="114"/>
      <c r="PTB12" s="114"/>
      <c r="PTC12" s="114"/>
      <c r="PTD12" s="114"/>
      <c r="PTE12" s="114"/>
      <c r="PTF12" s="114"/>
      <c r="PTG12" s="114"/>
      <c r="PTH12" s="114"/>
      <c r="PTI12" s="114"/>
      <c r="PTJ12" s="114"/>
      <c r="PTK12" s="114"/>
      <c r="PTL12" s="114"/>
      <c r="PTM12" s="114"/>
      <c r="PTN12" s="114"/>
      <c r="PTO12" s="114"/>
      <c r="PTP12" s="114"/>
      <c r="PTQ12" s="114"/>
      <c r="PTR12" s="114"/>
      <c r="PTS12" s="114"/>
      <c r="PTT12" s="114"/>
      <c r="PTU12" s="114"/>
      <c r="PTV12" s="114"/>
      <c r="PTW12" s="114"/>
      <c r="PTX12" s="114"/>
      <c r="PTY12" s="114"/>
      <c r="PTZ12" s="114"/>
      <c r="PUA12" s="114"/>
      <c r="PUB12" s="114"/>
      <c r="PUC12" s="114"/>
      <c r="PUD12" s="114"/>
      <c r="PUE12" s="114"/>
      <c r="PUF12" s="114"/>
      <c r="PUG12" s="114"/>
      <c r="PUH12" s="114"/>
      <c r="PUI12" s="114"/>
      <c r="PUJ12" s="114"/>
      <c r="PUK12" s="114"/>
      <c r="PUL12" s="114"/>
      <c r="PUM12" s="114"/>
      <c r="PUN12" s="114"/>
      <c r="PUO12" s="114"/>
      <c r="PUP12" s="114"/>
      <c r="PUQ12" s="114"/>
      <c r="PUR12" s="114"/>
      <c r="PUS12" s="114"/>
      <c r="PUT12" s="114"/>
      <c r="PUU12" s="114"/>
      <c r="PUV12" s="114"/>
      <c r="PUW12" s="114"/>
      <c r="PUX12" s="114"/>
      <c r="PUY12" s="114"/>
      <c r="PUZ12" s="114"/>
      <c r="PVA12" s="114"/>
      <c r="PVB12" s="114"/>
      <c r="PVC12" s="114"/>
      <c r="PVD12" s="114"/>
      <c r="PVE12" s="114"/>
      <c r="PVF12" s="114"/>
      <c r="PVG12" s="114"/>
      <c r="PVH12" s="114"/>
      <c r="PVI12" s="114"/>
      <c r="PVJ12" s="114"/>
      <c r="PVK12" s="114"/>
      <c r="PVL12" s="114"/>
      <c r="PVM12" s="114"/>
      <c r="PVN12" s="114"/>
      <c r="PVO12" s="114"/>
      <c r="PVP12" s="114"/>
      <c r="PVQ12" s="114"/>
      <c r="PVR12" s="114"/>
      <c r="PVS12" s="114"/>
      <c r="PVT12" s="114"/>
      <c r="PVU12" s="114"/>
      <c r="PVV12" s="114"/>
      <c r="PVW12" s="114"/>
      <c r="PVX12" s="114"/>
      <c r="PVY12" s="114"/>
      <c r="PVZ12" s="114"/>
      <c r="PWA12" s="114"/>
      <c r="PWB12" s="114"/>
      <c r="PWC12" s="114"/>
      <c r="PWD12" s="114"/>
      <c r="PWE12" s="114"/>
      <c r="PWF12" s="114"/>
      <c r="PWG12" s="114"/>
      <c r="PWH12" s="114"/>
      <c r="PWI12" s="114"/>
      <c r="PWJ12" s="114"/>
      <c r="PWK12" s="114"/>
      <c r="PWL12" s="114"/>
      <c r="PWM12" s="114"/>
      <c r="PWN12" s="114"/>
      <c r="PWO12" s="114"/>
      <c r="PWP12" s="114"/>
      <c r="PWQ12" s="114"/>
      <c r="PWR12" s="114"/>
      <c r="PWS12" s="114"/>
      <c r="PWT12" s="114"/>
      <c r="PWU12" s="114"/>
      <c r="PWV12" s="114"/>
      <c r="PWW12" s="114"/>
      <c r="PWX12" s="114"/>
      <c r="PWY12" s="114"/>
      <c r="PWZ12" s="114"/>
      <c r="PXA12" s="114"/>
      <c r="PXB12" s="114"/>
      <c r="PXC12" s="114"/>
      <c r="PXD12" s="114"/>
      <c r="PXE12" s="114"/>
      <c r="PXF12" s="114"/>
      <c r="PXG12" s="114"/>
      <c r="PXH12" s="114"/>
      <c r="PXI12" s="114"/>
      <c r="PXJ12" s="114"/>
      <c r="PXK12" s="114"/>
      <c r="PXL12" s="114"/>
      <c r="PXM12" s="114"/>
      <c r="PXN12" s="114"/>
      <c r="PXO12" s="114"/>
      <c r="PXP12" s="114"/>
      <c r="PXQ12" s="114"/>
      <c r="PXR12" s="114"/>
      <c r="PXS12" s="114"/>
      <c r="PXT12" s="114"/>
      <c r="PXU12" s="114"/>
      <c r="PXV12" s="114"/>
      <c r="PXW12" s="114"/>
      <c r="PXX12" s="114"/>
      <c r="PXY12" s="114"/>
      <c r="PXZ12" s="114"/>
      <c r="PYA12" s="114"/>
      <c r="PYB12" s="114"/>
      <c r="PYC12" s="114"/>
      <c r="PYD12" s="114"/>
      <c r="PYE12" s="114"/>
      <c r="PYF12" s="114"/>
      <c r="PYG12" s="114"/>
      <c r="PYH12" s="114"/>
      <c r="PYI12" s="114"/>
      <c r="PYJ12" s="114"/>
      <c r="PYK12" s="114"/>
      <c r="PYL12" s="114"/>
      <c r="PYM12" s="114"/>
      <c r="PYN12" s="114"/>
      <c r="PYO12" s="114"/>
      <c r="PYP12" s="114"/>
      <c r="PYQ12" s="114"/>
      <c r="PYR12" s="114"/>
      <c r="PYS12" s="114"/>
      <c r="PYT12" s="114"/>
      <c r="PYU12" s="114"/>
      <c r="PYV12" s="114"/>
      <c r="PYW12" s="114"/>
      <c r="PYX12" s="114"/>
      <c r="PYY12" s="114"/>
      <c r="PYZ12" s="114"/>
      <c r="PZA12" s="114"/>
      <c r="PZB12" s="114"/>
      <c r="PZC12" s="114"/>
      <c r="PZD12" s="114"/>
      <c r="PZE12" s="114"/>
      <c r="PZF12" s="114"/>
      <c r="PZG12" s="114"/>
      <c r="PZH12" s="114"/>
      <c r="PZI12" s="114"/>
      <c r="PZJ12" s="114"/>
      <c r="PZK12" s="114"/>
      <c r="PZL12" s="114"/>
      <c r="PZM12" s="114"/>
      <c r="PZN12" s="114"/>
      <c r="PZO12" s="114"/>
      <c r="PZP12" s="114"/>
      <c r="PZQ12" s="114"/>
      <c r="PZR12" s="114"/>
      <c r="PZS12" s="114"/>
      <c r="PZT12" s="114"/>
      <c r="PZU12" s="114"/>
      <c r="PZV12" s="114"/>
      <c r="PZW12" s="114"/>
      <c r="PZX12" s="114"/>
      <c r="PZY12" s="114"/>
      <c r="PZZ12" s="114"/>
      <c r="QAA12" s="114"/>
      <c r="QAB12" s="114"/>
      <c r="QAC12" s="114"/>
      <c r="QAD12" s="114"/>
      <c r="QAE12" s="114"/>
      <c r="QAF12" s="114"/>
      <c r="QAG12" s="114"/>
      <c r="QAH12" s="114"/>
      <c r="QAI12" s="114"/>
      <c r="QAJ12" s="114"/>
      <c r="QAK12" s="114"/>
      <c r="QAL12" s="114"/>
      <c r="QAM12" s="114"/>
      <c r="QAN12" s="114"/>
      <c r="QAO12" s="114"/>
      <c r="QAP12" s="114"/>
      <c r="QAQ12" s="114"/>
      <c r="QAR12" s="114"/>
      <c r="QAS12" s="114"/>
      <c r="QAT12" s="114"/>
      <c r="QAU12" s="114"/>
      <c r="QAV12" s="114"/>
      <c r="QAW12" s="114"/>
      <c r="QAX12" s="114"/>
      <c r="QAY12" s="114"/>
      <c r="QAZ12" s="114"/>
      <c r="QBA12" s="114"/>
      <c r="QBB12" s="114"/>
      <c r="QBC12" s="114"/>
      <c r="QBD12" s="114"/>
      <c r="QBE12" s="114"/>
      <c r="QBF12" s="114"/>
      <c r="QBG12" s="114"/>
      <c r="QBH12" s="114"/>
      <c r="QBI12" s="114"/>
      <c r="QBJ12" s="114"/>
      <c r="QBK12" s="114"/>
      <c r="QBL12" s="114"/>
      <c r="QBM12" s="114"/>
      <c r="QBN12" s="114"/>
      <c r="QBO12" s="114"/>
      <c r="QBP12" s="114"/>
      <c r="QBQ12" s="114"/>
      <c r="QBR12" s="114"/>
      <c r="QBS12" s="114"/>
      <c r="QBT12" s="114"/>
      <c r="QBU12" s="114"/>
      <c r="QBV12" s="114"/>
      <c r="QBW12" s="114"/>
      <c r="QBX12" s="114"/>
      <c r="QBY12" s="114"/>
      <c r="QBZ12" s="114"/>
      <c r="QCA12" s="114"/>
      <c r="QCB12" s="114"/>
      <c r="QCC12" s="114"/>
      <c r="QCD12" s="114"/>
      <c r="QCE12" s="114"/>
      <c r="QCF12" s="114"/>
      <c r="QCG12" s="114"/>
      <c r="QCH12" s="114"/>
      <c r="QCI12" s="114"/>
      <c r="QCJ12" s="114"/>
      <c r="QCK12" s="114"/>
      <c r="QCL12" s="114"/>
      <c r="QCM12" s="114"/>
      <c r="QCN12" s="114"/>
      <c r="QCO12" s="114"/>
      <c r="QCP12" s="114"/>
      <c r="QCQ12" s="114"/>
      <c r="QCR12" s="114"/>
      <c r="QCS12" s="114"/>
      <c r="QCT12" s="114"/>
      <c r="QCU12" s="114"/>
      <c r="QCV12" s="114"/>
      <c r="QCW12" s="114"/>
      <c r="QCX12" s="114"/>
      <c r="QCY12" s="114"/>
      <c r="QCZ12" s="114"/>
      <c r="QDA12" s="114"/>
      <c r="QDB12" s="114"/>
      <c r="QDC12" s="114"/>
      <c r="QDD12" s="114"/>
      <c r="QDE12" s="114"/>
      <c r="QDF12" s="114"/>
      <c r="QDG12" s="114"/>
      <c r="QDH12" s="114"/>
      <c r="QDI12" s="114"/>
      <c r="QDJ12" s="114"/>
      <c r="QDK12" s="114"/>
      <c r="QDL12" s="114"/>
      <c r="QDM12" s="114"/>
      <c r="QDN12" s="114"/>
      <c r="QDO12" s="114"/>
      <c r="QDP12" s="114"/>
      <c r="QDQ12" s="114"/>
      <c r="QDR12" s="114"/>
      <c r="QDS12" s="114"/>
      <c r="QDT12" s="114"/>
      <c r="QDU12" s="114"/>
      <c r="QDV12" s="114"/>
      <c r="QDW12" s="114"/>
      <c r="QDX12" s="114"/>
      <c r="QDY12" s="114"/>
      <c r="QDZ12" s="114"/>
      <c r="QEA12" s="114"/>
      <c r="QEB12" s="114"/>
      <c r="QEC12" s="114"/>
      <c r="QED12" s="114"/>
      <c r="QEE12" s="114"/>
      <c r="QEF12" s="114"/>
      <c r="QEG12" s="114"/>
      <c r="QEH12" s="114"/>
      <c r="QEI12" s="114"/>
      <c r="QEJ12" s="114"/>
      <c r="QEK12" s="114"/>
      <c r="QEL12" s="114"/>
      <c r="QEM12" s="114"/>
      <c r="QEN12" s="114"/>
      <c r="QEO12" s="114"/>
      <c r="QEP12" s="114"/>
      <c r="QEQ12" s="114"/>
      <c r="QER12" s="114"/>
      <c r="QES12" s="114"/>
      <c r="QET12" s="114"/>
      <c r="QEU12" s="114"/>
      <c r="QEV12" s="114"/>
      <c r="QEW12" s="114"/>
      <c r="QEX12" s="114"/>
      <c r="QEY12" s="114"/>
      <c r="QEZ12" s="114"/>
      <c r="QFA12" s="114"/>
      <c r="QFB12" s="114"/>
      <c r="QFC12" s="114"/>
      <c r="QFD12" s="114"/>
      <c r="QFE12" s="114"/>
      <c r="QFF12" s="114"/>
      <c r="QFG12" s="114"/>
      <c r="QFH12" s="114"/>
      <c r="QFI12" s="114"/>
      <c r="QFJ12" s="114"/>
      <c r="QFK12" s="114"/>
      <c r="QFL12" s="114"/>
      <c r="QFM12" s="114"/>
      <c r="QFN12" s="114"/>
      <c r="QFO12" s="114"/>
      <c r="QFP12" s="114"/>
      <c r="QFQ12" s="114"/>
      <c r="QFR12" s="114"/>
      <c r="QFS12" s="114"/>
      <c r="QFT12" s="114"/>
      <c r="QFU12" s="114"/>
      <c r="QFV12" s="114"/>
      <c r="QFW12" s="114"/>
      <c r="QFX12" s="114"/>
      <c r="QFY12" s="114"/>
      <c r="QFZ12" s="114"/>
      <c r="QGA12" s="114"/>
      <c r="QGB12" s="114"/>
      <c r="QGC12" s="114"/>
      <c r="QGD12" s="114"/>
      <c r="QGE12" s="114"/>
      <c r="QGF12" s="114"/>
      <c r="QGG12" s="114"/>
      <c r="QGH12" s="114"/>
      <c r="QGI12" s="114"/>
      <c r="QGJ12" s="114"/>
      <c r="QGK12" s="114"/>
      <c r="QGL12" s="114"/>
      <c r="QGM12" s="114"/>
      <c r="QGN12" s="114"/>
      <c r="QGO12" s="114"/>
      <c r="QGP12" s="114"/>
      <c r="QGQ12" s="114"/>
      <c r="QGR12" s="114"/>
      <c r="QGS12" s="114"/>
      <c r="QGT12" s="114"/>
      <c r="QGU12" s="114"/>
      <c r="QGV12" s="114"/>
      <c r="QGW12" s="114"/>
      <c r="QGX12" s="114"/>
      <c r="QGY12" s="114"/>
      <c r="QGZ12" s="114"/>
      <c r="QHA12" s="114"/>
      <c r="QHB12" s="114"/>
      <c r="QHC12" s="114"/>
      <c r="QHD12" s="114"/>
      <c r="QHE12" s="114"/>
      <c r="QHF12" s="114"/>
      <c r="QHG12" s="114"/>
      <c r="QHH12" s="114"/>
      <c r="QHI12" s="114"/>
      <c r="QHJ12" s="114"/>
      <c r="QHK12" s="114"/>
      <c r="QHL12" s="114"/>
      <c r="QHM12" s="114"/>
      <c r="QHN12" s="114"/>
      <c r="QHO12" s="114"/>
      <c r="QHP12" s="114"/>
      <c r="QHQ12" s="114"/>
      <c r="QHR12" s="114"/>
      <c r="QHS12" s="114"/>
      <c r="QHT12" s="114"/>
      <c r="QHU12" s="114"/>
      <c r="QHV12" s="114"/>
      <c r="QHW12" s="114"/>
      <c r="QHX12" s="114"/>
      <c r="QHY12" s="114"/>
      <c r="QHZ12" s="114"/>
      <c r="QIA12" s="114"/>
      <c r="QIB12" s="114"/>
      <c r="QIC12" s="114"/>
      <c r="QID12" s="114"/>
      <c r="QIE12" s="114"/>
      <c r="QIF12" s="114"/>
      <c r="QIG12" s="114"/>
      <c r="QIH12" s="114"/>
      <c r="QII12" s="114"/>
      <c r="QIJ12" s="114"/>
      <c r="QIK12" s="114"/>
      <c r="QIL12" s="114"/>
      <c r="QIM12" s="114"/>
      <c r="QIN12" s="114"/>
      <c r="QIO12" s="114"/>
      <c r="QIP12" s="114"/>
      <c r="QIQ12" s="114"/>
      <c r="QIR12" s="114"/>
      <c r="QIS12" s="114"/>
      <c r="QIT12" s="114"/>
      <c r="QIU12" s="114"/>
      <c r="QIV12" s="114"/>
      <c r="QIW12" s="114"/>
      <c r="QIX12" s="114"/>
      <c r="QIY12" s="114"/>
      <c r="QIZ12" s="114"/>
      <c r="QJA12" s="114"/>
      <c r="QJB12" s="114"/>
      <c r="QJC12" s="114"/>
      <c r="QJD12" s="114"/>
      <c r="QJE12" s="114"/>
      <c r="QJF12" s="114"/>
      <c r="QJG12" s="114"/>
      <c r="QJH12" s="114"/>
      <c r="QJI12" s="114"/>
      <c r="QJJ12" s="114"/>
      <c r="QJK12" s="114"/>
      <c r="QJL12" s="114"/>
      <c r="QJM12" s="114"/>
      <c r="QJN12" s="114"/>
      <c r="QJO12" s="114"/>
      <c r="QJP12" s="114"/>
      <c r="QJQ12" s="114"/>
      <c r="QJR12" s="114"/>
      <c r="QJS12" s="114"/>
      <c r="QJT12" s="114"/>
      <c r="QJU12" s="114"/>
      <c r="QJV12" s="114"/>
      <c r="QJW12" s="114"/>
      <c r="QJX12" s="114"/>
      <c r="QJY12" s="114"/>
      <c r="QJZ12" s="114"/>
      <c r="QKA12" s="114"/>
      <c r="QKB12" s="114"/>
      <c r="QKC12" s="114"/>
      <c r="QKD12" s="114"/>
      <c r="QKE12" s="114"/>
      <c r="QKF12" s="114"/>
      <c r="QKG12" s="114"/>
      <c r="QKH12" s="114"/>
      <c r="QKI12" s="114"/>
      <c r="QKJ12" s="114"/>
      <c r="QKK12" s="114"/>
      <c r="QKL12" s="114"/>
      <c r="QKM12" s="114"/>
      <c r="QKN12" s="114"/>
      <c r="QKO12" s="114"/>
      <c r="QKP12" s="114"/>
      <c r="QKQ12" s="114"/>
      <c r="QKR12" s="114"/>
      <c r="QKS12" s="114"/>
      <c r="QKT12" s="114"/>
      <c r="QKU12" s="114"/>
      <c r="QKV12" s="114"/>
      <c r="QKW12" s="114"/>
      <c r="QKX12" s="114"/>
      <c r="QKY12" s="114"/>
      <c r="QKZ12" s="114"/>
      <c r="QLA12" s="114"/>
      <c r="QLB12" s="114"/>
      <c r="QLC12" s="114"/>
      <c r="QLD12" s="114"/>
      <c r="QLE12" s="114"/>
      <c r="QLF12" s="114"/>
      <c r="QLG12" s="114"/>
      <c r="QLH12" s="114"/>
      <c r="QLI12" s="114"/>
      <c r="QLJ12" s="114"/>
      <c r="QLK12" s="114"/>
      <c r="QLL12" s="114"/>
      <c r="QLM12" s="114"/>
      <c r="QLN12" s="114"/>
      <c r="QLO12" s="114"/>
      <c r="QLP12" s="114"/>
      <c r="QLQ12" s="114"/>
      <c r="QLR12" s="114"/>
      <c r="QLS12" s="114"/>
      <c r="QLT12" s="114"/>
      <c r="QLU12" s="114"/>
      <c r="QLV12" s="114"/>
      <c r="QLW12" s="114"/>
      <c r="QLX12" s="114"/>
      <c r="QLY12" s="114"/>
      <c r="QLZ12" s="114"/>
      <c r="QMA12" s="114"/>
      <c r="QMB12" s="114"/>
      <c r="QMC12" s="114"/>
      <c r="QMD12" s="114"/>
      <c r="QME12" s="114"/>
      <c r="QMF12" s="114"/>
      <c r="QMG12" s="114"/>
      <c r="QMH12" s="114"/>
      <c r="QMI12" s="114"/>
      <c r="QMJ12" s="114"/>
      <c r="QMK12" s="114"/>
      <c r="QML12" s="114"/>
      <c r="QMM12" s="114"/>
      <c r="QMN12" s="114"/>
      <c r="QMO12" s="114"/>
      <c r="QMP12" s="114"/>
      <c r="QMQ12" s="114"/>
      <c r="QMR12" s="114"/>
      <c r="QMS12" s="114"/>
      <c r="QMT12" s="114"/>
      <c r="QMU12" s="114"/>
      <c r="QMV12" s="114"/>
      <c r="QMW12" s="114"/>
      <c r="QMX12" s="114"/>
      <c r="QMY12" s="114"/>
      <c r="QMZ12" s="114"/>
      <c r="QNA12" s="114"/>
      <c r="QNB12" s="114"/>
      <c r="QNC12" s="114"/>
      <c r="QND12" s="114"/>
      <c r="QNE12" s="114"/>
      <c r="QNF12" s="114"/>
      <c r="QNG12" s="114"/>
      <c r="QNH12" s="114"/>
      <c r="QNI12" s="114"/>
      <c r="QNJ12" s="114"/>
      <c r="QNK12" s="114"/>
      <c r="QNL12" s="114"/>
      <c r="QNM12" s="114"/>
      <c r="QNN12" s="114"/>
      <c r="QNO12" s="114"/>
      <c r="QNP12" s="114"/>
      <c r="QNQ12" s="114"/>
      <c r="QNR12" s="114"/>
      <c r="QNS12" s="114"/>
      <c r="QNT12" s="114"/>
      <c r="QNU12" s="114"/>
      <c r="QNV12" s="114"/>
      <c r="QNW12" s="114"/>
      <c r="QNX12" s="114"/>
      <c r="QNY12" s="114"/>
      <c r="QNZ12" s="114"/>
      <c r="QOA12" s="114"/>
      <c r="QOB12" s="114"/>
      <c r="QOC12" s="114"/>
      <c r="QOD12" s="114"/>
      <c r="QOE12" s="114"/>
      <c r="QOF12" s="114"/>
      <c r="QOG12" s="114"/>
      <c r="QOH12" s="114"/>
      <c r="QOI12" s="114"/>
      <c r="QOJ12" s="114"/>
      <c r="QOK12" s="114"/>
      <c r="QOL12" s="114"/>
      <c r="QOM12" s="114"/>
      <c r="QON12" s="114"/>
      <c r="QOO12" s="114"/>
      <c r="QOP12" s="114"/>
      <c r="QOQ12" s="114"/>
      <c r="QOR12" s="114"/>
      <c r="QOS12" s="114"/>
      <c r="QOT12" s="114"/>
      <c r="QOU12" s="114"/>
      <c r="QOV12" s="114"/>
      <c r="QOW12" s="114"/>
      <c r="QOX12" s="114"/>
      <c r="QOY12" s="114"/>
      <c r="QOZ12" s="114"/>
      <c r="QPA12" s="114"/>
      <c r="QPB12" s="114"/>
      <c r="QPC12" s="114"/>
      <c r="QPD12" s="114"/>
      <c r="QPE12" s="114"/>
      <c r="QPF12" s="114"/>
      <c r="QPG12" s="114"/>
      <c r="QPH12" s="114"/>
      <c r="QPI12" s="114"/>
      <c r="QPJ12" s="114"/>
      <c r="QPK12" s="114"/>
      <c r="QPL12" s="114"/>
      <c r="QPM12" s="114"/>
      <c r="QPN12" s="114"/>
      <c r="QPO12" s="114"/>
      <c r="QPP12" s="114"/>
      <c r="QPQ12" s="114"/>
      <c r="QPR12" s="114"/>
      <c r="QPS12" s="114"/>
      <c r="QPT12" s="114"/>
      <c r="QPU12" s="114"/>
      <c r="QPV12" s="114"/>
      <c r="QPW12" s="114"/>
      <c r="QPX12" s="114"/>
      <c r="QPY12" s="114"/>
      <c r="QPZ12" s="114"/>
      <c r="QQA12" s="114"/>
      <c r="QQB12" s="114"/>
      <c r="QQC12" s="114"/>
      <c r="QQD12" s="114"/>
      <c r="QQE12" s="114"/>
      <c r="QQF12" s="114"/>
      <c r="QQG12" s="114"/>
      <c r="QQH12" s="114"/>
      <c r="QQI12" s="114"/>
      <c r="QQJ12" s="114"/>
      <c r="QQK12" s="114"/>
      <c r="QQL12" s="114"/>
      <c r="QQM12" s="114"/>
      <c r="QQN12" s="114"/>
      <c r="QQO12" s="114"/>
      <c r="QQP12" s="114"/>
      <c r="QQQ12" s="114"/>
      <c r="QQR12" s="114"/>
      <c r="QQS12" s="114"/>
      <c r="QQT12" s="114"/>
      <c r="QQU12" s="114"/>
      <c r="QQV12" s="114"/>
      <c r="QQW12" s="114"/>
      <c r="QQX12" s="114"/>
      <c r="QQY12" s="114"/>
      <c r="QQZ12" s="114"/>
      <c r="QRA12" s="114"/>
      <c r="QRB12" s="114"/>
      <c r="QRC12" s="114"/>
      <c r="QRD12" s="114"/>
      <c r="QRE12" s="114"/>
      <c r="QRF12" s="114"/>
      <c r="QRG12" s="114"/>
      <c r="QRH12" s="114"/>
      <c r="QRI12" s="114"/>
      <c r="QRJ12" s="114"/>
      <c r="QRK12" s="114"/>
      <c r="QRL12" s="114"/>
      <c r="QRM12" s="114"/>
      <c r="QRN12" s="114"/>
      <c r="QRO12" s="114"/>
      <c r="QRP12" s="114"/>
      <c r="QRQ12" s="114"/>
      <c r="QRR12" s="114"/>
      <c r="QRS12" s="114"/>
      <c r="QRT12" s="114"/>
      <c r="QRU12" s="114"/>
      <c r="QRV12" s="114"/>
      <c r="QRW12" s="114"/>
      <c r="QRX12" s="114"/>
      <c r="QRY12" s="114"/>
      <c r="QRZ12" s="114"/>
      <c r="QSA12" s="114"/>
      <c r="QSB12" s="114"/>
      <c r="QSC12" s="114"/>
      <c r="QSD12" s="114"/>
      <c r="QSE12" s="114"/>
      <c r="QSF12" s="114"/>
      <c r="QSG12" s="114"/>
      <c r="QSH12" s="114"/>
      <c r="QSI12" s="114"/>
      <c r="QSJ12" s="114"/>
      <c r="QSK12" s="114"/>
      <c r="QSL12" s="114"/>
      <c r="QSM12" s="114"/>
      <c r="QSN12" s="114"/>
      <c r="QSO12" s="114"/>
      <c r="QSP12" s="114"/>
      <c r="QSQ12" s="114"/>
      <c r="QSR12" s="114"/>
      <c r="QSS12" s="114"/>
      <c r="QST12" s="114"/>
      <c r="QSU12" s="114"/>
      <c r="QSV12" s="114"/>
      <c r="QSW12" s="114"/>
      <c r="QSX12" s="114"/>
      <c r="QSY12" s="114"/>
      <c r="QSZ12" s="114"/>
      <c r="QTA12" s="114"/>
      <c r="QTB12" s="114"/>
      <c r="QTC12" s="114"/>
      <c r="QTD12" s="114"/>
      <c r="QTE12" s="114"/>
      <c r="QTF12" s="114"/>
      <c r="QTG12" s="114"/>
      <c r="QTH12" s="114"/>
      <c r="QTI12" s="114"/>
      <c r="QTJ12" s="114"/>
      <c r="QTK12" s="114"/>
      <c r="QTL12" s="114"/>
      <c r="QTM12" s="114"/>
      <c r="QTN12" s="114"/>
      <c r="QTO12" s="114"/>
      <c r="QTP12" s="114"/>
      <c r="QTQ12" s="114"/>
      <c r="QTR12" s="114"/>
      <c r="QTS12" s="114"/>
      <c r="QTT12" s="114"/>
      <c r="QTU12" s="114"/>
      <c r="QTV12" s="114"/>
      <c r="QTW12" s="114"/>
      <c r="QTX12" s="114"/>
      <c r="QTY12" s="114"/>
      <c r="QTZ12" s="114"/>
      <c r="QUA12" s="114"/>
      <c r="QUB12" s="114"/>
      <c r="QUC12" s="114"/>
      <c r="QUD12" s="114"/>
      <c r="QUE12" s="114"/>
      <c r="QUF12" s="114"/>
      <c r="QUG12" s="114"/>
      <c r="QUH12" s="114"/>
      <c r="QUI12" s="114"/>
      <c r="QUJ12" s="114"/>
      <c r="QUK12" s="114"/>
      <c r="QUL12" s="114"/>
      <c r="QUM12" s="114"/>
      <c r="QUN12" s="114"/>
      <c r="QUO12" s="114"/>
      <c r="QUP12" s="114"/>
      <c r="QUQ12" s="114"/>
      <c r="QUR12" s="114"/>
      <c r="QUS12" s="114"/>
      <c r="QUT12" s="114"/>
      <c r="QUU12" s="114"/>
      <c r="QUV12" s="114"/>
      <c r="QUW12" s="114"/>
      <c r="QUX12" s="114"/>
      <c r="QUY12" s="114"/>
      <c r="QUZ12" s="114"/>
      <c r="QVA12" s="114"/>
      <c r="QVB12" s="114"/>
      <c r="QVC12" s="114"/>
      <c r="QVD12" s="114"/>
      <c r="QVE12" s="114"/>
      <c r="QVF12" s="114"/>
      <c r="QVG12" s="114"/>
      <c r="QVH12" s="114"/>
      <c r="QVI12" s="114"/>
      <c r="QVJ12" s="114"/>
      <c r="QVK12" s="114"/>
      <c r="QVL12" s="114"/>
      <c r="QVM12" s="114"/>
      <c r="QVN12" s="114"/>
      <c r="QVO12" s="114"/>
      <c r="QVP12" s="114"/>
      <c r="QVQ12" s="114"/>
      <c r="QVR12" s="114"/>
      <c r="QVS12" s="114"/>
      <c r="QVT12" s="114"/>
      <c r="QVU12" s="114"/>
      <c r="QVV12" s="114"/>
      <c r="QVW12" s="114"/>
      <c r="QVX12" s="114"/>
      <c r="QVY12" s="114"/>
      <c r="QVZ12" s="114"/>
      <c r="QWA12" s="114"/>
      <c r="QWB12" s="114"/>
      <c r="QWC12" s="114"/>
      <c r="QWD12" s="114"/>
      <c r="QWE12" s="114"/>
      <c r="QWF12" s="114"/>
      <c r="QWG12" s="114"/>
      <c r="QWH12" s="114"/>
      <c r="QWI12" s="114"/>
      <c r="QWJ12" s="114"/>
      <c r="QWK12" s="114"/>
      <c r="QWL12" s="114"/>
      <c r="QWM12" s="114"/>
      <c r="QWN12" s="114"/>
      <c r="QWO12" s="114"/>
      <c r="QWP12" s="114"/>
      <c r="QWQ12" s="114"/>
      <c r="QWR12" s="114"/>
      <c r="QWS12" s="114"/>
      <c r="QWT12" s="114"/>
      <c r="QWU12" s="114"/>
      <c r="QWV12" s="114"/>
      <c r="QWW12" s="114"/>
      <c r="QWX12" s="114"/>
      <c r="QWY12" s="114"/>
      <c r="QWZ12" s="114"/>
      <c r="QXA12" s="114"/>
      <c r="QXB12" s="114"/>
      <c r="QXC12" s="114"/>
      <c r="QXD12" s="114"/>
      <c r="QXE12" s="114"/>
      <c r="QXF12" s="114"/>
      <c r="QXG12" s="114"/>
      <c r="QXH12" s="114"/>
      <c r="QXI12" s="114"/>
      <c r="QXJ12" s="114"/>
      <c r="QXK12" s="114"/>
      <c r="QXL12" s="114"/>
      <c r="QXM12" s="114"/>
      <c r="QXN12" s="114"/>
      <c r="QXO12" s="114"/>
      <c r="QXP12" s="114"/>
      <c r="QXQ12" s="114"/>
      <c r="QXR12" s="114"/>
      <c r="QXS12" s="114"/>
      <c r="QXT12" s="114"/>
      <c r="QXU12" s="114"/>
      <c r="QXV12" s="114"/>
      <c r="QXW12" s="114"/>
      <c r="QXX12" s="114"/>
      <c r="QXY12" s="114"/>
      <c r="QXZ12" s="114"/>
      <c r="QYA12" s="114"/>
      <c r="QYB12" s="114"/>
      <c r="QYC12" s="114"/>
      <c r="QYD12" s="114"/>
      <c r="QYE12" s="114"/>
      <c r="QYF12" s="114"/>
      <c r="QYG12" s="114"/>
      <c r="QYH12" s="114"/>
      <c r="QYI12" s="114"/>
      <c r="QYJ12" s="114"/>
      <c r="QYK12" s="114"/>
      <c r="QYL12" s="114"/>
      <c r="QYM12" s="114"/>
      <c r="QYN12" s="114"/>
      <c r="QYO12" s="114"/>
      <c r="QYP12" s="114"/>
      <c r="QYQ12" s="114"/>
      <c r="QYR12" s="114"/>
      <c r="QYS12" s="114"/>
      <c r="QYT12" s="114"/>
      <c r="QYU12" s="114"/>
      <c r="QYV12" s="114"/>
      <c r="QYW12" s="114"/>
      <c r="QYX12" s="114"/>
      <c r="QYY12" s="114"/>
      <c r="QYZ12" s="114"/>
      <c r="QZA12" s="114"/>
      <c r="QZB12" s="114"/>
      <c r="QZC12" s="114"/>
      <c r="QZD12" s="114"/>
      <c r="QZE12" s="114"/>
      <c r="QZF12" s="114"/>
      <c r="QZG12" s="114"/>
      <c r="QZH12" s="114"/>
      <c r="QZI12" s="114"/>
      <c r="QZJ12" s="114"/>
      <c r="QZK12" s="114"/>
      <c r="QZL12" s="114"/>
      <c r="QZM12" s="114"/>
      <c r="QZN12" s="114"/>
      <c r="QZO12" s="114"/>
      <c r="QZP12" s="114"/>
      <c r="QZQ12" s="114"/>
      <c r="QZR12" s="114"/>
      <c r="QZS12" s="114"/>
      <c r="QZT12" s="114"/>
      <c r="QZU12" s="114"/>
      <c r="QZV12" s="114"/>
      <c r="QZW12" s="114"/>
      <c r="QZX12" s="114"/>
      <c r="QZY12" s="114"/>
      <c r="QZZ12" s="114"/>
      <c r="RAA12" s="114"/>
      <c r="RAB12" s="114"/>
      <c r="RAC12" s="114"/>
      <c r="RAD12" s="114"/>
      <c r="RAE12" s="114"/>
      <c r="RAF12" s="114"/>
      <c r="RAG12" s="114"/>
      <c r="RAH12" s="114"/>
      <c r="RAI12" s="114"/>
      <c r="RAJ12" s="114"/>
      <c r="RAK12" s="114"/>
      <c r="RAL12" s="114"/>
      <c r="RAM12" s="114"/>
      <c r="RAN12" s="114"/>
      <c r="RAO12" s="114"/>
      <c r="RAP12" s="114"/>
      <c r="RAQ12" s="114"/>
      <c r="RAR12" s="114"/>
      <c r="RAS12" s="114"/>
      <c r="RAT12" s="114"/>
      <c r="RAU12" s="114"/>
      <c r="RAV12" s="114"/>
      <c r="RAW12" s="114"/>
      <c r="RAX12" s="114"/>
      <c r="RAY12" s="114"/>
      <c r="RAZ12" s="114"/>
      <c r="RBA12" s="114"/>
      <c r="RBB12" s="114"/>
      <c r="RBC12" s="114"/>
      <c r="RBD12" s="114"/>
      <c r="RBE12" s="114"/>
      <c r="RBF12" s="114"/>
      <c r="RBG12" s="114"/>
      <c r="RBH12" s="114"/>
      <c r="RBI12" s="114"/>
      <c r="RBJ12" s="114"/>
      <c r="RBK12" s="114"/>
      <c r="RBL12" s="114"/>
      <c r="RBM12" s="114"/>
      <c r="RBN12" s="114"/>
      <c r="RBO12" s="114"/>
      <c r="RBP12" s="114"/>
      <c r="RBQ12" s="114"/>
      <c r="RBR12" s="114"/>
      <c r="RBS12" s="114"/>
      <c r="RBT12" s="114"/>
      <c r="RBU12" s="114"/>
      <c r="RBV12" s="114"/>
      <c r="RBW12" s="114"/>
      <c r="RBX12" s="114"/>
      <c r="RBY12" s="114"/>
      <c r="RBZ12" s="114"/>
      <c r="RCA12" s="114"/>
      <c r="RCB12" s="114"/>
      <c r="RCC12" s="114"/>
      <c r="RCD12" s="114"/>
      <c r="RCE12" s="114"/>
      <c r="RCF12" s="114"/>
      <c r="RCG12" s="114"/>
      <c r="RCH12" s="114"/>
      <c r="RCI12" s="114"/>
      <c r="RCJ12" s="114"/>
      <c r="RCK12" s="114"/>
      <c r="RCL12" s="114"/>
      <c r="RCM12" s="114"/>
      <c r="RCN12" s="114"/>
      <c r="RCO12" s="114"/>
      <c r="RCP12" s="114"/>
      <c r="RCQ12" s="114"/>
      <c r="RCR12" s="114"/>
      <c r="RCS12" s="114"/>
      <c r="RCT12" s="114"/>
      <c r="RCU12" s="114"/>
      <c r="RCV12" s="114"/>
      <c r="RCW12" s="114"/>
      <c r="RCX12" s="114"/>
      <c r="RCY12" s="114"/>
      <c r="RCZ12" s="114"/>
      <c r="RDA12" s="114"/>
      <c r="RDB12" s="114"/>
      <c r="RDC12" s="114"/>
      <c r="RDD12" s="114"/>
      <c r="RDE12" s="114"/>
      <c r="RDF12" s="114"/>
      <c r="RDG12" s="114"/>
      <c r="RDH12" s="114"/>
      <c r="RDI12" s="114"/>
      <c r="RDJ12" s="114"/>
      <c r="RDK12" s="114"/>
      <c r="RDL12" s="114"/>
      <c r="RDM12" s="114"/>
      <c r="RDN12" s="114"/>
      <c r="RDO12" s="114"/>
      <c r="RDP12" s="114"/>
      <c r="RDQ12" s="114"/>
      <c r="RDR12" s="114"/>
      <c r="RDS12" s="114"/>
      <c r="RDT12" s="114"/>
      <c r="RDU12" s="114"/>
      <c r="RDV12" s="114"/>
      <c r="RDW12" s="114"/>
      <c r="RDX12" s="114"/>
      <c r="RDY12" s="114"/>
      <c r="RDZ12" s="114"/>
      <c r="REA12" s="114"/>
      <c r="REB12" s="114"/>
      <c r="REC12" s="114"/>
      <c r="RED12" s="114"/>
      <c r="REE12" s="114"/>
      <c r="REF12" s="114"/>
      <c r="REG12" s="114"/>
      <c r="REH12" s="114"/>
      <c r="REI12" s="114"/>
      <c r="REJ12" s="114"/>
      <c r="REK12" s="114"/>
      <c r="REL12" s="114"/>
      <c r="REM12" s="114"/>
      <c r="REN12" s="114"/>
      <c r="REO12" s="114"/>
      <c r="REP12" s="114"/>
      <c r="REQ12" s="114"/>
      <c r="RER12" s="114"/>
      <c r="RES12" s="114"/>
      <c r="RET12" s="114"/>
      <c r="REU12" s="114"/>
      <c r="REV12" s="114"/>
      <c r="REW12" s="114"/>
      <c r="REX12" s="114"/>
      <c r="REY12" s="114"/>
      <c r="REZ12" s="114"/>
      <c r="RFA12" s="114"/>
      <c r="RFB12" s="114"/>
      <c r="RFC12" s="114"/>
      <c r="RFD12" s="114"/>
      <c r="RFE12" s="114"/>
      <c r="RFF12" s="114"/>
      <c r="RFG12" s="114"/>
      <c r="RFH12" s="114"/>
      <c r="RFI12" s="114"/>
      <c r="RFJ12" s="114"/>
      <c r="RFK12" s="114"/>
      <c r="RFL12" s="114"/>
      <c r="RFM12" s="114"/>
      <c r="RFN12" s="114"/>
      <c r="RFO12" s="114"/>
      <c r="RFP12" s="114"/>
      <c r="RFQ12" s="114"/>
      <c r="RFR12" s="114"/>
      <c r="RFS12" s="114"/>
      <c r="RFT12" s="114"/>
      <c r="RFU12" s="114"/>
      <c r="RFV12" s="114"/>
      <c r="RFW12" s="114"/>
      <c r="RFX12" s="114"/>
      <c r="RFY12" s="114"/>
      <c r="RFZ12" s="114"/>
      <c r="RGA12" s="114"/>
      <c r="RGB12" s="114"/>
      <c r="RGC12" s="114"/>
      <c r="RGD12" s="114"/>
      <c r="RGE12" s="114"/>
      <c r="RGF12" s="114"/>
      <c r="RGG12" s="114"/>
      <c r="RGH12" s="114"/>
      <c r="RGI12" s="114"/>
      <c r="RGJ12" s="114"/>
      <c r="RGK12" s="114"/>
      <c r="RGL12" s="114"/>
      <c r="RGM12" s="114"/>
      <c r="RGN12" s="114"/>
      <c r="RGO12" s="114"/>
      <c r="RGP12" s="114"/>
      <c r="RGQ12" s="114"/>
      <c r="RGR12" s="114"/>
      <c r="RGS12" s="114"/>
      <c r="RGT12" s="114"/>
      <c r="RGU12" s="114"/>
      <c r="RGV12" s="114"/>
      <c r="RGW12" s="114"/>
      <c r="RGX12" s="114"/>
      <c r="RGY12" s="114"/>
      <c r="RGZ12" s="114"/>
      <c r="RHA12" s="114"/>
      <c r="RHB12" s="114"/>
      <c r="RHC12" s="114"/>
      <c r="RHD12" s="114"/>
      <c r="RHE12" s="114"/>
      <c r="RHF12" s="114"/>
      <c r="RHG12" s="114"/>
      <c r="RHH12" s="114"/>
      <c r="RHI12" s="114"/>
      <c r="RHJ12" s="114"/>
      <c r="RHK12" s="114"/>
      <c r="RHL12" s="114"/>
      <c r="RHM12" s="114"/>
      <c r="RHN12" s="114"/>
      <c r="RHO12" s="114"/>
      <c r="RHP12" s="114"/>
      <c r="RHQ12" s="114"/>
      <c r="RHR12" s="114"/>
      <c r="RHS12" s="114"/>
      <c r="RHT12" s="114"/>
      <c r="RHU12" s="114"/>
      <c r="RHV12" s="114"/>
      <c r="RHW12" s="114"/>
      <c r="RHX12" s="114"/>
      <c r="RHY12" s="114"/>
      <c r="RHZ12" s="114"/>
      <c r="RIA12" s="114"/>
      <c r="RIB12" s="114"/>
      <c r="RIC12" s="114"/>
      <c r="RID12" s="114"/>
      <c r="RIE12" s="114"/>
      <c r="RIF12" s="114"/>
      <c r="RIG12" s="114"/>
      <c r="RIH12" s="114"/>
      <c r="RII12" s="114"/>
      <c r="RIJ12" s="114"/>
      <c r="RIK12" s="114"/>
      <c r="RIL12" s="114"/>
      <c r="RIM12" s="114"/>
      <c r="RIN12" s="114"/>
      <c r="RIO12" s="114"/>
      <c r="RIP12" s="114"/>
      <c r="RIQ12" s="114"/>
      <c r="RIR12" s="114"/>
      <c r="RIS12" s="114"/>
      <c r="RIT12" s="114"/>
      <c r="RIU12" s="114"/>
      <c r="RIV12" s="114"/>
      <c r="RIW12" s="114"/>
      <c r="RIX12" s="114"/>
      <c r="RIY12" s="114"/>
      <c r="RIZ12" s="114"/>
      <c r="RJA12" s="114"/>
      <c r="RJB12" s="114"/>
      <c r="RJC12" s="114"/>
      <c r="RJD12" s="114"/>
      <c r="RJE12" s="114"/>
      <c r="RJF12" s="114"/>
      <c r="RJG12" s="114"/>
      <c r="RJH12" s="114"/>
      <c r="RJI12" s="114"/>
      <c r="RJJ12" s="114"/>
      <c r="RJK12" s="114"/>
      <c r="RJL12" s="114"/>
      <c r="RJM12" s="114"/>
      <c r="RJN12" s="114"/>
      <c r="RJO12" s="114"/>
      <c r="RJP12" s="114"/>
      <c r="RJQ12" s="114"/>
      <c r="RJR12" s="114"/>
      <c r="RJS12" s="114"/>
      <c r="RJT12" s="114"/>
      <c r="RJU12" s="114"/>
      <c r="RJV12" s="114"/>
      <c r="RJW12" s="114"/>
      <c r="RJX12" s="114"/>
      <c r="RJY12" s="114"/>
      <c r="RJZ12" s="114"/>
      <c r="RKA12" s="114"/>
      <c r="RKB12" s="114"/>
      <c r="RKC12" s="114"/>
      <c r="RKD12" s="114"/>
      <c r="RKE12" s="114"/>
      <c r="RKF12" s="114"/>
      <c r="RKG12" s="114"/>
      <c r="RKH12" s="114"/>
      <c r="RKI12" s="114"/>
      <c r="RKJ12" s="114"/>
      <c r="RKK12" s="114"/>
      <c r="RKL12" s="114"/>
      <c r="RKM12" s="114"/>
      <c r="RKN12" s="114"/>
      <c r="RKO12" s="114"/>
      <c r="RKP12" s="114"/>
      <c r="RKQ12" s="114"/>
      <c r="RKR12" s="114"/>
      <c r="RKS12" s="114"/>
      <c r="RKT12" s="114"/>
      <c r="RKU12" s="114"/>
      <c r="RKV12" s="114"/>
      <c r="RKW12" s="114"/>
      <c r="RKX12" s="114"/>
      <c r="RKY12" s="114"/>
      <c r="RKZ12" s="114"/>
      <c r="RLA12" s="114"/>
      <c r="RLB12" s="114"/>
      <c r="RLC12" s="114"/>
      <c r="RLD12" s="114"/>
      <c r="RLE12" s="114"/>
      <c r="RLF12" s="114"/>
      <c r="RLG12" s="114"/>
      <c r="RLH12" s="114"/>
      <c r="RLI12" s="114"/>
      <c r="RLJ12" s="114"/>
      <c r="RLK12" s="114"/>
      <c r="RLL12" s="114"/>
      <c r="RLM12" s="114"/>
      <c r="RLN12" s="114"/>
      <c r="RLO12" s="114"/>
      <c r="RLP12" s="114"/>
      <c r="RLQ12" s="114"/>
      <c r="RLR12" s="114"/>
      <c r="RLS12" s="114"/>
      <c r="RLT12" s="114"/>
      <c r="RLU12" s="114"/>
      <c r="RLV12" s="114"/>
      <c r="RLW12" s="114"/>
      <c r="RLX12" s="114"/>
      <c r="RLY12" s="114"/>
      <c r="RLZ12" s="114"/>
      <c r="RMA12" s="114"/>
      <c r="RMB12" s="114"/>
      <c r="RMC12" s="114"/>
      <c r="RMD12" s="114"/>
      <c r="RME12" s="114"/>
      <c r="RMF12" s="114"/>
      <c r="RMG12" s="114"/>
      <c r="RMH12" s="114"/>
      <c r="RMI12" s="114"/>
      <c r="RMJ12" s="114"/>
      <c r="RMK12" s="114"/>
      <c r="RML12" s="114"/>
      <c r="RMM12" s="114"/>
      <c r="RMN12" s="114"/>
      <c r="RMO12" s="114"/>
      <c r="RMP12" s="114"/>
      <c r="RMQ12" s="114"/>
      <c r="RMR12" s="114"/>
      <c r="RMS12" s="114"/>
      <c r="RMT12" s="114"/>
      <c r="RMU12" s="114"/>
      <c r="RMV12" s="114"/>
      <c r="RMW12" s="114"/>
      <c r="RMX12" s="114"/>
      <c r="RMY12" s="114"/>
      <c r="RMZ12" s="114"/>
      <c r="RNA12" s="114"/>
      <c r="RNB12" s="114"/>
      <c r="RNC12" s="114"/>
      <c r="RND12" s="114"/>
      <c r="RNE12" s="114"/>
      <c r="RNF12" s="114"/>
      <c r="RNG12" s="114"/>
      <c r="RNH12" s="114"/>
      <c r="RNI12" s="114"/>
      <c r="RNJ12" s="114"/>
      <c r="RNK12" s="114"/>
      <c r="RNL12" s="114"/>
      <c r="RNM12" s="114"/>
      <c r="RNN12" s="114"/>
      <c r="RNO12" s="114"/>
      <c r="RNP12" s="114"/>
      <c r="RNQ12" s="114"/>
      <c r="RNR12" s="114"/>
      <c r="RNS12" s="114"/>
      <c r="RNT12" s="114"/>
      <c r="RNU12" s="114"/>
      <c r="RNV12" s="114"/>
      <c r="RNW12" s="114"/>
      <c r="RNX12" s="114"/>
      <c r="RNY12" s="114"/>
      <c r="RNZ12" s="114"/>
      <c r="ROA12" s="114"/>
      <c r="ROB12" s="114"/>
      <c r="ROC12" s="114"/>
      <c r="ROD12" s="114"/>
      <c r="ROE12" s="114"/>
      <c r="ROF12" s="114"/>
      <c r="ROG12" s="114"/>
      <c r="ROH12" s="114"/>
      <c r="ROI12" s="114"/>
      <c r="ROJ12" s="114"/>
      <c r="ROK12" s="114"/>
      <c r="ROL12" s="114"/>
      <c r="ROM12" s="114"/>
      <c r="RON12" s="114"/>
      <c r="ROO12" s="114"/>
      <c r="ROP12" s="114"/>
      <c r="ROQ12" s="114"/>
      <c r="ROR12" s="114"/>
      <c r="ROS12" s="114"/>
      <c r="ROT12" s="114"/>
      <c r="ROU12" s="114"/>
      <c r="ROV12" s="114"/>
      <c r="ROW12" s="114"/>
      <c r="ROX12" s="114"/>
      <c r="ROY12" s="114"/>
      <c r="ROZ12" s="114"/>
      <c r="RPA12" s="114"/>
      <c r="RPB12" s="114"/>
      <c r="RPC12" s="114"/>
      <c r="RPD12" s="114"/>
      <c r="RPE12" s="114"/>
      <c r="RPF12" s="114"/>
      <c r="RPG12" s="114"/>
      <c r="RPH12" s="114"/>
      <c r="RPI12" s="114"/>
      <c r="RPJ12" s="114"/>
      <c r="RPK12" s="114"/>
      <c r="RPL12" s="114"/>
      <c r="RPM12" s="114"/>
      <c r="RPN12" s="114"/>
      <c r="RPO12" s="114"/>
      <c r="RPP12" s="114"/>
      <c r="RPQ12" s="114"/>
      <c r="RPR12" s="114"/>
      <c r="RPS12" s="114"/>
      <c r="RPT12" s="114"/>
      <c r="RPU12" s="114"/>
      <c r="RPV12" s="114"/>
      <c r="RPW12" s="114"/>
      <c r="RPX12" s="114"/>
      <c r="RPY12" s="114"/>
      <c r="RPZ12" s="114"/>
      <c r="RQA12" s="114"/>
      <c r="RQB12" s="114"/>
      <c r="RQC12" s="114"/>
      <c r="RQD12" s="114"/>
      <c r="RQE12" s="114"/>
      <c r="RQF12" s="114"/>
      <c r="RQG12" s="114"/>
      <c r="RQH12" s="114"/>
      <c r="RQI12" s="114"/>
      <c r="RQJ12" s="114"/>
      <c r="RQK12" s="114"/>
      <c r="RQL12" s="114"/>
      <c r="RQM12" s="114"/>
      <c r="RQN12" s="114"/>
      <c r="RQO12" s="114"/>
      <c r="RQP12" s="114"/>
      <c r="RQQ12" s="114"/>
      <c r="RQR12" s="114"/>
      <c r="RQS12" s="114"/>
      <c r="RQT12" s="114"/>
      <c r="RQU12" s="114"/>
      <c r="RQV12" s="114"/>
      <c r="RQW12" s="114"/>
      <c r="RQX12" s="114"/>
      <c r="RQY12" s="114"/>
      <c r="RQZ12" s="114"/>
      <c r="RRA12" s="114"/>
      <c r="RRB12" s="114"/>
      <c r="RRC12" s="114"/>
      <c r="RRD12" s="114"/>
      <c r="RRE12" s="114"/>
      <c r="RRF12" s="114"/>
      <c r="RRG12" s="114"/>
      <c r="RRH12" s="114"/>
      <c r="RRI12" s="114"/>
      <c r="RRJ12" s="114"/>
      <c r="RRK12" s="114"/>
      <c r="RRL12" s="114"/>
      <c r="RRM12" s="114"/>
      <c r="RRN12" s="114"/>
      <c r="RRO12" s="114"/>
      <c r="RRP12" s="114"/>
      <c r="RRQ12" s="114"/>
      <c r="RRR12" s="114"/>
      <c r="RRS12" s="114"/>
      <c r="RRT12" s="114"/>
      <c r="RRU12" s="114"/>
      <c r="RRV12" s="114"/>
      <c r="RRW12" s="114"/>
      <c r="RRX12" s="114"/>
      <c r="RRY12" s="114"/>
      <c r="RRZ12" s="114"/>
      <c r="RSA12" s="114"/>
      <c r="RSB12" s="114"/>
      <c r="RSC12" s="114"/>
      <c r="RSD12" s="114"/>
      <c r="RSE12" s="114"/>
      <c r="RSF12" s="114"/>
      <c r="RSG12" s="114"/>
      <c r="RSH12" s="114"/>
      <c r="RSI12" s="114"/>
      <c r="RSJ12" s="114"/>
      <c r="RSK12" s="114"/>
      <c r="RSL12" s="114"/>
      <c r="RSM12" s="114"/>
      <c r="RSN12" s="114"/>
      <c r="RSO12" s="114"/>
      <c r="RSP12" s="114"/>
      <c r="RSQ12" s="114"/>
      <c r="RSR12" s="114"/>
      <c r="RSS12" s="114"/>
      <c r="RST12" s="114"/>
      <c r="RSU12" s="114"/>
      <c r="RSV12" s="114"/>
      <c r="RSW12" s="114"/>
      <c r="RSX12" s="114"/>
      <c r="RSY12" s="114"/>
      <c r="RSZ12" s="114"/>
      <c r="RTA12" s="114"/>
      <c r="RTB12" s="114"/>
      <c r="RTC12" s="114"/>
      <c r="RTD12" s="114"/>
      <c r="RTE12" s="114"/>
      <c r="RTF12" s="114"/>
      <c r="RTG12" s="114"/>
      <c r="RTH12" s="114"/>
      <c r="RTI12" s="114"/>
      <c r="RTJ12" s="114"/>
      <c r="RTK12" s="114"/>
      <c r="RTL12" s="114"/>
      <c r="RTM12" s="114"/>
      <c r="RTN12" s="114"/>
      <c r="RTO12" s="114"/>
      <c r="RTP12" s="114"/>
      <c r="RTQ12" s="114"/>
      <c r="RTR12" s="114"/>
      <c r="RTS12" s="114"/>
      <c r="RTT12" s="114"/>
      <c r="RTU12" s="114"/>
      <c r="RTV12" s="114"/>
      <c r="RTW12" s="114"/>
      <c r="RTX12" s="114"/>
      <c r="RTY12" s="114"/>
      <c r="RTZ12" s="114"/>
      <c r="RUA12" s="114"/>
      <c r="RUB12" s="114"/>
      <c r="RUC12" s="114"/>
      <c r="RUD12" s="114"/>
      <c r="RUE12" s="114"/>
      <c r="RUF12" s="114"/>
      <c r="RUG12" s="114"/>
      <c r="RUH12" s="114"/>
      <c r="RUI12" s="114"/>
      <c r="RUJ12" s="114"/>
      <c r="RUK12" s="114"/>
      <c r="RUL12" s="114"/>
      <c r="RUM12" s="114"/>
      <c r="RUN12" s="114"/>
      <c r="RUO12" s="114"/>
      <c r="RUP12" s="114"/>
      <c r="RUQ12" s="114"/>
      <c r="RUR12" s="114"/>
      <c r="RUS12" s="114"/>
      <c r="RUT12" s="114"/>
      <c r="RUU12" s="114"/>
      <c r="RUV12" s="114"/>
      <c r="RUW12" s="114"/>
      <c r="RUX12" s="114"/>
      <c r="RUY12" s="114"/>
      <c r="RUZ12" s="114"/>
      <c r="RVA12" s="114"/>
      <c r="RVB12" s="114"/>
      <c r="RVC12" s="114"/>
      <c r="RVD12" s="114"/>
      <c r="RVE12" s="114"/>
      <c r="RVF12" s="114"/>
      <c r="RVG12" s="114"/>
      <c r="RVH12" s="114"/>
      <c r="RVI12" s="114"/>
      <c r="RVJ12" s="114"/>
      <c r="RVK12" s="114"/>
      <c r="RVL12" s="114"/>
      <c r="RVM12" s="114"/>
      <c r="RVN12" s="114"/>
      <c r="RVO12" s="114"/>
      <c r="RVP12" s="114"/>
      <c r="RVQ12" s="114"/>
      <c r="RVR12" s="114"/>
      <c r="RVS12" s="114"/>
      <c r="RVT12" s="114"/>
      <c r="RVU12" s="114"/>
      <c r="RVV12" s="114"/>
      <c r="RVW12" s="114"/>
      <c r="RVX12" s="114"/>
      <c r="RVY12" s="114"/>
      <c r="RVZ12" s="114"/>
      <c r="RWA12" s="114"/>
      <c r="RWB12" s="114"/>
      <c r="RWC12" s="114"/>
      <c r="RWD12" s="114"/>
      <c r="RWE12" s="114"/>
      <c r="RWF12" s="114"/>
      <c r="RWG12" s="114"/>
      <c r="RWH12" s="114"/>
      <c r="RWI12" s="114"/>
      <c r="RWJ12" s="114"/>
      <c r="RWK12" s="114"/>
      <c r="RWL12" s="114"/>
      <c r="RWM12" s="114"/>
      <c r="RWN12" s="114"/>
      <c r="RWO12" s="114"/>
      <c r="RWP12" s="114"/>
      <c r="RWQ12" s="114"/>
      <c r="RWR12" s="114"/>
      <c r="RWS12" s="114"/>
      <c r="RWT12" s="114"/>
      <c r="RWU12" s="114"/>
      <c r="RWV12" s="114"/>
      <c r="RWW12" s="114"/>
      <c r="RWX12" s="114"/>
      <c r="RWY12" s="114"/>
      <c r="RWZ12" s="114"/>
      <c r="RXA12" s="114"/>
      <c r="RXB12" s="114"/>
      <c r="RXC12" s="114"/>
      <c r="RXD12" s="114"/>
      <c r="RXE12" s="114"/>
      <c r="RXF12" s="114"/>
      <c r="RXG12" s="114"/>
      <c r="RXH12" s="114"/>
      <c r="RXI12" s="114"/>
      <c r="RXJ12" s="114"/>
      <c r="RXK12" s="114"/>
      <c r="RXL12" s="114"/>
      <c r="RXM12" s="114"/>
      <c r="RXN12" s="114"/>
      <c r="RXO12" s="114"/>
      <c r="RXP12" s="114"/>
      <c r="RXQ12" s="114"/>
      <c r="RXR12" s="114"/>
      <c r="RXS12" s="114"/>
      <c r="RXT12" s="114"/>
      <c r="RXU12" s="114"/>
      <c r="RXV12" s="114"/>
      <c r="RXW12" s="114"/>
      <c r="RXX12" s="114"/>
      <c r="RXY12" s="114"/>
      <c r="RXZ12" s="114"/>
      <c r="RYA12" s="114"/>
      <c r="RYB12" s="114"/>
      <c r="RYC12" s="114"/>
      <c r="RYD12" s="114"/>
      <c r="RYE12" s="114"/>
      <c r="RYF12" s="114"/>
      <c r="RYG12" s="114"/>
      <c r="RYH12" s="114"/>
      <c r="RYI12" s="114"/>
      <c r="RYJ12" s="114"/>
      <c r="RYK12" s="114"/>
      <c r="RYL12" s="114"/>
      <c r="RYM12" s="114"/>
      <c r="RYN12" s="114"/>
      <c r="RYO12" s="114"/>
      <c r="RYP12" s="114"/>
      <c r="RYQ12" s="114"/>
      <c r="RYR12" s="114"/>
      <c r="RYS12" s="114"/>
      <c r="RYT12" s="114"/>
      <c r="RYU12" s="114"/>
      <c r="RYV12" s="114"/>
      <c r="RYW12" s="114"/>
      <c r="RYX12" s="114"/>
      <c r="RYY12" s="114"/>
      <c r="RYZ12" s="114"/>
      <c r="RZA12" s="114"/>
      <c r="RZB12" s="114"/>
      <c r="RZC12" s="114"/>
      <c r="RZD12" s="114"/>
      <c r="RZE12" s="114"/>
      <c r="RZF12" s="114"/>
      <c r="RZG12" s="114"/>
      <c r="RZH12" s="114"/>
      <c r="RZI12" s="114"/>
      <c r="RZJ12" s="114"/>
      <c r="RZK12" s="114"/>
      <c r="RZL12" s="114"/>
      <c r="RZM12" s="114"/>
      <c r="RZN12" s="114"/>
      <c r="RZO12" s="114"/>
      <c r="RZP12" s="114"/>
      <c r="RZQ12" s="114"/>
      <c r="RZR12" s="114"/>
      <c r="RZS12" s="114"/>
      <c r="RZT12" s="114"/>
      <c r="RZU12" s="114"/>
      <c r="RZV12" s="114"/>
      <c r="RZW12" s="114"/>
      <c r="RZX12" s="114"/>
      <c r="RZY12" s="114"/>
      <c r="RZZ12" s="114"/>
      <c r="SAA12" s="114"/>
      <c r="SAB12" s="114"/>
      <c r="SAC12" s="114"/>
      <c r="SAD12" s="114"/>
      <c r="SAE12" s="114"/>
      <c r="SAF12" s="114"/>
      <c r="SAG12" s="114"/>
      <c r="SAH12" s="114"/>
      <c r="SAI12" s="114"/>
      <c r="SAJ12" s="114"/>
      <c r="SAK12" s="114"/>
      <c r="SAL12" s="114"/>
      <c r="SAM12" s="114"/>
      <c r="SAN12" s="114"/>
      <c r="SAO12" s="114"/>
      <c r="SAP12" s="114"/>
      <c r="SAQ12" s="114"/>
      <c r="SAR12" s="114"/>
      <c r="SAS12" s="114"/>
      <c r="SAT12" s="114"/>
      <c r="SAU12" s="114"/>
      <c r="SAV12" s="114"/>
      <c r="SAW12" s="114"/>
      <c r="SAX12" s="114"/>
      <c r="SAY12" s="114"/>
      <c r="SAZ12" s="114"/>
      <c r="SBA12" s="114"/>
      <c r="SBB12" s="114"/>
      <c r="SBC12" s="114"/>
      <c r="SBD12" s="114"/>
      <c r="SBE12" s="114"/>
      <c r="SBF12" s="114"/>
      <c r="SBG12" s="114"/>
      <c r="SBH12" s="114"/>
      <c r="SBI12" s="114"/>
      <c r="SBJ12" s="114"/>
      <c r="SBK12" s="114"/>
      <c r="SBL12" s="114"/>
      <c r="SBM12" s="114"/>
      <c r="SBN12" s="114"/>
      <c r="SBO12" s="114"/>
      <c r="SBP12" s="114"/>
      <c r="SBQ12" s="114"/>
      <c r="SBR12" s="114"/>
      <c r="SBS12" s="114"/>
      <c r="SBT12" s="114"/>
      <c r="SBU12" s="114"/>
      <c r="SBV12" s="114"/>
      <c r="SBW12" s="114"/>
      <c r="SBX12" s="114"/>
      <c r="SBY12" s="114"/>
      <c r="SBZ12" s="114"/>
      <c r="SCA12" s="114"/>
      <c r="SCB12" s="114"/>
      <c r="SCC12" s="114"/>
      <c r="SCD12" s="114"/>
      <c r="SCE12" s="114"/>
      <c r="SCF12" s="114"/>
      <c r="SCG12" s="114"/>
      <c r="SCH12" s="114"/>
      <c r="SCI12" s="114"/>
      <c r="SCJ12" s="114"/>
      <c r="SCK12" s="114"/>
      <c r="SCL12" s="114"/>
      <c r="SCM12" s="114"/>
      <c r="SCN12" s="114"/>
      <c r="SCO12" s="114"/>
      <c r="SCP12" s="114"/>
      <c r="SCQ12" s="114"/>
      <c r="SCR12" s="114"/>
      <c r="SCS12" s="114"/>
      <c r="SCT12" s="114"/>
      <c r="SCU12" s="114"/>
      <c r="SCV12" s="114"/>
      <c r="SCW12" s="114"/>
      <c r="SCX12" s="114"/>
      <c r="SCY12" s="114"/>
      <c r="SCZ12" s="114"/>
      <c r="SDA12" s="114"/>
      <c r="SDB12" s="114"/>
      <c r="SDC12" s="114"/>
      <c r="SDD12" s="114"/>
      <c r="SDE12" s="114"/>
      <c r="SDF12" s="114"/>
      <c r="SDG12" s="114"/>
      <c r="SDH12" s="114"/>
      <c r="SDI12" s="114"/>
      <c r="SDJ12" s="114"/>
      <c r="SDK12" s="114"/>
      <c r="SDL12" s="114"/>
      <c r="SDM12" s="114"/>
      <c r="SDN12" s="114"/>
      <c r="SDO12" s="114"/>
      <c r="SDP12" s="114"/>
      <c r="SDQ12" s="114"/>
      <c r="SDR12" s="114"/>
      <c r="SDS12" s="114"/>
      <c r="SDT12" s="114"/>
      <c r="SDU12" s="114"/>
      <c r="SDV12" s="114"/>
      <c r="SDW12" s="114"/>
      <c r="SDX12" s="114"/>
      <c r="SDY12" s="114"/>
      <c r="SDZ12" s="114"/>
      <c r="SEA12" s="114"/>
      <c r="SEB12" s="114"/>
      <c r="SEC12" s="114"/>
      <c r="SED12" s="114"/>
      <c r="SEE12" s="114"/>
      <c r="SEF12" s="114"/>
      <c r="SEG12" s="114"/>
      <c r="SEH12" s="114"/>
      <c r="SEI12" s="114"/>
      <c r="SEJ12" s="114"/>
      <c r="SEK12" s="114"/>
      <c r="SEL12" s="114"/>
      <c r="SEM12" s="114"/>
      <c r="SEN12" s="114"/>
      <c r="SEO12" s="114"/>
      <c r="SEP12" s="114"/>
      <c r="SEQ12" s="114"/>
      <c r="SER12" s="114"/>
      <c r="SES12" s="114"/>
      <c r="SET12" s="114"/>
      <c r="SEU12" s="114"/>
      <c r="SEV12" s="114"/>
      <c r="SEW12" s="114"/>
      <c r="SEX12" s="114"/>
      <c r="SEY12" s="114"/>
      <c r="SEZ12" s="114"/>
      <c r="SFA12" s="114"/>
      <c r="SFB12" s="114"/>
      <c r="SFC12" s="114"/>
      <c r="SFD12" s="114"/>
      <c r="SFE12" s="114"/>
      <c r="SFF12" s="114"/>
      <c r="SFG12" s="114"/>
      <c r="SFH12" s="114"/>
      <c r="SFI12" s="114"/>
      <c r="SFJ12" s="114"/>
      <c r="SFK12" s="114"/>
      <c r="SFL12" s="114"/>
      <c r="SFM12" s="114"/>
      <c r="SFN12" s="114"/>
      <c r="SFO12" s="114"/>
      <c r="SFP12" s="114"/>
      <c r="SFQ12" s="114"/>
      <c r="SFR12" s="114"/>
      <c r="SFS12" s="114"/>
      <c r="SFT12" s="114"/>
      <c r="SFU12" s="114"/>
      <c r="SFV12" s="114"/>
      <c r="SFW12" s="114"/>
      <c r="SFX12" s="114"/>
      <c r="SFY12" s="114"/>
      <c r="SFZ12" s="114"/>
      <c r="SGA12" s="114"/>
      <c r="SGB12" s="114"/>
      <c r="SGC12" s="114"/>
      <c r="SGD12" s="114"/>
      <c r="SGE12" s="114"/>
      <c r="SGF12" s="114"/>
      <c r="SGG12" s="114"/>
      <c r="SGH12" s="114"/>
      <c r="SGI12" s="114"/>
      <c r="SGJ12" s="114"/>
      <c r="SGK12" s="114"/>
      <c r="SGL12" s="114"/>
      <c r="SGM12" s="114"/>
      <c r="SGN12" s="114"/>
      <c r="SGO12" s="114"/>
      <c r="SGP12" s="114"/>
      <c r="SGQ12" s="114"/>
      <c r="SGR12" s="114"/>
      <c r="SGS12" s="114"/>
      <c r="SGT12" s="114"/>
      <c r="SGU12" s="114"/>
      <c r="SGV12" s="114"/>
      <c r="SGW12" s="114"/>
      <c r="SGX12" s="114"/>
      <c r="SGY12" s="114"/>
      <c r="SGZ12" s="114"/>
      <c r="SHA12" s="114"/>
      <c r="SHB12" s="114"/>
      <c r="SHC12" s="114"/>
      <c r="SHD12" s="114"/>
      <c r="SHE12" s="114"/>
      <c r="SHF12" s="114"/>
      <c r="SHG12" s="114"/>
      <c r="SHH12" s="114"/>
      <c r="SHI12" s="114"/>
      <c r="SHJ12" s="114"/>
      <c r="SHK12" s="114"/>
      <c r="SHL12" s="114"/>
      <c r="SHM12" s="114"/>
      <c r="SHN12" s="114"/>
      <c r="SHO12" s="114"/>
      <c r="SHP12" s="114"/>
      <c r="SHQ12" s="114"/>
      <c r="SHR12" s="114"/>
      <c r="SHS12" s="114"/>
      <c r="SHT12" s="114"/>
      <c r="SHU12" s="114"/>
      <c r="SHV12" s="114"/>
      <c r="SHW12" s="114"/>
      <c r="SHX12" s="114"/>
      <c r="SHY12" s="114"/>
      <c r="SHZ12" s="114"/>
      <c r="SIA12" s="114"/>
      <c r="SIB12" s="114"/>
      <c r="SIC12" s="114"/>
      <c r="SID12" s="114"/>
      <c r="SIE12" s="114"/>
      <c r="SIF12" s="114"/>
      <c r="SIG12" s="114"/>
      <c r="SIH12" s="114"/>
      <c r="SII12" s="114"/>
      <c r="SIJ12" s="114"/>
      <c r="SIK12" s="114"/>
      <c r="SIL12" s="114"/>
      <c r="SIM12" s="114"/>
      <c r="SIN12" s="114"/>
      <c r="SIO12" s="114"/>
      <c r="SIP12" s="114"/>
      <c r="SIQ12" s="114"/>
      <c r="SIR12" s="114"/>
      <c r="SIS12" s="114"/>
      <c r="SIT12" s="114"/>
      <c r="SIU12" s="114"/>
      <c r="SIV12" s="114"/>
      <c r="SIW12" s="114"/>
      <c r="SIX12" s="114"/>
      <c r="SIY12" s="114"/>
      <c r="SIZ12" s="114"/>
      <c r="SJA12" s="114"/>
      <c r="SJB12" s="114"/>
      <c r="SJC12" s="114"/>
      <c r="SJD12" s="114"/>
      <c r="SJE12" s="114"/>
      <c r="SJF12" s="114"/>
      <c r="SJG12" s="114"/>
      <c r="SJH12" s="114"/>
      <c r="SJI12" s="114"/>
      <c r="SJJ12" s="114"/>
      <c r="SJK12" s="114"/>
      <c r="SJL12" s="114"/>
      <c r="SJM12" s="114"/>
      <c r="SJN12" s="114"/>
      <c r="SJO12" s="114"/>
      <c r="SJP12" s="114"/>
      <c r="SJQ12" s="114"/>
      <c r="SJR12" s="114"/>
      <c r="SJS12" s="114"/>
      <c r="SJT12" s="114"/>
      <c r="SJU12" s="114"/>
      <c r="SJV12" s="114"/>
      <c r="SJW12" s="114"/>
      <c r="SJX12" s="114"/>
      <c r="SJY12" s="114"/>
      <c r="SJZ12" s="114"/>
      <c r="SKA12" s="114"/>
      <c r="SKB12" s="114"/>
      <c r="SKC12" s="114"/>
      <c r="SKD12" s="114"/>
      <c r="SKE12" s="114"/>
      <c r="SKF12" s="114"/>
      <c r="SKG12" s="114"/>
      <c r="SKH12" s="114"/>
      <c r="SKI12" s="114"/>
      <c r="SKJ12" s="114"/>
      <c r="SKK12" s="114"/>
      <c r="SKL12" s="114"/>
      <c r="SKM12" s="114"/>
      <c r="SKN12" s="114"/>
      <c r="SKO12" s="114"/>
      <c r="SKP12" s="114"/>
      <c r="SKQ12" s="114"/>
      <c r="SKR12" s="114"/>
      <c r="SKS12" s="114"/>
      <c r="SKT12" s="114"/>
      <c r="SKU12" s="114"/>
      <c r="SKV12" s="114"/>
      <c r="SKW12" s="114"/>
      <c r="SKX12" s="114"/>
      <c r="SKY12" s="114"/>
      <c r="SKZ12" s="114"/>
      <c r="SLA12" s="114"/>
      <c r="SLB12" s="114"/>
      <c r="SLC12" s="114"/>
      <c r="SLD12" s="114"/>
      <c r="SLE12" s="114"/>
      <c r="SLF12" s="114"/>
      <c r="SLG12" s="114"/>
      <c r="SLH12" s="114"/>
      <c r="SLI12" s="114"/>
      <c r="SLJ12" s="114"/>
      <c r="SLK12" s="114"/>
      <c r="SLL12" s="114"/>
      <c r="SLM12" s="114"/>
      <c r="SLN12" s="114"/>
      <c r="SLO12" s="114"/>
      <c r="SLP12" s="114"/>
      <c r="SLQ12" s="114"/>
      <c r="SLR12" s="114"/>
      <c r="SLS12" s="114"/>
      <c r="SLT12" s="114"/>
      <c r="SLU12" s="114"/>
      <c r="SLV12" s="114"/>
      <c r="SLW12" s="114"/>
      <c r="SLX12" s="114"/>
      <c r="SLY12" s="114"/>
      <c r="SLZ12" s="114"/>
      <c r="SMA12" s="114"/>
      <c r="SMB12" s="114"/>
      <c r="SMC12" s="114"/>
      <c r="SMD12" s="114"/>
      <c r="SME12" s="114"/>
      <c r="SMF12" s="114"/>
      <c r="SMG12" s="114"/>
      <c r="SMH12" s="114"/>
      <c r="SMI12" s="114"/>
      <c r="SMJ12" s="114"/>
      <c r="SMK12" s="114"/>
      <c r="SML12" s="114"/>
      <c r="SMM12" s="114"/>
      <c r="SMN12" s="114"/>
      <c r="SMO12" s="114"/>
      <c r="SMP12" s="114"/>
      <c r="SMQ12" s="114"/>
      <c r="SMR12" s="114"/>
      <c r="SMS12" s="114"/>
      <c r="SMT12" s="114"/>
      <c r="SMU12" s="114"/>
      <c r="SMV12" s="114"/>
      <c r="SMW12" s="114"/>
      <c r="SMX12" s="114"/>
      <c r="SMY12" s="114"/>
      <c r="SMZ12" s="114"/>
      <c r="SNA12" s="114"/>
      <c r="SNB12" s="114"/>
      <c r="SNC12" s="114"/>
      <c r="SND12" s="114"/>
      <c r="SNE12" s="114"/>
      <c r="SNF12" s="114"/>
      <c r="SNG12" s="114"/>
      <c r="SNH12" s="114"/>
      <c r="SNI12" s="114"/>
      <c r="SNJ12" s="114"/>
      <c r="SNK12" s="114"/>
      <c r="SNL12" s="114"/>
      <c r="SNM12" s="114"/>
      <c r="SNN12" s="114"/>
      <c r="SNO12" s="114"/>
      <c r="SNP12" s="114"/>
      <c r="SNQ12" s="114"/>
      <c r="SNR12" s="114"/>
      <c r="SNS12" s="114"/>
      <c r="SNT12" s="114"/>
      <c r="SNU12" s="114"/>
      <c r="SNV12" s="114"/>
      <c r="SNW12" s="114"/>
      <c r="SNX12" s="114"/>
      <c r="SNY12" s="114"/>
      <c r="SNZ12" s="114"/>
      <c r="SOA12" s="114"/>
      <c r="SOB12" s="114"/>
      <c r="SOC12" s="114"/>
      <c r="SOD12" s="114"/>
      <c r="SOE12" s="114"/>
      <c r="SOF12" s="114"/>
      <c r="SOG12" s="114"/>
      <c r="SOH12" s="114"/>
      <c r="SOI12" s="114"/>
      <c r="SOJ12" s="114"/>
      <c r="SOK12" s="114"/>
      <c r="SOL12" s="114"/>
      <c r="SOM12" s="114"/>
      <c r="SON12" s="114"/>
      <c r="SOO12" s="114"/>
      <c r="SOP12" s="114"/>
      <c r="SOQ12" s="114"/>
      <c r="SOR12" s="114"/>
      <c r="SOS12" s="114"/>
      <c r="SOT12" s="114"/>
      <c r="SOU12" s="114"/>
      <c r="SOV12" s="114"/>
      <c r="SOW12" s="114"/>
      <c r="SOX12" s="114"/>
      <c r="SOY12" s="114"/>
      <c r="SOZ12" s="114"/>
      <c r="SPA12" s="114"/>
      <c r="SPB12" s="114"/>
      <c r="SPC12" s="114"/>
      <c r="SPD12" s="114"/>
      <c r="SPE12" s="114"/>
      <c r="SPF12" s="114"/>
      <c r="SPG12" s="114"/>
      <c r="SPH12" s="114"/>
      <c r="SPI12" s="114"/>
      <c r="SPJ12" s="114"/>
      <c r="SPK12" s="114"/>
      <c r="SPL12" s="114"/>
      <c r="SPM12" s="114"/>
      <c r="SPN12" s="114"/>
      <c r="SPO12" s="114"/>
      <c r="SPP12" s="114"/>
      <c r="SPQ12" s="114"/>
      <c r="SPR12" s="114"/>
      <c r="SPS12" s="114"/>
      <c r="SPT12" s="114"/>
      <c r="SPU12" s="114"/>
      <c r="SPV12" s="114"/>
      <c r="SPW12" s="114"/>
      <c r="SPX12" s="114"/>
      <c r="SPY12" s="114"/>
      <c r="SPZ12" s="114"/>
      <c r="SQA12" s="114"/>
      <c r="SQB12" s="114"/>
      <c r="SQC12" s="114"/>
      <c r="SQD12" s="114"/>
      <c r="SQE12" s="114"/>
      <c r="SQF12" s="114"/>
      <c r="SQG12" s="114"/>
      <c r="SQH12" s="114"/>
      <c r="SQI12" s="114"/>
      <c r="SQJ12" s="114"/>
      <c r="SQK12" s="114"/>
      <c r="SQL12" s="114"/>
      <c r="SQM12" s="114"/>
      <c r="SQN12" s="114"/>
      <c r="SQO12" s="114"/>
      <c r="SQP12" s="114"/>
      <c r="SQQ12" s="114"/>
      <c r="SQR12" s="114"/>
      <c r="SQS12" s="114"/>
      <c r="SQT12" s="114"/>
      <c r="SQU12" s="114"/>
      <c r="SQV12" s="114"/>
      <c r="SQW12" s="114"/>
      <c r="SQX12" s="114"/>
      <c r="SQY12" s="114"/>
      <c r="SQZ12" s="114"/>
      <c r="SRA12" s="114"/>
      <c r="SRB12" s="114"/>
      <c r="SRC12" s="114"/>
      <c r="SRD12" s="114"/>
      <c r="SRE12" s="114"/>
      <c r="SRF12" s="114"/>
      <c r="SRG12" s="114"/>
      <c r="SRH12" s="114"/>
      <c r="SRI12" s="114"/>
      <c r="SRJ12" s="114"/>
      <c r="SRK12" s="114"/>
      <c r="SRL12" s="114"/>
      <c r="SRM12" s="114"/>
      <c r="SRN12" s="114"/>
      <c r="SRO12" s="114"/>
      <c r="SRP12" s="114"/>
      <c r="SRQ12" s="114"/>
      <c r="SRR12" s="114"/>
      <c r="SRS12" s="114"/>
      <c r="SRT12" s="114"/>
      <c r="SRU12" s="114"/>
      <c r="SRV12" s="114"/>
      <c r="SRW12" s="114"/>
      <c r="SRX12" s="114"/>
      <c r="SRY12" s="114"/>
      <c r="SRZ12" s="114"/>
      <c r="SSA12" s="114"/>
      <c r="SSB12" s="114"/>
      <c r="SSC12" s="114"/>
      <c r="SSD12" s="114"/>
      <c r="SSE12" s="114"/>
      <c r="SSF12" s="114"/>
      <c r="SSG12" s="114"/>
      <c r="SSH12" s="114"/>
      <c r="SSI12" s="114"/>
      <c r="SSJ12" s="114"/>
      <c r="SSK12" s="114"/>
      <c r="SSL12" s="114"/>
      <c r="SSM12" s="114"/>
      <c r="SSN12" s="114"/>
      <c r="SSO12" s="114"/>
      <c r="SSP12" s="114"/>
      <c r="SSQ12" s="114"/>
      <c r="SSR12" s="114"/>
      <c r="SSS12" s="114"/>
      <c r="SST12" s="114"/>
      <c r="SSU12" s="114"/>
      <c r="SSV12" s="114"/>
      <c r="SSW12" s="114"/>
      <c r="SSX12" s="114"/>
      <c r="SSY12" s="114"/>
      <c r="SSZ12" s="114"/>
      <c r="STA12" s="114"/>
      <c r="STB12" s="114"/>
      <c r="STC12" s="114"/>
      <c r="STD12" s="114"/>
      <c r="STE12" s="114"/>
      <c r="STF12" s="114"/>
      <c r="STG12" s="114"/>
      <c r="STH12" s="114"/>
      <c r="STI12" s="114"/>
      <c r="STJ12" s="114"/>
      <c r="STK12" s="114"/>
      <c r="STL12" s="114"/>
      <c r="STM12" s="114"/>
      <c r="STN12" s="114"/>
      <c r="STO12" s="114"/>
      <c r="STP12" s="114"/>
      <c r="STQ12" s="114"/>
      <c r="STR12" s="114"/>
      <c r="STS12" s="114"/>
      <c r="STT12" s="114"/>
      <c r="STU12" s="114"/>
      <c r="STV12" s="114"/>
      <c r="STW12" s="114"/>
      <c r="STX12" s="114"/>
      <c r="STY12" s="114"/>
      <c r="STZ12" s="114"/>
      <c r="SUA12" s="114"/>
      <c r="SUB12" s="114"/>
      <c r="SUC12" s="114"/>
      <c r="SUD12" s="114"/>
      <c r="SUE12" s="114"/>
      <c r="SUF12" s="114"/>
      <c r="SUG12" s="114"/>
      <c r="SUH12" s="114"/>
      <c r="SUI12" s="114"/>
      <c r="SUJ12" s="114"/>
      <c r="SUK12" s="114"/>
      <c r="SUL12" s="114"/>
      <c r="SUM12" s="114"/>
      <c r="SUN12" s="114"/>
      <c r="SUO12" s="114"/>
      <c r="SUP12" s="114"/>
      <c r="SUQ12" s="114"/>
      <c r="SUR12" s="114"/>
      <c r="SUS12" s="114"/>
      <c r="SUT12" s="114"/>
      <c r="SUU12" s="114"/>
      <c r="SUV12" s="114"/>
      <c r="SUW12" s="114"/>
      <c r="SUX12" s="114"/>
      <c r="SUY12" s="114"/>
      <c r="SUZ12" s="114"/>
      <c r="SVA12" s="114"/>
      <c r="SVB12" s="114"/>
      <c r="SVC12" s="114"/>
      <c r="SVD12" s="114"/>
      <c r="SVE12" s="114"/>
      <c r="SVF12" s="114"/>
      <c r="SVG12" s="114"/>
      <c r="SVH12" s="114"/>
      <c r="SVI12" s="114"/>
      <c r="SVJ12" s="114"/>
      <c r="SVK12" s="114"/>
      <c r="SVL12" s="114"/>
      <c r="SVM12" s="114"/>
      <c r="SVN12" s="114"/>
      <c r="SVO12" s="114"/>
      <c r="SVP12" s="114"/>
      <c r="SVQ12" s="114"/>
      <c r="SVR12" s="114"/>
      <c r="SVS12" s="114"/>
      <c r="SVT12" s="114"/>
      <c r="SVU12" s="114"/>
      <c r="SVV12" s="114"/>
      <c r="SVW12" s="114"/>
      <c r="SVX12" s="114"/>
      <c r="SVY12" s="114"/>
      <c r="SVZ12" s="114"/>
      <c r="SWA12" s="114"/>
      <c r="SWB12" s="114"/>
      <c r="SWC12" s="114"/>
      <c r="SWD12" s="114"/>
      <c r="SWE12" s="114"/>
      <c r="SWF12" s="114"/>
      <c r="SWG12" s="114"/>
      <c r="SWH12" s="114"/>
      <c r="SWI12" s="114"/>
      <c r="SWJ12" s="114"/>
      <c r="SWK12" s="114"/>
      <c r="SWL12" s="114"/>
      <c r="SWM12" s="114"/>
      <c r="SWN12" s="114"/>
      <c r="SWO12" s="114"/>
      <c r="SWP12" s="114"/>
      <c r="SWQ12" s="114"/>
      <c r="SWR12" s="114"/>
      <c r="SWS12" s="114"/>
      <c r="SWT12" s="114"/>
      <c r="SWU12" s="114"/>
      <c r="SWV12" s="114"/>
      <c r="SWW12" s="114"/>
      <c r="SWX12" s="114"/>
      <c r="SWY12" s="114"/>
      <c r="SWZ12" s="114"/>
      <c r="SXA12" s="114"/>
      <c r="SXB12" s="114"/>
      <c r="SXC12" s="114"/>
      <c r="SXD12" s="114"/>
      <c r="SXE12" s="114"/>
      <c r="SXF12" s="114"/>
      <c r="SXG12" s="114"/>
      <c r="SXH12" s="114"/>
      <c r="SXI12" s="114"/>
      <c r="SXJ12" s="114"/>
      <c r="SXK12" s="114"/>
      <c r="SXL12" s="114"/>
      <c r="SXM12" s="114"/>
      <c r="SXN12" s="114"/>
      <c r="SXO12" s="114"/>
      <c r="SXP12" s="114"/>
      <c r="SXQ12" s="114"/>
      <c r="SXR12" s="114"/>
      <c r="SXS12" s="114"/>
      <c r="SXT12" s="114"/>
      <c r="SXU12" s="114"/>
      <c r="SXV12" s="114"/>
      <c r="SXW12" s="114"/>
      <c r="SXX12" s="114"/>
      <c r="SXY12" s="114"/>
      <c r="SXZ12" s="114"/>
      <c r="SYA12" s="114"/>
      <c r="SYB12" s="114"/>
      <c r="SYC12" s="114"/>
      <c r="SYD12" s="114"/>
      <c r="SYE12" s="114"/>
      <c r="SYF12" s="114"/>
      <c r="SYG12" s="114"/>
      <c r="SYH12" s="114"/>
      <c r="SYI12" s="114"/>
      <c r="SYJ12" s="114"/>
      <c r="SYK12" s="114"/>
      <c r="SYL12" s="114"/>
      <c r="SYM12" s="114"/>
      <c r="SYN12" s="114"/>
      <c r="SYO12" s="114"/>
      <c r="SYP12" s="114"/>
      <c r="SYQ12" s="114"/>
      <c r="SYR12" s="114"/>
      <c r="SYS12" s="114"/>
      <c r="SYT12" s="114"/>
      <c r="SYU12" s="114"/>
      <c r="SYV12" s="114"/>
      <c r="SYW12" s="114"/>
      <c r="SYX12" s="114"/>
      <c r="SYY12" s="114"/>
      <c r="SYZ12" s="114"/>
      <c r="SZA12" s="114"/>
      <c r="SZB12" s="114"/>
      <c r="SZC12" s="114"/>
      <c r="SZD12" s="114"/>
      <c r="SZE12" s="114"/>
      <c r="SZF12" s="114"/>
      <c r="SZG12" s="114"/>
      <c r="SZH12" s="114"/>
      <c r="SZI12" s="114"/>
      <c r="SZJ12" s="114"/>
      <c r="SZK12" s="114"/>
      <c r="SZL12" s="114"/>
      <c r="SZM12" s="114"/>
      <c r="SZN12" s="114"/>
      <c r="SZO12" s="114"/>
      <c r="SZP12" s="114"/>
      <c r="SZQ12" s="114"/>
      <c r="SZR12" s="114"/>
      <c r="SZS12" s="114"/>
      <c r="SZT12" s="114"/>
      <c r="SZU12" s="114"/>
      <c r="SZV12" s="114"/>
      <c r="SZW12" s="114"/>
      <c r="SZX12" s="114"/>
      <c r="SZY12" s="114"/>
      <c r="SZZ12" s="114"/>
      <c r="TAA12" s="114"/>
      <c r="TAB12" s="114"/>
      <c r="TAC12" s="114"/>
      <c r="TAD12" s="114"/>
      <c r="TAE12" s="114"/>
      <c r="TAF12" s="114"/>
      <c r="TAG12" s="114"/>
      <c r="TAH12" s="114"/>
      <c r="TAI12" s="114"/>
      <c r="TAJ12" s="114"/>
      <c r="TAK12" s="114"/>
      <c r="TAL12" s="114"/>
      <c r="TAM12" s="114"/>
      <c r="TAN12" s="114"/>
      <c r="TAO12" s="114"/>
      <c r="TAP12" s="114"/>
      <c r="TAQ12" s="114"/>
      <c r="TAR12" s="114"/>
      <c r="TAS12" s="114"/>
      <c r="TAT12" s="114"/>
      <c r="TAU12" s="114"/>
      <c r="TAV12" s="114"/>
      <c r="TAW12" s="114"/>
      <c r="TAX12" s="114"/>
      <c r="TAY12" s="114"/>
      <c r="TAZ12" s="114"/>
      <c r="TBA12" s="114"/>
      <c r="TBB12" s="114"/>
      <c r="TBC12" s="114"/>
      <c r="TBD12" s="114"/>
      <c r="TBE12" s="114"/>
      <c r="TBF12" s="114"/>
      <c r="TBG12" s="114"/>
      <c r="TBH12" s="114"/>
      <c r="TBI12" s="114"/>
      <c r="TBJ12" s="114"/>
      <c r="TBK12" s="114"/>
      <c r="TBL12" s="114"/>
      <c r="TBM12" s="114"/>
      <c r="TBN12" s="114"/>
      <c r="TBO12" s="114"/>
      <c r="TBP12" s="114"/>
      <c r="TBQ12" s="114"/>
      <c r="TBR12" s="114"/>
      <c r="TBS12" s="114"/>
      <c r="TBT12" s="114"/>
      <c r="TBU12" s="114"/>
      <c r="TBV12" s="114"/>
      <c r="TBW12" s="114"/>
      <c r="TBX12" s="114"/>
      <c r="TBY12" s="114"/>
      <c r="TBZ12" s="114"/>
      <c r="TCA12" s="114"/>
      <c r="TCB12" s="114"/>
      <c r="TCC12" s="114"/>
      <c r="TCD12" s="114"/>
      <c r="TCE12" s="114"/>
      <c r="TCF12" s="114"/>
      <c r="TCG12" s="114"/>
      <c r="TCH12" s="114"/>
      <c r="TCI12" s="114"/>
      <c r="TCJ12" s="114"/>
      <c r="TCK12" s="114"/>
      <c r="TCL12" s="114"/>
      <c r="TCM12" s="114"/>
      <c r="TCN12" s="114"/>
      <c r="TCO12" s="114"/>
      <c r="TCP12" s="114"/>
      <c r="TCQ12" s="114"/>
      <c r="TCR12" s="114"/>
      <c r="TCS12" s="114"/>
      <c r="TCT12" s="114"/>
      <c r="TCU12" s="114"/>
      <c r="TCV12" s="114"/>
      <c r="TCW12" s="114"/>
      <c r="TCX12" s="114"/>
      <c r="TCY12" s="114"/>
      <c r="TCZ12" s="114"/>
      <c r="TDA12" s="114"/>
      <c r="TDB12" s="114"/>
      <c r="TDC12" s="114"/>
      <c r="TDD12" s="114"/>
      <c r="TDE12" s="114"/>
      <c r="TDF12" s="114"/>
      <c r="TDG12" s="114"/>
      <c r="TDH12" s="114"/>
      <c r="TDI12" s="114"/>
      <c r="TDJ12" s="114"/>
      <c r="TDK12" s="114"/>
      <c r="TDL12" s="114"/>
      <c r="TDM12" s="114"/>
      <c r="TDN12" s="114"/>
      <c r="TDO12" s="114"/>
      <c r="TDP12" s="114"/>
      <c r="TDQ12" s="114"/>
      <c r="TDR12" s="114"/>
      <c r="TDS12" s="114"/>
      <c r="TDT12" s="114"/>
      <c r="TDU12" s="114"/>
      <c r="TDV12" s="114"/>
      <c r="TDW12" s="114"/>
      <c r="TDX12" s="114"/>
      <c r="TDY12" s="114"/>
      <c r="TDZ12" s="114"/>
      <c r="TEA12" s="114"/>
      <c r="TEB12" s="114"/>
      <c r="TEC12" s="114"/>
      <c r="TED12" s="114"/>
      <c r="TEE12" s="114"/>
      <c r="TEF12" s="114"/>
      <c r="TEG12" s="114"/>
      <c r="TEH12" s="114"/>
      <c r="TEI12" s="114"/>
      <c r="TEJ12" s="114"/>
      <c r="TEK12" s="114"/>
      <c r="TEL12" s="114"/>
      <c r="TEM12" s="114"/>
      <c r="TEN12" s="114"/>
      <c r="TEO12" s="114"/>
      <c r="TEP12" s="114"/>
      <c r="TEQ12" s="114"/>
      <c r="TER12" s="114"/>
      <c r="TES12" s="114"/>
      <c r="TET12" s="114"/>
      <c r="TEU12" s="114"/>
      <c r="TEV12" s="114"/>
      <c r="TEW12" s="114"/>
      <c r="TEX12" s="114"/>
      <c r="TEY12" s="114"/>
      <c r="TEZ12" s="114"/>
      <c r="TFA12" s="114"/>
      <c r="TFB12" s="114"/>
      <c r="TFC12" s="114"/>
      <c r="TFD12" s="114"/>
      <c r="TFE12" s="114"/>
      <c r="TFF12" s="114"/>
      <c r="TFG12" s="114"/>
      <c r="TFH12" s="114"/>
      <c r="TFI12" s="114"/>
      <c r="TFJ12" s="114"/>
      <c r="TFK12" s="114"/>
      <c r="TFL12" s="114"/>
      <c r="TFM12" s="114"/>
      <c r="TFN12" s="114"/>
      <c r="TFO12" s="114"/>
      <c r="TFP12" s="114"/>
      <c r="TFQ12" s="114"/>
      <c r="TFR12" s="114"/>
      <c r="TFS12" s="114"/>
      <c r="TFT12" s="114"/>
      <c r="TFU12" s="114"/>
      <c r="TFV12" s="114"/>
      <c r="TFW12" s="114"/>
      <c r="TFX12" s="114"/>
      <c r="TFY12" s="114"/>
      <c r="TFZ12" s="114"/>
      <c r="TGA12" s="114"/>
      <c r="TGB12" s="114"/>
      <c r="TGC12" s="114"/>
      <c r="TGD12" s="114"/>
      <c r="TGE12" s="114"/>
      <c r="TGF12" s="114"/>
      <c r="TGG12" s="114"/>
      <c r="TGH12" s="114"/>
      <c r="TGI12" s="114"/>
      <c r="TGJ12" s="114"/>
      <c r="TGK12" s="114"/>
      <c r="TGL12" s="114"/>
      <c r="TGM12" s="114"/>
      <c r="TGN12" s="114"/>
      <c r="TGO12" s="114"/>
      <c r="TGP12" s="114"/>
      <c r="TGQ12" s="114"/>
      <c r="TGR12" s="114"/>
      <c r="TGS12" s="114"/>
      <c r="TGT12" s="114"/>
      <c r="TGU12" s="114"/>
      <c r="TGV12" s="114"/>
      <c r="TGW12" s="114"/>
      <c r="TGX12" s="114"/>
      <c r="TGY12" s="114"/>
      <c r="TGZ12" s="114"/>
      <c r="THA12" s="114"/>
      <c r="THB12" s="114"/>
      <c r="THC12" s="114"/>
      <c r="THD12" s="114"/>
      <c r="THE12" s="114"/>
      <c r="THF12" s="114"/>
      <c r="THG12" s="114"/>
      <c r="THH12" s="114"/>
      <c r="THI12" s="114"/>
      <c r="THJ12" s="114"/>
      <c r="THK12" s="114"/>
      <c r="THL12" s="114"/>
      <c r="THM12" s="114"/>
      <c r="THN12" s="114"/>
      <c r="THO12" s="114"/>
      <c r="THP12" s="114"/>
      <c r="THQ12" s="114"/>
      <c r="THR12" s="114"/>
      <c r="THS12" s="114"/>
      <c r="THT12" s="114"/>
      <c r="THU12" s="114"/>
      <c r="THV12" s="114"/>
      <c r="THW12" s="114"/>
      <c r="THX12" s="114"/>
      <c r="THY12" s="114"/>
      <c r="THZ12" s="114"/>
      <c r="TIA12" s="114"/>
      <c r="TIB12" s="114"/>
      <c r="TIC12" s="114"/>
      <c r="TID12" s="114"/>
      <c r="TIE12" s="114"/>
      <c r="TIF12" s="114"/>
      <c r="TIG12" s="114"/>
      <c r="TIH12" s="114"/>
      <c r="TII12" s="114"/>
      <c r="TIJ12" s="114"/>
      <c r="TIK12" s="114"/>
      <c r="TIL12" s="114"/>
      <c r="TIM12" s="114"/>
      <c r="TIN12" s="114"/>
      <c r="TIO12" s="114"/>
      <c r="TIP12" s="114"/>
      <c r="TIQ12" s="114"/>
      <c r="TIR12" s="114"/>
      <c r="TIS12" s="114"/>
      <c r="TIT12" s="114"/>
      <c r="TIU12" s="114"/>
      <c r="TIV12" s="114"/>
      <c r="TIW12" s="114"/>
      <c r="TIX12" s="114"/>
      <c r="TIY12" s="114"/>
      <c r="TIZ12" s="114"/>
      <c r="TJA12" s="114"/>
      <c r="TJB12" s="114"/>
      <c r="TJC12" s="114"/>
      <c r="TJD12" s="114"/>
      <c r="TJE12" s="114"/>
      <c r="TJF12" s="114"/>
      <c r="TJG12" s="114"/>
      <c r="TJH12" s="114"/>
      <c r="TJI12" s="114"/>
      <c r="TJJ12" s="114"/>
      <c r="TJK12" s="114"/>
      <c r="TJL12" s="114"/>
      <c r="TJM12" s="114"/>
      <c r="TJN12" s="114"/>
      <c r="TJO12" s="114"/>
      <c r="TJP12" s="114"/>
      <c r="TJQ12" s="114"/>
      <c r="TJR12" s="114"/>
      <c r="TJS12" s="114"/>
      <c r="TJT12" s="114"/>
      <c r="TJU12" s="114"/>
      <c r="TJV12" s="114"/>
      <c r="TJW12" s="114"/>
      <c r="TJX12" s="114"/>
      <c r="TJY12" s="114"/>
      <c r="TJZ12" s="114"/>
      <c r="TKA12" s="114"/>
      <c r="TKB12" s="114"/>
      <c r="TKC12" s="114"/>
      <c r="TKD12" s="114"/>
      <c r="TKE12" s="114"/>
      <c r="TKF12" s="114"/>
      <c r="TKG12" s="114"/>
      <c r="TKH12" s="114"/>
      <c r="TKI12" s="114"/>
      <c r="TKJ12" s="114"/>
      <c r="TKK12" s="114"/>
      <c r="TKL12" s="114"/>
      <c r="TKM12" s="114"/>
      <c r="TKN12" s="114"/>
      <c r="TKO12" s="114"/>
      <c r="TKP12" s="114"/>
      <c r="TKQ12" s="114"/>
      <c r="TKR12" s="114"/>
      <c r="TKS12" s="114"/>
      <c r="TKT12" s="114"/>
      <c r="TKU12" s="114"/>
      <c r="TKV12" s="114"/>
      <c r="TKW12" s="114"/>
      <c r="TKX12" s="114"/>
      <c r="TKY12" s="114"/>
      <c r="TKZ12" s="114"/>
      <c r="TLA12" s="114"/>
      <c r="TLB12" s="114"/>
      <c r="TLC12" s="114"/>
      <c r="TLD12" s="114"/>
      <c r="TLE12" s="114"/>
      <c r="TLF12" s="114"/>
      <c r="TLG12" s="114"/>
      <c r="TLH12" s="114"/>
      <c r="TLI12" s="114"/>
      <c r="TLJ12" s="114"/>
      <c r="TLK12" s="114"/>
      <c r="TLL12" s="114"/>
      <c r="TLM12" s="114"/>
      <c r="TLN12" s="114"/>
      <c r="TLO12" s="114"/>
      <c r="TLP12" s="114"/>
      <c r="TLQ12" s="114"/>
      <c r="TLR12" s="114"/>
      <c r="TLS12" s="114"/>
      <c r="TLT12" s="114"/>
      <c r="TLU12" s="114"/>
      <c r="TLV12" s="114"/>
      <c r="TLW12" s="114"/>
      <c r="TLX12" s="114"/>
      <c r="TLY12" s="114"/>
      <c r="TLZ12" s="114"/>
      <c r="TMA12" s="114"/>
      <c r="TMB12" s="114"/>
      <c r="TMC12" s="114"/>
      <c r="TMD12" s="114"/>
      <c r="TME12" s="114"/>
      <c r="TMF12" s="114"/>
      <c r="TMG12" s="114"/>
      <c r="TMH12" s="114"/>
      <c r="TMI12" s="114"/>
      <c r="TMJ12" s="114"/>
      <c r="TMK12" s="114"/>
      <c r="TML12" s="114"/>
      <c r="TMM12" s="114"/>
      <c r="TMN12" s="114"/>
      <c r="TMO12" s="114"/>
      <c r="TMP12" s="114"/>
      <c r="TMQ12" s="114"/>
      <c r="TMR12" s="114"/>
      <c r="TMS12" s="114"/>
      <c r="TMT12" s="114"/>
      <c r="TMU12" s="114"/>
      <c r="TMV12" s="114"/>
      <c r="TMW12" s="114"/>
      <c r="TMX12" s="114"/>
      <c r="TMY12" s="114"/>
      <c r="TMZ12" s="114"/>
      <c r="TNA12" s="114"/>
      <c r="TNB12" s="114"/>
      <c r="TNC12" s="114"/>
      <c r="TND12" s="114"/>
      <c r="TNE12" s="114"/>
      <c r="TNF12" s="114"/>
      <c r="TNG12" s="114"/>
      <c r="TNH12" s="114"/>
      <c r="TNI12" s="114"/>
      <c r="TNJ12" s="114"/>
      <c r="TNK12" s="114"/>
      <c r="TNL12" s="114"/>
      <c r="TNM12" s="114"/>
      <c r="TNN12" s="114"/>
      <c r="TNO12" s="114"/>
      <c r="TNP12" s="114"/>
      <c r="TNQ12" s="114"/>
      <c r="TNR12" s="114"/>
      <c r="TNS12" s="114"/>
      <c r="TNT12" s="114"/>
      <c r="TNU12" s="114"/>
      <c r="TNV12" s="114"/>
      <c r="TNW12" s="114"/>
      <c r="TNX12" s="114"/>
      <c r="TNY12" s="114"/>
      <c r="TNZ12" s="114"/>
      <c r="TOA12" s="114"/>
      <c r="TOB12" s="114"/>
      <c r="TOC12" s="114"/>
      <c r="TOD12" s="114"/>
      <c r="TOE12" s="114"/>
      <c r="TOF12" s="114"/>
      <c r="TOG12" s="114"/>
      <c r="TOH12" s="114"/>
      <c r="TOI12" s="114"/>
      <c r="TOJ12" s="114"/>
      <c r="TOK12" s="114"/>
      <c r="TOL12" s="114"/>
      <c r="TOM12" s="114"/>
      <c r="TON12" s="114"/>
      <c r="TOO12" s="114"/>
      <c r="TOP12" s="114"/>
      <c r="TOQ12" s="114"/>
      <c r="TOR12" s="114"/>
      <c r="TOS12" s="114"/>
      <c r="TOT12" s="114"/>
      <c r="TOU12" s="114"/>
      <c r="TOV12" s="114"/>
      <c r="TOW12" s="114"/>
      <c r="TOX12" s="114"/>
      <c r="TOY12" s="114"/>
      <c r="TOZ12" s="114"/>
      <c r="TPA12" s="114"/>
      <c r="TPB12" s="114"/>
      <c r="TPC12" s="114"/>
      <c r="TPD12" s="114"/>
      <c r="TPE12" s="114"/>
      <c r="TPF12" s="114"/>
      <c r="TPG12" s="114"/>
      <c r="TPH12" s="114"/>
      <c r="TPI12" s="114"/>
      <c r="TPJ12" s="114"/>
      <c r="TPK12" s="114"/>
      <c r="TPL12" s="114"/>
      <c r="TPM12" s="114"/>
      <c r="TPN12" s="114"/>
      <c r="TPO12" s="114"/>
      <c r="TPP12" s="114"/>
      <c r="TPQ12" s="114"/>
      <c r="TPR12" s="114"/>
      <c r="TPS12" s="114"/>
      <c r="TPT12" s="114"/>
      <c r="TPU12" s="114"/>
      <c r="TPV12" s="114"/>
      <c r="TPW12" s="114"/>
      <c r="TPX12" s="114"/>
      <c r="TPY12" s="114"/>
      <c r="TPZ12" s="114"/>
      <c r="TQA12" s="114"/>
      <c r="TQB12" s="114"/>
      <c r="TQC12" s="114"/>
      <c r="TQD12" s="114"/>
      <c r="TQE12" s="114"/>
      <c r="TQF12" s="114"/>
      <c r="TQG12" s="114"/>
      <c r="TQH12" s="114"/>
      <c r="TQI12" s="114"/>
      <c r="TQJ12" s="114"/>
      <c r="TQK12" s="114"/>
      <c r="TQL12" s="114"/>
      <c r="TQM12" s="114"/>
      <c r="TQN12" s="114"/>
      <c r="TQO12" s="114"/>
      <c r="TQP12" s="114"/>
      <c r="TQQ12" s="114"/>
      <c r="TQR12" s="114"/>
      <c r="TQS12" s="114"/>
      <c r="TQT12" s="114"/>
      <c r="TQU12" s="114"/>
      <c r="TQV12" s="114"/>
      <c r="TQW12" s="114"/>
      <c r="TQX12" s="114"/>
      <c r="TQY12" s="114"/>
      <c r="TQZ12" s="114"/>
      <c r="TRA12" s="114"/>
      <c r="TRB12" s="114"/>
      <c r="TRC12" s="114"/>
      <c r="TRD12" s="114"/>
      <c r="TRE12" s="114"/>
      <c r="TRF12" s="114"/>
      <c r="TRG12" s="114"/>
      <c r="TRH12" s="114"/>
      <c r="TRI12" s="114"/>
      <c r="TRJ12" s="114"/>
      <c r="TRK12" s="114"/>
      <c r="TRL12" s="114"/>
      <c r="TRM12" s="114"/>
      <c r="TRN12" s="114"/>
      <c r="TRO12" s="114"/>
      <c r="TRP12" s="114"/>
      <c r="TRQ12" s="114"/>
      <c r="TRR12" s="114"/>
      <c r="TRS12" s="114"/>
      <c r="TRT12" s="114"/>
      <c r="TRU12" s="114"/>
      <c r="TRV12" s="114"/>
      <c r="TRW12" s="114"/>
      <c r="TRX12" s="114"/>
      <c r="TRY12" s="114"/>
      <c r="TRZ12" s="114"/>
      <c r="TSA12" s="114"/>
      <c r="TSB12" s="114"/>
      <c r="TSC12" s="114"/>
      <c r="TSD12" s="114"/>
      <c r="TSE12" s="114"/>
      <c r="TSF12" s="114"/>
      <c r="TSG12" s="114"/>
      <c r="TSH12" s="114"/>
      <c r="TSI12" s="114"/>
      <c r="TSJ12" s="114"/>
      <c r="TSK12" s="114"/>
      <c r="TSL12" s="114"/>
      <c r="TSM12" s="114"/>
      <c r="TSN12" s="114"/>
      <c r="TSO12" s="114"/>
      <c r="TSP12" s="114"/>
      <c r="TSQ12" s="114"/>
      <c r="TSR12" s="114"/>
      <c r="TSS12" s="114"/>
      <c r="TST12" s="114"/>
      <c r="TSU12" s="114"/>
      <c r="TSV12" s="114"/>
      <c r="TSW12" s="114"/>
      <c r="TSX12" s="114"/>
      <c r="TSY12" s="114"/>
      <c r="TSZ12" s="114"/>
      <c r="TTA12" s="114"/>
      <c r="TTB12" s="114"/>
      <c r="TTC12" s="114"/>
      <c r="TTD12" s="114"/>
      <c r="TTE12" s="114"/>
      <c r="TTF12" s="114"/>
      <c r="TTG12" s="114"/>
      <c r="TTH12" s="114"/>
      <c r="TTI12" s="114"/>
      <c r="TTJ12" s="114"/>
      <c r="TTK12" s="114"/>
      <c r="TTL12" s="114"/>
      <c r="TTM12" s="114"/>
      <c r="TTN12" s="114"/>
      <c r="TTO12" s="114"/>
      <c r="TTP12" s="114"/>
      <c r="TTQ12" s="114"/>
      <c r="TTR12" s="114"/>
      <c r="TTS12" s="114"/>
      <c r="TTT12" s="114"/>
      <c r="TTU12" s="114"/>
      <c r="TTV12" s="114"/>
      <c r="TTW12" s="114"/>
      <c r="TTX12" s="114"/>
      <c r="TTY12" s="114"/>
      <c r="TTZ12" s="114"/>
      <c r="TUA12" s="114"/>
      <c r="TUB12" s="114"/>
      <c r="TUC12" s="114"/>
      <c r="TUD12" s="114"/>
      <c r="TUE12" s="114"/>
      <c r="TUF12" s="114"/>
      <c r="TUG12" s="114"/>
      <c r="TUH12" s="114"/>
      <c r="TUI12" s="114"/>
      <c r="TUJ12" s="114"/>
      <c r="TUK12" s="114"/>
      <c r="TUL12" s="114"/>
      <c r="TUM12" s="114"/>
      <c r="TUN12" s="114"/>
      <c r="TUO12" s="114"/>
      <c r="TUP12" s="114"/>
      <c r="TUQ12" s="114"/>
      <c r="TUR12" s="114"/>
      <c r="TUS12" s="114"/>
      <c r="TUT12" s="114"/>
      <c r="TUU12" s="114"/>
      <c r="TUV12" s="114"/>
      <c r="TUW12" s="114"/>
      <c r="TUX12" s="114"/>
      <c r="TUY12" s="114"/>
      <c r="TUZ12" s="114"/>
      <c r="TVA12" s="114"/>
      <c r="TVB12" s="114"/>
      <c r="TVC12" s="114"/>
      <c r="TVD12" s="114"/>
      <c r="TVE12" s="114"/>
      <c r="TVF12" s="114"/>
      <c r="TVG12" s="114"/>
      <c r="TVH12" s="114"/>
      <c r="TVI12" s="114"/>
      <c r="TVJ12" s="114"/>
      <c r="TVK12" s="114"/>
      <c r="TVL12" s="114"/>
      <c r="TVM12" s="114"/>
      <c r="TVN12" s="114"/>
      <c r="TVO12" s="114"/>
      <c r="TVP12" s="114"/>
      <c r="TVQ12" s="114"/>
      <c r="TVR12" s="114"/>
      <c r="TVS12" s="114"/>
      <c r="TVT12" s="114"/>
      <c r="TVU12" s="114"/>
      <c r="TVV12" s="114"/>
      <c r="TVW12" s="114"/>
      <c r="TVX12" s="114"/>
      <c r="TVY12" s="114"/>
      <c r="TVZ12" s="114"/>
      <c r="TWA12" s="114"/>
      <c r="TWB12" s="114"/>
      <c r="TWC12" s="114"/>
      <c r="TWD12" s="114"/>
      <c r="TWE12" s="114"/>
      <c r="TWF12" s="114"/>
      <c r="TWG12" s="114"/>
      <c r="TWH12" s="114"/>
      <c r="TWI12" s="114"/>
      <c r="TWJ12" s="114"/>
      <c r="TWK12" s="114"/>
      <c r="TWL12" s="114"/>
      <c r="TWM12" s="114"/>
      <c r="TWN12" s="114"/>
      <c r="TWO12" s="114"/>
      <c r="TWP12" s="114"/>
      <c r="TWQ12" s="114"/>
      <c r="TWR12" s="114"/>
      <c r="TWS12" s="114"/>
      <c r="TWT12" s="114"/>
      <c r="TWU12" s="114"/>
      <c r="TWV12" s="114"/>
      <c r="TWW12" s="114"/>
      <c r="TWX12" s="114"/>
      <c r="TWY12" s="114"/>
      <c r="TWZ12" s="114"/>
      <c r="TXA12" s="114"/>
      <c r="TXB12" s="114"/>
      <c r="TXC12" s="114"/>
      <c r="TXD12" s="114"/>
      <c r="TXE12" s="114"/>
      <c r="TXF12" s="114"/>
      <c r="TXG12" s="114"/>
      <c r="TXH12" s="114"/>
      <c r="TXI12" s="114"/>
      <c r="TXJ12" s="114"/>
      <c r="TXK12" s="114"/>
      <c r="TXL12" s="114"/>
      <c r="TXM12" s="114"/>
      <c r="TXN12" s="114"/>
      <c r="TXO12" s="114"/>
      <c r="TXP12" s="114"/>
      <c r="TXQ12" s="114"/>
      <c r="TXR12" s="114"/>
      <c r="TXS12" s="114"/>
      <c r="TXT12" s="114"/>
      <c r="TXU12" s="114"/>
      <c r="TXV12" s="114"/>
      <c r="TXW12" s="114"/>
      <c r="TXX12" s="114"/>
      <c r="TXY12" s="114"/>
      <c r="TXZ12" s="114"/>
      <c r="TYA12" s="114"/>
      <c r="TYB12" s="114"/>
      <c r="TYC12" s="114"/>
      <c r="TYD12" s="114"/>
      <c r="TYE12" s="114"/>
      <c r="TYF12" s="114"/>
      <c r="TYG12" s="114"/>
      <c r="TYH12" s="114"/>
      <c r="TYI12" s="114"/>
      <c r="TYJ12" s="114"/>
      <c r="TYK12" s="114"/>
      <c r="TYL12" s="114"/>
      <c r="TYM12" s="114"/>
      <c r="TYN12" s="114"/>
      <c r="TYO12" s="114"/>
      <c r="TYP12" s="114"/>
      <c r="TYQ12" s="114"/>
      <c r="TYR12" s="114"/>
      <c r="TYS12" s="114"/>
      <c r="TYT12" s="114"/>
      <c r="TYU12" s="114"/>
      <c r="TYV12" s="114"/>
      <c r="TYW12" s="114"/>
      <c r="TYX12" s="114"/>
      <c r="TYY12" s="114"/>
      <c r="TYZ12" s="114"/>
      <c r="TZA12" s="114"/>
      <c r="TZB12" s="114"/>
      <c r="TZC12" s="114"/>
      <c r="TZD12" s="114"/>
      <c r="TZE12" s="114"/>
      <c r="TZF12" s="114"/>
      <c r="TZG12" s="114"/>
      <c r="TZH12" s="114"/>
      <c r="TZI12" s="114"/>
      <c r="TZJ12" s="114"/>
      <c r="TZK12" s="114"/>
      <c r="TZL12" s="114"/>
      <c r="TZM12" s="114"/>
      <c r="TZN12" s="114"/>
      <c r="TZO12" s="114"/>
      <c r="TZP12" s="114"/>
      <c r="TZQ12" s="114"/>
      <c r="TZR12" s="114"/>
      <c r="TZS12" s="114"/>
      <c r="TZT12" s="114"/>
      <c r="TZU12" s="114"/>
      <c r="TZV12" s="114"/>
      <c r="TZW12" s="114"/>
      <c r="TZX12" s="114"/>
      <c r="TZY12" s="114"/>
      <c r="TZZ12" s="114"/>
      <c r="UAA12" s="114"/>
      <c r="UAB12" s="114"/>
      <c r="UAC12" s="114"/>
      <c r="UAD12" s="114"/>
      <c r="UAE12" s="114"/>
      <c r="UAF12" s="114"/>
      <c r="UAG12" s="114"/>
      <c r="UAH12" s="114"/>
      <c r="UAI12" s="114"/>
      <c r="UAJ12" s="114"/>
      <c r="UAK12" s="114"/>
      <c r="UAL12" s="114"/>
      <c r="UAM12" s="114"/>
      <c r="UAN12" s="114"/>
      <c r="UAO12" s="114"/>
      <c r="UAP12" s="114"/>
      <c r="UAQ12" s="114"/>
      <c r="UAR12" s="114"/>
      <c r="UAS12" s="114"/>
      <c r="UAT12" s="114"/>
      <c r="UAU12" s="114"/>
      <c r="UAV12" s="114"/>
      <c r="UAW12" s="114"/>
      <c r="UAX12" s="114"/>
      <c r="UAY12" s="114"/>
      <c r="UAZ12" s="114"/>
      <c r="UBA12" s="114"/>
      <c r="UBB12" s="114"/>
      <c r="UBC12" s="114"/>
      <c r="UBD12" s="114"/>
      <c r="UBE12" s="114"/>
      <c r="UBF12" s="114"/>
      <c r="UBG12" s="114"/>
      <c r="UBH12" s="114"/>
      <c r="UBI12" s="114"/>
      <c r="UBJ12" s="114"/>
      <c r="UBK12" s="114"/>
      <c r="UBL12" s="114"/>
      <c r="UBM12" s="114"/>
      <c r="UBN12" s="114"/>
      <c r="UBO12" s="114"/>
      <c r="UBP12" s="114"/>
      <c r="UBQ12" s="114"/>
      <c r="UBR12" s="114"/>
      <c r="UBS12" s="114"/>
      <c r="UBT12" s="114"/>
      <c r="UBU12" s="114"/>
      <c r="UBV12" s="114"/>
      <c r="UBW12" s="114"/>
      <c r="UBX12" s="114"/>
      <c r="UBY12" s="114"/>
      <c r="UBZ12" s="114"/>
      <c r="UCA12" s="114"/>
      <c r="UCB12" s="114"/>
      <c r="UCC12" s="114"/>
      <c r="UCD12" s="114"/>
      <c r="UCE12" s="114"/>
      <c r="UCF12" s="114"/>
      <c r="UCG12" s="114"/>
      <c r="UCH12" s="114"/>
      <c r="UCI12" s="114"/>
      <c r="UCJ12" s="114"/>
      <c r="UCK12" s="114"/>
      <c r="UCL12" s="114"/>
      <c r="UCM12" s="114"/>
      <c r="UCN12" s="114"/>
      <c r="UCO12" s="114"/>
      <c r="UCP12" s="114"/>
      <c r="UCQ12" s="114"/>
      <c r="UCR12" s="114"/>
      <c r="UCS12" s="114"/>
      <c r="UCT12" s="114"/>
      <c r="UCU12" s="114"/>
      <c r="UCV12" s="114"/>
      <c r="UCW12" s="114"/>
      <c r="UCX12" s="114"/>
      <c r="UCY12" s="114"/>
      <c r="UCZ12" s="114"/>
      <c r="UDA12" s="114"/>
      <c r="UDB12" s="114"/>
      <c r="UDC12" s="114"/>
      <c r="UDD12" s="114"/>
      <c r="UDE12" s="114"/>
      <c r="UDF12" s="114"/>
      <c r="UDG12" s="114"/>
      <c r="UDH12" s="114"/>
      <c r="UDI12" s="114"/>
      <c r="UDJ12" s="114"/>
      <c r="UDK12" s="114"/>
      <c r="UDL12" s="114"/>
      <c r="UDM12" s="114"/>
      <c r="UDN12" s="114"/>
      <c r="UDO12" s="114"/>
      <c r="UDP12" s="114"/>
      <c r="UDQ12" s="114"/>
      <c r="UDR12" s="114"/>
      <c r="UDS12" s="114"/>
      <c r="UDT12" s="114"/>
      <c r="UDU12" s="114"/>
      <c r="UDV12" s="114"/>
      <c r="UDW12" s="114"/>
      <c r="UDX12" s="114"/>
      <c r="UDY12" s="114"/>
      <c r="UDZ12" s="114"/>
      <c r="UEA12" s="114"/>
      <c r="UEB12" s="114"/>
      <c r="UEC12" s="114"/>
      <c r="UED12" s="114"/>
      <c r="UEE12" s="114"/>
      <c r="UEF12" s="114"/>
      <c r="UEG12" s="114"/>
      <c r="UEH12" s="114"/>
      <c r="UEI12" s="114"/>
      <c r="UEJ12" s="114"/>
      <c r="UEK12" s="114"/>
      <c r="UEL12" s="114"/>
      <c r="UEM12" s="114"/>
      <c r="UEN12" s="114"/>
      <c r="UEO12" s="114"/>
      <c r="UEP12" s="114"/>
      <c r="UEQ12" s="114"/>
      <c r="UER12" s="114"/>
      <c r="UES12" s="114"/>
      <c r="UET12" s="114"/>
      <c r="UEU12" s="114"/>
      <c r="UEV12" s="114"/>
      <c r="UEW12" s="114"/>
      <c r="UEX12" s="114"/>
      <c r="UEY12" s="114"/>
      <c r="UEZ12" s="114"/>
      <c r="UFA12" s="114"/>
      <c r="UFB12" s="114"/>
      <c r="UFC12" s="114"/>
      <c r="UFD12" s="114"/>
      <c r="UFE12" s="114"/>
      <c r="UFF12" s="114"/>
      <c r="UFG12" s="114"/>
      <c r="UFH12" s="114"/>
      <c r="UFI12" s="114"/>
      <c r="UFJ12" s="114"/>
      <c r="UFK12" s="114"/>
      <c r="UFL12" s="114"/>
      <c r="UFM12" s="114"/>
      <c r="UFN12" s="114"/>
      <c r="UFO12" s="114"/>
      <c r="UFP12" s="114"/>
      <c r="UFQ12" s="114"/>
      <c r="UFR12" s="114"/>
      <c r="UFS12" s="114"/>
      <c r="UFT12" s="114"/>
      <c r="UFU12" s="114"/>
      <c r="UFV12" s="114"/>
      <c r="UFW12" s="114"/>
      <c r="UFX12" s="114"/>
      <c r="UFY12" s="114"/>
      <c r="UFZ12" s="114"/>
      <c r="UGA12" s="114"/>
      <c r="UGB12" s="114"/>
      <c r="UGC12" s="114"/>
      <c r="UGD12" s="114"/>
      <c r="UGE12" s="114"/>
      <c r="UGF12" s="114"/>
      <c r="UGG12" s="114"/>
      <c r="UGH12" s="114"/>
      <c r="UGI12" s="114"/>
      <c r="UGJ12" s="114"/>
      <c r="UGK12" s="114"/>
      <c r="UGL12" s="114"/>
      <c r="UGM12" s="114"/>
      <c r="UGN12" s="114"/>
      <c r="UGO12" s="114"/>
      <c r="UGP12" s="114"/>
      <c r="UGQ12" s="114"/>
      <c r="UGR12" s="114"/>
      <c r="UGS12" s="114"/>
      <c r="UGT12" s="114"/>
      <c r="UGU12" s="114"/>
      <c r="UGV12" s="114"/>
      <c r="UGW12" s="114"/>
      <c r="UGX12" s="114"/>
      <c r="UGY12" s="114"/>
      <c r="UGZ12" s="114"/>
      <c r="UHA12" s="114"/>
      <c r="UHB12" s="114"/>
      <c r="UHC12" s="114"/>
      <c r="UHD12" s="114"/>
      <c r="UHE12" s="114"/>
      <c r="UHF12" s="114"/>
      <c r="UHG12" s="114"/>
      <c r="UHH12" s="114"/>
      <c r="UHI12" s="114"/>
      <c r="UHJ12" s="114"/>
      <c r="UHK12" s="114"/>
      <c r="UHL12" s="114"/>
      <c r="UHM12" s="114"/>
      <c r="UHN12" s="114"/>
      <c r="UHO12" s="114"/>
      <c r="UHP12" s="114"/>
      <c r="UHQ12" s="114"/>
      <c r="UHR12" s="114"/>
      <c r="UHS12" s="114"/>
      <c r="UHT12" s="114"/>
      <c r="UHU12" s="114"/>
      <c r="UHV12" s="114"/>
      <c r="UHW12" s="114"/>
      <c r="UHX12" s="114"/>
      <c r="UHY12" s="114"/>
      <c r="UHZ12" s="114"/>
      <c r="UIA12" s="114"/>
      <c r="UIB12" s="114"/>
      <c r="UIC12" s="114"/>
      <c r="UID12" s="114"/>
      <c r="UIE12" s="114"/>
      <c r="UIF12" s="114"/>
      <c r="UIG12" s="114"/>
      <c r="UIH12" s="114"/>
      <c r="UII12" s="114"/>
      <c r="UIJ12" s="114"/>
      <c r="UIK12" s="114"/>
      <c r="UIL12" s="114"/>
      <c r="UIM12" s="114"/>
      <c r="UIN12" s="114"/>
      <c r="UIO12" s="114"/>
      <c r="UIP12" s="114"/>
      <c r="UIQ12" s="114"/>
      <c r="UIR12" s="114"/>
      <c r="UIS12" s="114"/>
      <c r="UIT12" s="114"/>
      <c r="UIU12" s="114"/>
      <c r="UIV12" s="114"/>
      <c r="UIW12" s="114"/>
      <c r="UIX12" s="114"/>
      <c r="UIY12" s="114"/>
      <c r="UIZ12" s="114"/>
      <c r="UJA12" s="114"/>
      <c r="UJB12" s="114"/>
      <c r="UJC12" s="114"/>
      <c r="UJD12" s="114"/>
      <c r="UJE12" s="114"/>
      <c r="UJF12" s="114"/>
      <c r="UJG12" s="114"/>
      <c r="UJH12" s="114"/>
      <c r="UJI12" s="114"/>
      <c r="UJJ12" s="114"/>
      <c r="UJK12" s="114"/>
      <c r="UJL12" s="114"/>
      <c r="UJM12" s="114"/>
      <c r="UJN12" s="114"/>
      <c r="UJO12" s="114"/>
      <c r="UJP12" s="114"/>
      <c r="UJQ12" s="114"/>
      <c r="UJR12" s="114"/>
      <c r="UJS12" s="114"/>
      <c r="UJT12" s="114"/>
      <c r="UJU12" s="114"/>
      <c r="UJV12" s="114"/>
      <c r="UJW12" s="114"/>
      <c r="UJX12" s="114"/>
      <c r="UJY12" s="114"/>
      <c r="UJZ12" s="114"/>
      <c r="UKA12" s="114"/>
      <c r="UKB12" s="114"/>
      <c r="UKC12" s="114"/>
      <c r="UKD12" s="114"/>
      <c r="UKE12" s="114"/>
      <c r="UKF12" s="114"/>
      <c r="UKG12" s="114"/>
      <c r="UKH12" s="114"/>
      <c r="UKI12" s="114"/>
      <c r="UKJ12" s="114"/>
      <c r="UKK12" s="114"/>
      <c r="UKL12" s="114"/>
      <c r="UKM12" s="114"/>
      <c r="UKN12" s="114"/>
      <c r="UKO12" s="114"/>
      <c r="UKP12" s="114"/>
      <c r="UKQ12" s="114"/>
      <c r="UKR12" s="114"/>
      <c r="UKS12" s="114"/>
      <c r="UKT12" s="114"/>
      <c r="UKU12" s="114"/>
      <c r="UKV12" s="114"/>
      <c r="UKW12" s="114"/>
      <c r="UKX12" s="114"/>
      <c r="UKY12" s="114"/>
      <c r="UKZ12" s="114"/>
      <c r="ULA12" s="114"/>
      <c r="ULB12" s="114"/>
      <c r="ULC12" s="114"/>
      <c r="ULD12" s="114"/>
      <c r="ULE12" s="114"/>
      <c r="ULF12" s="114"/>
      <c r="ULG12" s="114"/>
      <c r="ULH12" s="114"/>
      <c r="ULI12" s="114"/>
      <c r="ULJ12" s="114"/>
      <c r="ULK12" s="114"/>
      <c r="ULL12" s="114"/>
      <c r="ULM12" s="114"/>
      <c r="ULN12" s="114"/>
      <c r="ULO12" s="114"/>
      <c r="ULP12" s="114"/>
      <c r="ULQ12" s="114"/>
      <c r="ULR12" s="114"/>
      <c r="ULS12" s="114"/>
      <c r="ULT12" s="114"/>
      <c r="ULU12" s="114"/>
      <c r="ULV12" s="114"/>
      <c r="ULW12" s="114"/>
      <c r="ULX12" s="114"/>
      <c r="ULY12" s="114"/>
      <c r="ULZ12" s="114"/>
      <c r="UMA12" s="114"/>
      <c r="UMB12" s="114"/>
      <c r="UMC12" s="114"/>
      <c r="UMD12" s="114"/>
      <c r="UME12" s="114"/>
      <c r="UMF12" s="114"/>
      <c r="UMG12" s="114"/>
      <c r="UMH12" s="114"/>
      <c r="UMI12" s="114"/>
      <c r="UMJ12" s="114"/>
      <c r="UMK12" s="114"/>
      <c r="UML12" s="114"/>
      <c r="UMM12" s="114"/>
      <c r="UMN12" s="114"/>
      <c r="UMO12" s="114"/>
      <c r="UMP12" s="114"/>
      <c r="UMQ12" s="114"/>
      <c r="UMR12" s="114"/>
      <c r="UMS12" s="114"/>
      <c r="UMT12" s="114"/>
      <c r="UMU12" s="114"/>
      <c r="UMV12" s="114"/>
      <c r="UMW12" s="114"/>
      <c r="UMX12" s="114"/>
      <c r="UMY12" s="114"/>
      <c r="UMZ12" s="114"/>
      <c r="UNA12" s="114"/>
      <c r="UNB12" s="114"/>
      <c r="UNC12" s="114"/>
      <c r="UND12" s="114"/>
      <c r="UNE12" s="114"/>
      <c r="UNF12" s="114"/>
      <c r="UNG12" s="114"/>
      <c r="UNH12" s="114"/>
      <c r="UNI12" s="114"/>
      <c r="UNJ12" s="114"/>
      <c r="UNK12" s="114"/>
      <c r="UNL12" s="114"/>
      <c r="UNM12" s="114"/>
      <c r="UNN12" s="114"/>
      <c r="UNO12" s="114"/>
      <c r="UNP12" s="114"/>
      <c r="UNQ12" s="114"/>
      <c r="UNR12" s="114"/>
      <c r="UNS12" s="114"/>
      <c r="UNT12" s="114"/>
      <c r="UNU12" s="114"/>
      <c r="UNV12" s="114"/>
      <c r="UNW12" s="114"/>
      <c r="UNX12" s="114"/>
      <c r="UNY12" s="114"/>
      <c r="UNZ12" s="114"/>
      <c r="UOA12" s="114"/>
      <c r="UOB12" s="114"/>
      <c r="UOC12" s="114"/>
      <c r="UOD12" s="114"/>
      <c r="UOE12" s="114"/>
      <c r="UOF12" s="114"/>
      <c r="UOG12" s="114"/>
      <c r="UOH12" s="114"/>
      <c r="UOI12" s="114"/>
      <c r="UOJ12" s="114"/>
      <c r="UOK12" s="114"/>
      <c r="UOL12" s="114"/>
      <c r="UOM12" s="114"/>
      <c r="UON12" s="114"/>
      <c r="UOO12" s="114"/>
      <c r="UOP12" s="114"/>
      <c r="UOQ12" s="114"/>
      <c r="UOR12" s="114"/>
      <c r="UOS12" s="114"/>
      <c r="UOT12" s="114"/>
      <c r="UOU12" s="114"/>
      <c r="UOV12" s="114"/>
      <c r="UOW12" s="114"/>
      <c r="UOX12" s="114"/>
      <c r="UOY12" s="114"/>
      <c r="UOZ12" s="114"/>
      <c r="UPA12" s="114"/>
      <c r="UPB12" s="114"/>
      <c r="UPC12" s="114"/>
      <c r="UPD12" s="114"/>
      <c r="UPE12" s="114"/>
      <c r="UPF12" s="114"/>
      <c r="UPG12" s="114"/>
      <c r="UPH12" s="114"/>
      <c r="UPI12" s="114"/>
      <c r="UPJ12" s="114"/>
      <c r="UPK12" s="114"/>
      <c r="UPL12" s="114"/>
      <c r="UPM12" s="114"/>
      <c r="UPN12" s="114"/>
      <c r="UPO12" s="114"/>
      <c r="UPP12" s="114"/>
      <c r="UPQ12" s="114"/>
      <c r="UPR12" s="114"/>
      <c r="UPS12" s="114"/>
      <c r="UPT12" s="114"/>
      <c r="UPU12" s="114"/>
      <c r="UPV12" s="114"/>
      <c r="UPW12" s="114"/>
      <c r="UPX12" s="114"/>
      <c r="UPY12" s="114"/>
      <c r="UPZ12" s="114"/>
      <c r="UQA12" s="114"/>
      <c r="UQB12" s="114"/>
      <c r="UQC12" s="114"/>
      <c r="UQD12" s="114"/>
      <c r="UQE12" s="114"/>
      <c r="UQF12" s="114"/>
      <c r="UQG12" s="114"/>
      <c r="UQH12" s="114"/>
      <c r="UQI12" s="114"/>
      <c r="UQJ12" s="114"/>
      <c r="UQK12" s="114"/>
      <c r="UQL12" s="114"/>
      <c r="UQM12" s="114"/>
      <c r="UQN12" s="114"/>
      <c r="UQO12" s="114"/>
      <c r="UQP12" s="114"/>
      <c r="UQQ12" s="114"/>
      <c r="UQR12" s="114"/>
      <c r="UQS12" s="114"/>
      <c r="UQT12" s="114"/>
      <c r="UQU12" s="114"/>
      <c r="UQV12" s="114"/>
      <c r="UQW12" s="114"/>
      <c r="UQX12" s="114"/>
      <c r="UQY12" s="114"/>
      <c r="UQZ12" s="114"/>
      <c r="URA12" s="114"/>
      <c r="URB12" s="114"/>
      <c r="URC12" s="114"/>
      <c r="URD12" s="114"/>
      <c r="URE12" s="114"/>
      <c r="URF12" s="114"/>
      <c r="URG12" s="114"/>
      <c r="URH12" s="114"/>
      <c r="URI12" s="114"/>
      <c r="URJ12" s="114"/>
      <c r="URK12" s="114"/>
      <c r="URL12" s="114"/>
      <c r="URM12" s="114"/>
      <c r="URN12" s="114"/>
      <c r="URO12" s="114"/>
      <c r="URP12" s="114"/>
      <c r="URQ12" s="114"/>
      <c r="URR12" s="114"/>
      <c r="URS12" s="114"/>
      <c r="URT12" s="114"/>
      <c r="URU12" s="114"/>
      <c r="URV12" s="114"/>
      <c r="URW12" s="114"/>
      <c r="URX12" s="114"/>
      <c r="URY12" s="114"/>
      <c r="URZ12" s="114"/>
      <c r="USA12" s="114"/>
      <c r="USB12" s="114"/>
      <c r="USC12" s="114"/>
      <c r="USD12" s="114"/>
      <c r="USE12" s="114"/>
      <c r="USF12" s="114"/>
      <c r="USG12" s="114"/>
      <c r="USH12" s="114"/>
      <c r="USI12" s="114"/>
      <c r="USJ12" s="114"/>
      <c r="USK12" s="114"/>
      <c r="USL12" s="114"/>
      <c r="USM12" s="114"/>
      <c r="USN12" s="114"/>
      <c r="USO12" s="114"/>
      <c r="USP12" s="114"/>
      <c r="USQ12" s="114"/>
      <c r="USR12" s="114"/>
      <c r="USS12" s="114"/>
      <c r="UST12" s="114"/>
      <c r="USU12" s="114"/>
      <c r="USV12" s="114"/>
      <c r="USW12" s="114"/>
      <c r="USX12" s="114"/>
      <c r="USY12" s="114"/>
      <c r="USZ12" s="114"/>
      <c r="UTA12" s="114"/>
      <c r="UTB12" s="114"/>
      <c r="UTC12" s="114"/>
      <c r="UTD12" s="114"/>
      <c r="UTE12" s="114"/>
      <c r="UTF12" s="114"/>
      <c r="UTG12" s="114"/>
      <c r="UTH12" s="114"/>
      <c r="UTI12" s="114"/>
      <c r="UTJ12" s="114"/>
      <c r="UTK12" s="114"/>
      <c r="UTL12" s="114"/>
      <c r="UTM12" s="114"/>
      <c r="UTN12" s="114"/>
      <c r="UTO12" s="114"/>
      <c r="UTP12" s="114"/>
      <c r="UTQ12" s="114"/>
      <c r="UTR12" s="114"/>
      <c r="UTS12" s="114"/>
      <c r="UTT12" s="114"/>
      <c r="UTU12" s="114"/>
      <c r="UTV12" s="114"/>
      <c r="UTW12" s="114"/>
      <c r="UTX12" s="114"/>
      <c r="UTY12" s="114"/>
      <c r="UTZ12" s="114"/>
      <c r="UUA12" s="114"/>
      <c r="UUB12" s="114"/>
      <c r="UUC12" s="114"/>
      <c r="UUD12" s="114"/>
      <c r="UUE12" s="114"/>
      <c r="UUF12" s="114"/>
      <c r="UUG12" s="114"/>
      <c r="UUH12" s="114"/>
      <c r="UUI12" s="114"/>
      <c r="UUJ12" s="114"/>
      <c r="UUK12" s="114"/>
      <c r="UUL12" s="114"/>
      <c r="UUM12" s="114"/>
      <c r="UUN12" s="114"/>
      <c r="UUO12" s="114"/>
      <c r="UUP12" s="114"/>
      <c r="UUQ12" s="114"/>
      <c r="UUR12" s="114"/>
      <c r="UUS12" s="114"/>
      <c r="UUT12" s="114"/>
      <c r="UUU12" s="114"/>
      <c r="UUV12" s="114"/>
      <c r="UUW12" s="114"/>
      <c r="UUX12" s="114"/>
      <c r="UUY12" s="114"/>
      <c r="UUZ12" s="114"/>
      <c r="UVA12" s="114"/>
      <c r="UVB12" s="114"/>
      <c r="UVC12" s="114"/>
      <c r="UVD12" s="114"/>
      <c r="UVE12" s="114"/>
      <c r="UVF12" s="114"/>
      <c r="UVG12" s="114"/>
      <c r="UVH12" s="114"/>
      <c r="UVI12" s="114"/>
      <c r="UVJ12" s="114"/>
      <c r="UVK12" s="114"/>
      <c r="UVL12" s="114"/>
      <c r="UVM12" s="114"/>
      <c r="UVN12" s="114"/>
      <c r="UVO12" s="114"/>
      <c r="UVP12" s="114"/>
      <c r="UVQ12" s="114"/>
      <c r="UVR12" s="114"/>
      <c r="UVS12" s="114"/>
      <c r="UVT12" s="114"/>
      <c r="UVU12" s="114"/>
      <c r="UVV12" s="114"/>
      <c r="UVW12" s="114"/>
      <c r="UVX12" s="114"/>
      <c r="UVY12" s="114"/>
      <c r="UVZ12" s="114"/>
      <c r="UWA12" s="114"/>
      <c r="UWB12" s="114"/>
      <c r="UWC12" s="114"/>
      <c r="UWD12" s="114"/>
      <c r="UWE12" s="114"/>
      <c r="UWF12" s="114"/>
      <c r="UWG12" s="114"/>
      <c r="UWH12" s="114"/>
      <c r="UWI12" s="114"/>
      <c r="UWJ12" s="114"/>
      <c r="UWK12" s="114"/>
      <c r="UWL12" s="114"/>
      <c r="UWM12" s="114"/>
      <c r="UWN12" s="114"/>
      <c r="UWO12" s="114"/>
      <c r="UWP12" s="114"/>
      <c r="UWQ12" s="114"/>
      <c r="UWR12" s="114"/>
      <c r="UWS12" s="114"/>
      <c r="UWT12" s="114"/>
      <c r="UWU12" s="114"/>
      <c r="UWV12" s="114"/>
      <c r="UWW12" s="114"/>
      <c r="UWX12" s="114"/>
      <c r="UWY12" s="114"/>
      <c r="UWZ12" s="114"/>
      <c r="UXA12" s="114"/>
      <c r="UXB12" s="114"/>
      <c r="UXC12" s="114"/>
      <c r="UXD12" s="114"/>
      <c r="UXE12" s="114"/>
      <c r="UXF12" s="114"/>
      <c r="UXG12" s="114"/>
      <c r="UXH12" s="114"/>
      <c r="UXI12" s="114"/>
      <c r="UXJ12" s="114"/>
      <c r="UXK12" s="114"/>
      <c r="UXL12" s="114"/>
      <c r="UXM12" s="114"/>
      <c r="UXN12" s="114"/>
      <c r="UXO12" s="114"/>
      <c r="UXP12" s="114"/>
      <c r="UXQ12" s="114"/>
      <c r="UXR12" s="114"/>
      <c r="UXS12" s="114"/>
      <c r="UXT12" s="114"/>
      <c r="UXU12" s="114"/>
      <c r="UXV12" s="114"/>
      <c r="UXW12" s="114"/>
      <c r="UXX12" s="114"/>
      <c r="UXY12" s="114"/>
      <c r="UXZ12" s="114"/>
      <c r="UYA12" s="114"/>
      <c r="UYB12" s="114"/>
      <c r="UYC12" s="114"/>
      <c r="UYD12" s="114"/>
      <c r="UYE12" s="114"/>
      <c r="UYF12" s="114"/>
      <c r="UYG12" s="114"/>
      <c r="UYH12" s="114"/>
      <c r="UYI12" s="114"/>
      <c r="UYJ12" s="114"/>
      <c r="UYK12" s="114"/>
      <c r="UYL12" s="114"/>
      <c r="UYM12" s="114"/>
      <c r="UYN12" s="114"/>
      <c r="UYO12" s="114"/>
      <c r="UYP12" s="114"/>
      <c r="UYQ12" s="114"/>
      <c r="UYR12" s="114"/>
      <c r="UYS12" s="114"/>
      <c r="UYT12" s="114"/>
      <c r="UYU12" s="114"/>
      <c r="UYV12" s="114"/>
      <c r="UYW12" s="114"/>
      <c r="UYX12" s="114"/>
      <c r="UYY12" s="114"/>
      <c r="UYZ12" s="114"/>
      <c r="UZA12" s="114"/>
      <c r="UZB12" s="114"/>
      <c r="UZC12" s="114"/>
      <c r="UZD12" s="114"/>
      <c r="UZE12" s="114"/>
      <c r="UZF12" s="114"/>
      <c r="UZG12" s="114"/>
      <c r="UZH12" s="114"/>
      <c r="UZI12" s="114"/>
      <c r="UZJ12" s="114"/>
      <c r="UZK12" s="114"/>
      <c r="UZL12" s="114"/>
      <c r="UZM12" s="114"/>
      <c r="UZN12" s="114"/>
      <c r="UZO12" s="114"/>
      <c r="UZP12" s="114"/>
      <c r="UZQ12" s="114"/>
      <c r="UZR12" s="114"/>
      <c r="UZS12" s="114"/>
      <c r="UZT12" s="114"/>
      <c r="UZU12" s="114"/>
      <c r="UZV12" s="114"/>
      <c r="UZW12" s="114"/>
      <c r="UZX12" s="114"/>
      <c r="UZY12" s="114"/>
      <c r="UZZ12" s="114"/>
      <c r="VAA12" s="114"/>
      <c r="VAB12" s="114"/>
      <c r="VAC12" s="114"/>
      <c r="VAD12" s="114"/>
      <c r="VAE12" s="114"/>
      <c r="VAF12" s="114"/>
      <c r="VAG12" s="114"/>
      <c r="VAH12" s="114"/>
      <c r="VAI12" s="114"/>
      <c r="VAJ12" s="114"/>
      <c r="VAK12" s="114"/>
      <c r="VAL12" s="114"/>
      <c r="VAM12" s="114"/>
      <c r="VAN12" s="114"/>
      <c r="VAO12" s="114"/>
      <c r="VAP12" s="114"/>
      <c r="VAQ12" s="114"/>
      <c r="VAR12" s="114"/>
      <c r="VAS12" s="114"/>
      <c r="VAT12" s="114"/>
      <c r="VAU12" s="114"/>
      <c r="VAV12" s="114"/>
      <c r="VAW12" s="114"/>
      <c r="VAX12" s="114"/>
      <c r="VAY12" s="114"/>
      <c r="VAZ12" s="114"/>
      <c r="VBA12" s="114"/>
      <c r="VBB12" s="114"/>
      <c r="VBC12" s="114"/>
      <c r="VBD12" s="114"/>
      <c r="VBE12" s="114"/>
      <c r="VBF12" s="114"/>
      <c r="VBG12" s="114"/>
      <c r="VBH12" s="114"/>
      <c r="VBI12" s="114"/>
      <c r="VBJ12" s="114"/>
      <c r="VBK12" s="114"/>
      <c r="VBL12" s="114"/>
      <c r="VBM12" s="114"/>
      <c r="VBN12" s="114"/>
      <c r="VBO12" s="114"/>
      <c r="VBP12" s="114"/>
      <c r="VBQ12" s="114"/>
      <c r="VBR12" s="114"/>
      <c r="VBS12" s="114"/>
      <c r="VBT12" s="114"/>
      <c r="VBU12" s="114"/>
      <c r="VBV12" s="114"/>
      <c r="VBW12" s="114"/>
      <c r="VBX12" s="114"/>
      <c r="VBY12" s="114"/>
      <c r="VBZ12" s="114"/>
      <c r="VCA12" s="114"/>
      <c r="VCB12" s="114"/>
      <c r="VCC12" s="114"/>
      <c r="VCD12" s="114"/>
      <c r="VCE12" s="114"/>
      <c r="VCF12" s="114"/>
      <c r="VCG12" s="114"/>
      <c r="VCH12" s="114"/>
      <c r="VCI12" s="114"/>
      <c r="VCJ12" s="114"/>
      <c r="VCK12" s="114"/>
      <c r="VCL12" s="114"/>
      <c r="VCM12" s="114"/>
      <c r="VCN12" s="114"/>
      <c r="VCO12" s="114"/>
      <c r="VCP12" s="114"/>
      <c r="VCQ12" s="114"/>
      <c r="VCR12" s="114"/>
      <c r="VCS12" s="114"/>
      <c r="VCT12" s="114"/>
      <c r="VCU12" s="114"/>
      <c r="VCV12" s="114"/>
      <c r="VCW12" s="114"/>
      <c r="VCX12" s="114"/>
      <c r="VCY12" s="114"/>
      <c r="VCZ12" s="114"/>
      <c r="VDA12" s="114"/>
      <c r="VDB12" s="114"/>
      <c r="VDC12" s="114"/>
      <c r="VDD12" s="114"/>
      <c r="VDE12" s="114"/>
      <c r="VDF12" s="114"/>
      <c r="VDG12" s="114"/>
      <c r="VDH12" s="114"/>
      <c r="VDI12" s="114"/>
      <c r="VDJ12" s="114"/>
      <c r="VDK12" s="114"/>
      <c r="VDL12" s="114"/>
      <c r="VDM12" s="114"/>
      <c r="VDN12" s="114"/>
      <c r="VDO12" s="114"/>
      <c r="VDP12" s="114"/>
      <c r="VDQ12" s="114"/>
      <c r="VDR12" s="114"/>
      <c r="VDS12" s="114"/>
      <c r="VDT12" s="114"/>
      <c r="VDU12" s="114"/>
      <c r="VDV12" s="114"/>
      <c r="VDW12" s="114"/>
      <c r="VDX12" s="114"/>
      <c r="VDY12" s="114"/>
      <c r="VDZ12" s="114"/>
      <c r="VEA12" s="114"/>
      <c r="VEB12" s="114"/>
      <c r="VEC12" s="114"/>
      <c r="VED12" s="114"/>
      <c r="VEE12" s="114"/>
      <c r="VEF12" s="114"/>
      <c r="VEG12" s="114"/>
      <c r="VEH12" s="114"/>
      <c r="VEI12" s="114"/>
      <c r="VEJ12" s="114"/>
      <c r="VEK12" s="114"/>
      <c r="VEL12" s="114"/>
      <c r="VEM12" s="114"/>
      <c r="VEN12" s="114"/>
      <c r="VEO12" s="114"/>
      <c r="VEP12" s="114"/>
      <c r="VEQ12" s="114"/>
      <c r="VER12" s="114"/>
      <c r="VES12" s="114"/>
      <c r="VET12" s="114"/>
      <c r="VEU12" s="114"/>
      <c r="VEV12" s="114"/>
      <c r="VEW12" s="114"/>
      <c r="VEX12" s="114"/>
      <c r="VEY12" s="114"/>
      <c r="VEZ12" s="114"/>
      <c r="VFA12" s="114"/>
      <c r="VFB12" s="114"/>
      <c r="VFC12" s="114"/>
      <c r="VFD12" s="114"/>
      <c r="VFE12" s="114"/>
      <c r="VFF12" s="114"/>
      <c r="VFG12" s="114"/>
      <c r="VFH12" s="114"/>
      <c r="VFI12" s="114"/>
      <c r="VFJ12" s="114"/>
      <c r="VFK12" s="114"/>
      <c r="VFL12" s="114"/>
      <c r="VFM12" s="114"/>
      <c r="VFN12" s="114"/>
      <c r="VFO12" s="114"/>
      <c r="VFP12" s="114"/>
      <c r="VFQ12" s="114"/>
      <c r="VFR12" s="114"/>
      <c r="VFS12" s="114"/>
      <c r="VFT12" s="114"/>
      <c r="VFU12" s="114"/>
      <c r="VFV12" s="114"/>
      <c r="VFW12" s="114"/>
      <c r="VFX12" s="114"/>
      <c r="VFY12" s="114"/>
      <c r="VFZ12" s="114"/>
      <c r="VGA12" s="114"/>
      <c r="VGB12" s="114"/>
      <c r="VGC12" s="114"/>
      <c r="VGD12" s="114"/>
      <c r="VGE12" s="114"/>
      <c r="VGF12" s="114"/>
      <c r="VGG12" s="114"/>
      <c r="VGH12" s="114"/>
      <c r="VGI12" s="114"/>
      <c r="VGJ12" s="114"/>
      <c r="VGK12" s="114"/>
      <c r="VGL12" s="114"/>
      <c r="VGM12" s="114"/>
      <c r="VGN12" s="114"/>
      <c r="VGO12" s="114"/>
      <c r="VGP12" s="114"/>
      <c r="VGQ12" s="114"/>
      <c r="VGR12" s="114"/>
      <c r="VGS12" s="114"/>
      <c r="VGT12" s="114"/>
      <c r="VGU12" s="114"/>
      <c r="VGV12" s="114"/>
      <c r="VGW12" s="114"/>
      <c r="VGX12" s="114"/>
      <c r="VGY12" s="114"/>
      <c r="VGZ12" s="114"/>
      <c r="VHA12" s="114"/>
      <c r="VHB12" s="114"/>
      <c r="VHC12" s="114"/>
      <c r="VHD12" s="114"/>
      <c r="VHE12" s="114"/>
      <c r="VHF12" s="114"/>
      <c r="VHG12" s="114"/>
      <c r="VHH12" s="114"/>
      <c r="VHI12" s="114"/>
      <c r="VHJ12" s="114"/>
      <c r="VHK12" s="114"/>
      <c r="VHL12" s="114"/>
      <c r="VHM12" s="114"/>
      <c r="VHN12" s="114"/>
      <c r="VHO12" s="114"/>
      <c r="VHP12" s="114"/>
      <c r="VHQ12" s="114"/>
      <c r="VHR12" s="114"/>
      <c r="VHS12" s="114"/>
      <c r="VHT12" s="114"/>
      <c r="VHU12" s="114"/>
      <c r="VHV12" s="114"/>
      <c r="VHW12" s="114"/>
      <c r="VHX12" s="114"/>
      <c r="VHY12" s="114"/>
      <c r="VHZ12" s="114"/>
      <c r="VIA12" s="114"/>
      <c r="VIB12" s="114"/>
      <c r="VIC12" s="114"/>
      <c r="VID12" s="114"/>
      <c r="VIE12" s="114"/>
      <c r="VIF12" s="114"/>
      <c r="VIG12" s="114"/>
      <c r="VIH12" s="114"/>
      <c r="VII12" s="114"/>
      <c r="VIJ12" s="114"/>
      <c r="VIK12" s="114"/>
      <c r="VIL12" s="114"/>
      <c r="VIM12" s="114"/>
      <c r="VIN12" s="114"/>
      <c r="VIO12" s="114"/>
      <c r="VIP12" s="114"/>
      <c r="VIQ12" s="114"/>
      <c r="VIR12" s="114"/>
      <c r="VIS12" s="114"/>
      <c r="VIT12" s="114"/>
      <c r="VIU12" s="114"/>
      <c r="VIV12" s="114"/>
      <c r="VIW12" s="114"/>
      <c r="VIX12" s="114"/>
      <c r="VIY12" s="114"/>
      <c r="VIZ12" s="114"/>
      <c r="VJA12" s="114"/>
      <c r="VJB12" s="114"/>
      <c r="VJC12" s="114"/>
      <c r="VJD12" s="114"/>
      <c r="VJE12" s="114"/>
      <c r="VJF12" s="114"/>
      <c r="VJG12" s="114"/>
      <c r="VJH12" s="114"/>
      <c r="VJI12" s="114"/>
      <c r="VJJ12" s="114"/>
      <c r="VJK12" s="114"/>
      <c r="VJL12" s="114"/>
      <c r="VJM12" s="114"/>
      <c r="VJN12" s="114"/>
      <c r="VJO12" s="114"/>
      <c r="VJP12" s="114"/>
      <c r="VJQ12" s="114"/>
      <c r="VJR12" s="114"/>
      <c r="VJS12" s="114"/>
      <c r="VJT12" s="114"/>
      <c r="VJU12" s="114"/>
      <c r="VJV12" s="114"/>
      <c r="VJW12" s="114"/>
      <c r="VJX12" s="114"/>
      <c r="VJY12" s="114"/>
      <c r="VJZ12" s="114"/>
      <c r="VKA12" s="114"/>
      <c r="VKB12" s="114"/>
      <c r="VKC12" s="114"/>
      <c r="VKD12" s="114"/>
      <c r="VKE12" s="114"/>
      <c r="VKF12" s="114"/>
      <c r="VKG12" s="114"/>
      <c r="VKH12" s="114"/>
      <c r="VKI12" s="114"/>
      <c r="VKJ12" s="114"/>
      <c r="VKK12" s="114"/>
      <c r="VKL12" s="114"/>
      <c r="VKM12" s="114"/>
      <c r="VKN12" s="114"/>
      <c r="VKO12" s="114"/>
      <c r="VKP12" s="114"/>
      <c r="VKQ12" s="114"/>
      <c r="VKR12" s="114"/>
      <c r="VKS12" s="114"/>
      <c r="VKT12" s="114"/>
      <c r="VKU12" s="114"/>
      <c r="VKV12" s="114"/>
      <c r="VKW12" s="114"/>
      <c r="VKX12" s="114"/>
      <c r="VKY12" s="114"/>
      <c r="VKZ12" s="114"/>
      <c r="VLA12" s="114"/>
      <c r="VLB12" s="114"/>
      <c r="VLC12" s="114"/>
      <c r="VLD12" s="114"/>
      <c r="VLE12" s="114"/>
      <c r="VLF12" s="114"/>
      <c r="VLG12" s="114"/>
      <c r="VLH12" s="114"/>
      <c r="VLI12" s="114"/>
      <c r="VLJ12" s="114"/>
      <c r="VLK12" s="114"/>
      <c r="VLL12" s="114"/>
      <c r="VLM12" s="114"/>
      <c r="VLN12" s="114"/>
      <c r="VLO12" s="114"/>
      <c r="VLP12" s="114"/>
      <c r="VLQ12" s="114"/>
      <c r="VLR12" s="114"/>
      <c r="VLS12" s="114"/>
      <c r="VLT12" s="114"/>
      <c r="VLU12" s="114"/>
      <c r="VLV12" s="114"/>
      <c r="VLW12" s="114"/>
      <c r="VLX12" s="114"/>
      <c r="VLY12" s="114"/>
      <c r="VLZ12" s="114"/>
      <c r="VMA12" s="114"/>
      <c r="VMB12" s="114"/>
      <c r="VMC12" s="114"/>
      <c r="VMD12" s="114"/>
      <c r="VME12" s="114"/>
      <c r="VMF12" s="114"/>
      <c r="VMG12" s="114"/>
      <c r="VMH12" s="114"/>
      <c r="VMI12" s="114"/>
      <c r="VMJ12" s="114"/>
      <c r="VMK12" s="114"/>
      <c r="VML12" s="114"/>
      <c r="VMM12" s="114"/>
      <c r="VMN12" s="114"/>
      <c r="VMO12" s="114"/>
      <c r="VMP12" s="114"/>
      <c r="VMQ12" s="114"/>
      <c r="VMR12" s="114"/>
      <c r="VMS12" s="114"/>
      <c r="VMT12" s="114"/>
      <c r="VMU12" s="114"/>
      <c r="VMV12" s="114"/>
      <c r="VMW12" s="114"/>
      <c r="VMX12" s="114"/>
      <c r="VMY12" s="114"/>
      <c r="VMZ12" s="114"/>
      <c r="VNA12" s="114"/>
      <c r="VNB12" s="114"/>
      <c r="VNC12" s="114"/>
      <c r="VND12" s="114"/>
      <c r="VNE12" s="114"/>
      <c r="VNF12" s="114"/>
      <c r="VNG12" s="114"/>
      <c r="VNH12" s="114"/>
      <c r="VNI12" s="114"/>
      <c r="VNJ12" s="114"/>
      <c r="VNK12" s="114"/>
      <c r="VNL12" s="114"/>
      <c r="VNM12" s="114"/>
      <c r="VNN12" s="114"/>
      <c r="VNO12" s="114"/>
      <c r="VNP12" s="114"/>
      <c r="VNQ12" s="114"/>
      <c r="VNR12" s="114"/>
      <c r="VNS12" s="114"/>
      <c r="VNT12" s="114"/>
      <c r="VNU12" s="114"/>
      <c r="VNV12" s="114"/>
      <c r="VNW12" s="114"/>
      <c r="VNX12" s="114"/>
      <c r="VNY12" s="114"/>
      <c r="VNZ12" s="114"/>
      <c r="VOA12" s="114"/>
      <c r="VOB12" s="114"/>
      <c r="VOC12" s="114"/>
      <c r="VOD12" s="114"/>
      <c r="VOE12" s="114"/>
      <c r="VOF12" s="114"/>
      <c r="VOG12" s="114"/>
      <c r="VOH12" s="114"/>
      <c r="VOI12" s="114"/>
      <c r="VOJ12" s="114"/>
      <c r="VOK12" s="114"/>
      <c r="VOL12" s="114"/>
      <c r="VOM12" s="114"/>
      <c r="VON12" s="114"/>
      <c r="VOO12" s="114"/>
      <c r="VOP12" s="114"/>
      <c r="VOQ12" s="114"/>
      <c r="VOR12" s="114"/>
      <c r="VOS12" s="114"/>
      <c r="VOT12" s="114"/>
      <c r="VOU12" s="114"/>
      <c r="VOV12" s="114"/>
      <c r="VOW12" s="114"/>
      <c r="VOX12" s="114"/>
      <c r="VOY12" s="114"/>
      <c r="VOZ12" s="114"/>
      <c r="VPA12" s="114"/>
      <c r="VPB12" s="114"/>
      <c r="VPC12" s="114"/>
      <c r="VPD12" s="114"/>
      <c r="VPE12" s="114"/>
      <c r="VPF12" s="114"/>
      <c r="VPG12" s="114"/>
      <c r="VPH12" s="114"/>
      <c r="VPI12" s="114"/>
      <c r="VPJ12" s="114"/>
      <c r="VPK12" s="114"/>
      <c r="VPL12" s="114"/>
      <c r="VPM12" s="114"/>
      <c r="VPN12" s="114"/>
      <c r="VPO12" s="114"/>
      <c r="VPP12" s="114"/>
      <c r="VPQ12" s="114"/>
      <c r="VPR12" s="114"/>
      <c r="VPS12" s="114"/>
      <c r="VPT12" s="114"/>
      <c r="VPU12" s="114"/>
      <c r="VPV12" s="114"/>
      <c r="VPW12" s="114"/>
      <c r="VPX12" s="114"/>
      <c r="VPY12" s="114"/>
      <c r="VPZ12" s="114"/>
      <c r="VQA12" s="114"/>
      <c r="VQB12" s="114"/>
      <c r="VQC12" s="114"/>
      <c r="VQD12" s="114"/>
      <c r="VQE12" s="114"/>
      <c r="VQF12" s="114"/>
      <c r="VQG12" s="114"/>
      <c r="VQH12" s="114"/>
      <c r="VQI12" s="114"/>
      <c r="VQJ12" s="114"/>
      <c r="VQK12" s="114"/>
      <c r="VQL12" s="114"/>
      <c r="VQM12" s="114"/>
      <c r="VQN12" s="114"/>
      <c r="VQO12" s="114"/>
      <c r="VQP12" s="114"/>
      <c r="VQQ12" s="114"/>
      <c r="VQR12" s="114"/>
      <c r="VQS12" s="114"/>
      <c r="VQT12" s="114"/>
      <c r="VQU12" s="114"/>
      <c r="VQV12" s="114"/>
      <c r="VQW12" s="114"/>
      <c r="VQX12" s="114"/>
      <c r="VQY12" s="114"/>
      <c r="VQZ12" s="114"/>
      <c r="VRA12" s="114"/>
      <c r="VRB12" s="114"/>
      <c r="VRC12" s="114"/>
      <c r="VRD12" s="114"/>
      <c r="VRE12" s="114"/>
      <c r="VRF12" s="114"/>
      <c r="VRG12" s="114"/>
      <c r="VRH12" s="114"/>
      <c r="VRI12" s="114"/>
      <c r="VRJ12" s="114"/>
      <c r="VRK12" s="114"/>
      <c r="VRL12" s="114"/>
      <c r="VRM12" s="114"/>
      <c r="VRN12" s="114"/>
      <c r="VRO12" s="114"/>
      <c r="VRP12" s="114"/>
      <c r="VRQ12" s="114"/>
      <c r="VRR12" s="114"/>
      <c r="VRS12" s="114"/>
      <c r="VRT12" s="114"/>
      <c r="VRU12" s="114"/>
      <c r="VRV12" s="114"/>
      <c r="VRW12" s="114"/>
      <c r="VRX12" s="114"/>
      <c r="VRY12" s="114"/>
      <c r="VRZ12" s="114"/>
      <c r="VSA12" s="114"/>
      <c r="VSB12" s="114"/>
      <c r="VSC12" s="114"/>
      <c r="VSD12" s="114"/>
      <c r="VSE12" s="114"/>
      <c r="VSF12" s="114"/>
      <c r="VSG12" s="114"/>
      <c r="VSH12" s="114"/>
      <c r="VSI12" s="114"/>
      <c r="VSJ12" s="114"/>
      <c r="VSK12" s="114"/>
      <c r="VSL12" s="114"/>
      <c r="VSM12" s="114"/>
      <c r="VSN12" s="114"/>
      <c r="VSO12" s="114"/>
      <c r="VSP12" s="114"/>
      <c r="VSQ12" s="114"/>
      <c r="VSR12" s="114"/>
      <c r="VSS12" s="114"/>
      <c r="VST12" s="114"/>
      <c r="VSU12" s="114"/>
      <c r="VSV12" s="114"/>
      <c r="VSW12" s="114"/>
      <c r="VSX12" s="114"/>
      <c r="VSY12" s="114"/>
      <c r="VSZ12" s="114"/>
      <c r="VTA12" s="114"/>
      <c r="VTB12" s="114"/>
      <c r="VTC12" s="114"/>
      <c r="VTD12" s="114"/>
      <c r="VTE12" s="114"/>
      <c r="VTF12" s="114"/>
      <c r="VTG12" s="114"/>
      <c r="VTH12" s="114"/>
      <c r="VTI12" s="114"/>
      <c r="VTJ12" s="114"/>
      <c r="VTK12" s="114"/>
      <c r="VTL12" s="114"/>
      <c r="VTM12" s="114"/>
      <c r="VTN12" s="114"/>
      <c r="VTO12" s="114"/>
      <c r="VTP12" s="114"/>
      <c r="VTQ12" s="114"/>
      <c r="VTR12" s="114"/>
      <c r="VTS12" s="114"/>
      <c r="VTT12" s="114"/>
      <c r="VTU12" s="114"/>
      <c r="VTV12" s="114"/>
      <c r="VTW12" s="114"/>
      <c r="VTX12" s="114"/>
      <c r="VTY12" s="114"/>
      <c r="VTZ12" s="114"/>
      <c r="VUA12" s="114"/>
      <c r="VUB12" s="114"/>
      <c r="VUC12" s="114"/>
      <c r="VUD12" s="114"/>
      <c r="VUE12" s="114"/>
      <c r="VUF12" s="114"/>
      <c r="VUG12" s="114"/>
      <c r="VUH12" s="114"/>
      <c r="VUI12" s="114"/>
      <c r="VUJ12" s="114"/>
      <c r="VUK12" s="114"/>
      <c r="VUL12" s="114"/>
      <c r="VUM12" s="114"/>
      <c r="VUN12" s="114"/>
      <c r="VUO12" s="114"/>
      <c r="VUP12" s="114"/>
      <c r="VUQ12" s="114"/>
      <c r="VUR12" s="114"/>
      <c r="VUS12" s="114"/>
      <c r="VUT12" s="114"/>
      <c r="VUU12" s="114"/>
      <c r="VUV12" s="114"/>
      <c r="VUW12" s="114"/>
      <c r="VUX12" s="114"/>
      <c r="VUY12" s="114"/>
      <c r="VUZ12" s="114"/>
      <c r="VVA12" s="114"/>
      <c r="VVB12" s="114"/>
      <c r="VVC12" s="114"/>
      <c r="VVD12" s="114"/>
      <c r="VVE12" s="114"/>
      <c r="VVF12" s="114"/>
      <c r="VVG12" s="114"/>
      <c r="VVH12" s="114"/>
      <c r="VVI12" s="114"/>
      <c r="VVJ12" s="114"/>
      <c r="VVK12" s="114"/>
      <c r="VVL12" s="114"/>
      <c r="VVM12" s="114"/>
      <c r="VVN12" s="114"/>
      <c r="VVO12" s="114"/>
      <c r="VVP12" s="114"/>
      <c r="VVQ12" s="114"/>
      <c r="VVR12" s="114"/>
      <c r="VVS12" s="114"/>
      <c r="VVT12" s="114"/>
      <c r="VVU12" s="114"/>
      <c r="VVV12" s="114"/>
      <c r="VVW12" s="114"/>
      <c r="VVX12" s="114"/>
      <c r="VVY12" s="114"/>
      <c r="VVZ12" s="114"/>
      <c r="VWA12" s="114"/>
      <c r="VWB12" s="114"/>
      <c r="VWC12" s="114"/>
      <c r="VWD12" s="114"/>
      <c r="VWE12" s="114"/>
      <c r="VWF12" s="114"/>
      <c r="VWG12" s="114"/>
      <c r="VWH12" s="114"/>
      <c r="VWI12" s="114"/>
      <c r="VWJ12" s="114"/>
      <c r="VWK12" s="114"/>
      <c r="VWL12" s="114"/>
      <c r="VWM12" s="114"/>
      <c r="VWN12" s="114"/>
      <c r="VWO12" s="114"/>
      <c r="VWP12" s="114"/>
      <c r="VWQ12" s="114"/>
      <c r="VWR12" s="114"/>
      <c r="VWS12" s="114"/>
      <c r="VWT12" s="114"/>
      <c r="VWU12" s="114"/>
      <c r="VWV12" s="114"/>
      <c r="VWW12" s="114"/>
      <c r="VWX12" s="114"/>
      <c r="VWY12" s="114"/>
      <c r="VWZ12" s="114"/>
      <c r="VXA12" s="114"/>
      <c r="VXB12" s="114"/>
      <c r="VXC12" s="114"/>
      <c r="VXD12" s="114"/>
      <c r="VXE12" s="114"/>
      <c r="VXF12" s="114"/>
      <c r="VXG12" s="114"/>
      <c r="VXH12" s="114"/>
      <c r="VXI12" s="114"/>
      <c r="VXJ12" s="114"/>
      <c r="VXK12" s="114"/>
      <c r="VXL12" s="114"/>
      <c r="VXM12" s="114"/>
      <c r="VXN12" s="114"/>
      <c r="VXO12" s="114"/>
      <c r="VXP12" s="114"/>
      <c r="VXQ12" s="114"/>
      <c r="VXR12" s="114"/>
      <c r="VXS12" s="114"/>
      <c r="VXT12" s="114"/>
      <c r="VXU12" s="114"/>
      <c r="VXV12" s="114"/>
      <c r="VXW12" s="114"/>
      <c r="VXX12" s="114"/>
      <c r="VXY12" s="114"/>
      <c r="VXZ12" s="114"/>
      <c r="VYA12" s="114"/>
      <c r="VYB12" s="114"/>
      <c r="VYC12" s="114"/>
      <c r="VYD12" s="114"/>
      <c r="VYE12" s="114"/>
      <c r="VYF12" s="114"/>
      <c r="VYG12" s="114"/>
      <c r="VYH12" s="114"/>
      <c r="VYI12" s="114"/>
      <c r="VYJ12" s="114"/>
      <c r="VYK12" s="114"/>
      <c r="VYL12" s="114"/>
      <c r="VYM12" s="114"/>
      <c r="VYN12" s="114"/>
      <c r="VYO12" s="114"/>
      <c r="VYP12" s="114"/>
      <c r="VYQ12" s="114"/>
      <c r="VYR12" s="114"/>
      <c r="VYS12" s="114"/>
      <c r="VYT12" s="114"/>
      <c r="VYU12" s="114"/>
      <c r="VYV12" s="114"/>
      <c r="VYW12" s="114"/>
      <c r="VYX12" s="114"/>
      <c r="VYY12" s="114"/>
      <c r="VYZ12" s="114"/>
      <c r="VZA12" s="114"/>
      <c r="VZB12" s="114"/>
      <c r="VZC12" s="114"/>
      <c r="VZD12" s="114"/>
      <c r="VZE12" s="114"/>
      <c r="VZF12" s="114"/>
      <c r="VZG12" s="114"/>
      <c r="VZH12" s="114"/>
      <c r="VZI12" s="114"/>
      <c r="VZJ12" s="114"/>
      <c r="VZK12" s="114"/>
      <c r="VZL12" s="114"/>
      <c r="VZM12" s="114"/>
      <c r="VZN12" s="114"/>
      <c r="VZO12" s="114"/>
      <c r="VZP12" s="114"/>
      <c r="VZQ12" s="114"/>
      <c r="VZR12" s="114"/>
      <c r="VZS12" s="114"/>
      <c r="VZT12" s="114"/>
      <c r="VZU12" s="114"/>
      <c r="VZV12" s="114"/>
      <c r="VZW12" s="114"/>
      <c r="VZX12" s="114"/>
      <c r="VZY12" s="114"/>
      <c r="VZZ12" s="114"/>
      <c r="WAA12" s="114"/>
      <c r="WAB12" s="114"/>
      <c r="WAC12" s="114"/>
      <c r="WAD12" s="114"/>
      <c r="WAE12" s="114"/>
      <c r="WAF12" s="114"/>
      <c r="WAG12" s="114"/>
      <c r="WAH12" s="114"/>
      <c r="WAI12" s="114"/>
      <c r="WAJ12" s="114"/>
      <c r="WAK12" s="114"/>
      <c r="WAL12" s="114"/>
      <c r="WAM12" s="114"/>
      <c r="WAN12" s="114"/>
      <c r="WAO12" s="114"/>
      <c r="WAP12" s="114"/>
      <c r="WAQ12" s="114"/>
      <c r="WAR12" s="114"/>
      <c r="WAS12" s="114"/>
      <c r="WAT12" s="114"/>
      <c r="WAU12" s="114"/>
      <c r="WAV12" s="114"/>
      <c r="WAW12" s="114"/>
      <c r="WAX12" s="114"/>
      <c r="WAY12" s="114"/>
      <c r="WAZ12" s="114"/>
      <c r="WBA12" s="114"/>
      <c r="WBB12" s="114"/>
      <c r="WBC12" s="114"/>
      <c r="WBD12" s="114"/>
      <c r="WBE12" s="114"/>
      <c r="WBF12" s="114"/>
      <c r="WBG12" s="114"/>
      <c r="WBH12" s="114"/>
      <c r="WBI12" s="114"/>
      <c r="WBJ12" s="114"/>
      <c r="WBK12" s="114"/>
      <c r="WBL12" s="114"/>
      <c r="WBM12" s="114"/>
      <c r="WBN12" s="114"/>
      <c r="WBO12" s="114"/>
      <c r="WBP12" s="114"/>
      <c r="WBQ12" s="114"/>
      <c r="WBR12" s="114"/>
      <c r="WBS12" s="114"/>
      <c r="WBT12" s="114"/>
      <c r="WBU12" s="114"/>
      <c r="WBV12" s="114"/>
      <c r="WBW12" s="114"/>
      <c r="WBX12" s="114"/>
      <c r="WBY12" s="114"/>
      <c r="WBZ12" s="114"/>
      <c r="WCA12" s="114"/>
      <c r="WCB12" s="114"/>
      <c r="WCC12" s="114"/>
      <c r="WCD12" s="114"/>
      <c r="WCE12" s="114"/>
      <c r="WCF12" s="114"/>
      <c r="WCG12" s="114"/>
      <c r="WCH12" s="114"/>
      <c r="WCI12" s="114"/>
      <c r="WCJ12" s="114"/>
      <c r="WCK12" s="114"/>
      <c r="WCL12" s="114"/>
      <c r="WCM12" s="114"/>
      <c r="WCN12" s="114"/>
      <c r="WCO12" s="114"/>
      <c r="WCP12" s="114"/>
      <c r="WCQ12" s="114"/>
      <c r="WCR12" s="114"/>
      <c r="WCS12" s="114"/>
      <c r="WCT12" s="114"/>
      <c r="WCU12" s="114"/>
      <c r="WCV12" s="114"/>
      <c r="WCW12" s="114"/>
      <c r="WCX12" s="114"/>
      <c r="WCY12" s="114"/>
      <c r="WCZ12" s="114"/>
      <c r="WDA12" s="114"/>
      <c r="WDB12" s="114"/>
      <c r="WDC12" s="114"/>
      <c r="WDD12" s="114"/>
      <c r="WDE12" s="114"/>
      <c r="WDF12" s="114"/>
      <c r="WDG12" s="114"/>
      <c r="WDH12" s="114"/>
      <c r="WDI12" s="114"/>
      <c r="WDJ12" s="114"/>
      <c r="WDK12" s="114"/>
      <c r="WDL12" s="114"/>
      <c r="WDM12" s="114"/>
      <c r="WDN12" s="114"/>
      <c r="WDO12" s="114"/>
      <c r="WDP12" s="114"/>
      <c r="WDQ12" s="114"/>
      <c r="WDR12" s="114"/>
      <c r="WDS12" s="114"/>
      <c r="WDT12" s="114"/>
      <c r="WDU12" s="114"/>
      <c r="WDV12" s="114"/>
      <c r="WDW12" s="114"/>
      <c r="WDX12" s="114"/>
      <c r="WDY12" s="114"/>
      <c r="WDZ12" s="114"/>
      <c r="WEA12" s="114"/>
      <c r="WEB12" s="114"/>
      <c r="WEC12" s="114"/>
      <c r="WED12" s="114"/>
      <c r="WEE12" s="114"/>
      <c r="WEF12" s="114"/>
      <c r="WEG12" s="114"/>
      <c r="WEH12" s="114"/>
      <c r="WEI12" s="114"/>
      <c r="WEJ12" s="114"/>
      <c r="WEK12" s="114"/>
      <c r="WEL12" s="114"/>
      <c r="WEM12" s="114"/>
      <c r="WEN12" s="114"/>
      <c r="WEO12" s="114"/>
      <c r="WEP12" s="114"/>
      <c r="WEQ12" s="114"/>
      <c r="WER12" s="114"/>
      <c r="WES12" s="114"/>
      <c r="WET12" s="114"/>
      <c r="WEU12" s="114"/>
      <c r="WEV12" s="114"/>
      <c r="WEW12" s="114"/>
      <c r="WEX12" s="114"/>
      <c r="WEY12" s="114"/>
      <c r="WEZ12" s="114"/>
      <c r="WFA12" s="114"/>
      <c r="WFB12" s="114"/>
      <c r="WFC12" s="114"/>
      <c r="WFD12" s="114"/>
      <c r="WFE12" s="114"/>
      <c r="WFF12" s="114"/>
      <c r="WFG12" s="114"/>
      <c r="WFH12" s="114"/>
      <c r="WFI12" s="114"/>
      <c r="WFJ12" s="114"/>
      <c r="WFK12" s="114"/>
      <c r="WFL12" s="114"/>
      <c r="WFM12" s="114"/>
      <c r="WFN12" s="114"/>
      <c r="WFO12" s="114"/>
      <c r="WFP12" s="114"/>
      <c r="WFQ12" s="114"/>
      <c r="WFR12" s="114"/>
      <c r="WFS12" s="114"/>
      <c r="WFT12" s="114"/>
      <c r="WFU12" s="114"/>
      <c r="WFV12" s="114"/>
      <c r="WFW12" s="114"/>
      <c r="WFX12" s="114"/>
      <c r="WFY12" s="114"/>
      <c r="WFZ12" s="114"/>
      <c r="WGA12" s="114"/>
      <c r="WGB12" s="114"/>
      <c r="WGC12" s="114"/>
      <c r="WGD12" s="114"/>
      <c r="WGE12" s="114"/>
      <c r="WGF12" s="114"/>
      <c r="WGG12" s="114"/>
      <c r="WGH12" s="114"/>
      <c r="WGI12" s="114"/>
      <c r="WGJ12" s="114"/>
      <c r="WGK12" s="114"/>
      <c r="WGL12" s="114"/>
      <c r="WGM12" s="114"/>
      <c r="WGN12" s="114"/>
      <c r="WGO12" s="114"/>
      <c r="WGP12" s="114"/>
      <c r="WGQ12" s="114"/>
      <c r="WGR12" s="114"/>
      <c r="WGS12" s="114"/>
      <c r="WGT12" s="114"/>
      <c r="WGU12" s="114"/>
      <c r="WGV12" s="114"/>
      <c r="WGW12" s="114"/>
      <c r="WGX12" s="114"/>
      <c r="WGY12" s="114"/>
      <c r="WGZ12" s="114"/>
      <c r="WHA12" s="114"/>
      <c r="WHB12" s="114"/>
      <c r="WHC12" s="114"/>
      <c r="WHD12" s="114"/>
      <c r="WHE12" s="114"/>
      <c r="WHF12" s="114"/>
      <c r="WHG12" s="114"/>
      <c r="WHH12" s="114"/>
      <c r="WHI12" s="114"/>
      <c r="WHJ12" s="114"/>
      <c r="WHK12" s="114"/>
      <c r="WHL12" s="114"/>
      <c r="WHM12" s="114"/>
      <c r="WHN12" s="114"/>
      <c r="WHO12" s="114"/>
      <c r="WHP12" s="114"/>
      <c r="WHQ12" s="114"/>
      <c r="WHR12" s="114"/>
      <c r="WHS12" s="114"/>
      <c r="WHT12" s="114"/>
      <c r="WHU12" s="114"/>
      <c r="WHV12" s="114"/>
      <c r="WHW12" s="114"/>
      <c r="WHX12" s="114"/>
      <c r="WHY12" s="114"/>
      <c r="WHZ12" s="114"/>
      <c r="WIA12" s="114"/>
      <c r="WIB12" s="114"/>
      <c r="WIC12" s="114"/>
      <c r="WID12" s="114"/>
      <c r="WIE12" s="114"/>
      <c r="WIF12" s="114"/>
      <c r="WIG12" s="114"/>
      <c r="WIH12" s="114"/>
      <c r="WII12" s="114"/>
      <c r="WIJ12" s="114"/>
      <c r="WIK12" s="114"/>
      <c r="WIL12" s="114"/>
      <c r="WIM12" s="114"/>
      <c r="WIN12" s="114"/>
      <c r="WIO12" s="114"/>
      <c r="WIP12" s="114"/>
      <c r="WIQ12" s="114"/>
      <c r="WIR12" s="114"/>
      <c r="WIS12" s="114"/>
      <c r="WIT12" s="114"/>
      <c r="WIU12" s="114"/>
      <c r="WIV12" s="114"/>
      <c r="WIW12" s="114"/>
      <c r="WIX12" s="114"/>
      <c r="WIY12" s="114"/>
      <c r="WIZ12" s="114"/>
      <c r="WJA12" s="114"/>
      <c r="WJB12" s="114"/>
      <c r="WJC12" s="114"/>
      <c r="WJD12" s="114"/>
      <c r="WJE12" s="114"/>
      <c r="WJF12" s="114"/>
      <c r="WJG12" s="114"/>
      <c r="WJH12" s="114"/>
      <c r="WJI12" s="114"/>
      <c r="WJJ12" s="114"/>
      <c r="WJK12" s="114"/>
      <c r="WJL12" s="114"/>
      <c r="WJM12" s="114"/>
      <c r="WJN12" s="114"/>
      <c r="WJO12" s="114"/>
      <c r="WJP12" s="114"/>
      <c r="WJQ12" s="114"/>
      <c r="WJR12" s="114"/>
      <c r="WJS12" s="114"/>
      <c r="WJT12" s="114"/>
      <c r="WJU12" s="114"/>
      <c r="WJV12" s="114"/>
      <c r="WJW12" s="114"/>
      <c r="WJX12" s="114"/>
      <c r="WJY12" s="114"/>
      <c r="WJZ12" s="114"/>
      <c r="WKA12" s="114"/>
      <c r="WKB12" s="114"/>
      <c r="WKC12" s="114"/>
      <c r="WKD12" s="114"/>
      <c r="WKE12" s="114"/>
      <c r="WKF12" s="114"/>
      <c r="WKG12" s="114"/>
      <c r="WKH12" s="114"/>
      <c r="WKI12" s="114"/>
      <c r="WKJ12" s="114"/>
      <c r="WKK12" s="114"/>
      <c r="WKL12" s="114"/>
      <c r="WKM12" s="114"/>
      <c r="WKN12" s="114"/>
      <c r="WKO12" s="114"/>
      <c r="WKP12" s="114"/>
      <c r="WKQ12" s="114"/>
      <c r="WKR12" s="114"/>
      <c r="WKS12" s="114"/>
      <c r="WKT12" s="114"/>
      <c r="WKU12" s="114"/>
      <c r="WKV12" s="114"/>
      <c r="WKW12" s="114"/>
      <c r="WKX12" s="114"/>
      <c r="WKY12" s="114"/>
      <c r="WKZ12" s="114"/>
      <c r="WLA12" s="114"/>
      <c r="WLB12" s="114"/>
      <c r="WLC12" s="114"/>
      <c r="WLD12" s="114"/>
      <c r="WLE12" s="114"/>
      <c r="WLF12" s="114"/>
      <c r="WLG12" s="114"/>
      <c r="WLH12" s="114"/>
      <c r="WLI12" s="114"/>
      <c r="WLJ12" s="114"/>
      <c r="WLK12" s="114"/>
      <c r="WLL12" s="114"/>
      <c r="WLM12" s="114"/>
      <c r="WLN12" s="114"/>
      <c r="WLO12" s="114"/>
      <c r="WLP12" s="114"/>
      <c r="WLQ12" s="114"/>
      <c r="WLR12" s="114"/>
      <c r="WLS12" s="114"/>
      <c r="WLT12" s="114"/>
      <c r="WLU12" s="114"/>
      <c r="WLV12" s="114"/>
      <c r="WLW12" s="114"/>
      <c r="WLX12" s="114"/>
      <c r="WLY12" s="114"/>
      <c r="WLZ12" s="114"/>
      <c r="WMA12" s="114"/>
      <c r="WMB12" s="114"/>
      <c r="WMC12" s="114"/>
      <c r="WMD12" s="114"/>
      <c r="WME12" s="114"/>
      <c r="WMF12" s="114"/>
      <c r="WMG12" s="114"/>
      <c r="WMH12" s="114"/>
      <c r="WMI12" s="114"/>
      <c r="WMJ12" s="114"/>
      <c r="WMK12" s="114"/>
      <c r="WML12" s="114"/>
      <c r="WMM12" s="114"/>
      <c r="WMN12" s="114"/>
      <c r="WMO12" s="114"/>
      <c r="WMP12" s="114"/>
      <c r="WMQ12" s="114"/>
      <c r="WMR12" s="114"/>
      <c r="WMS12" s="114"/>
      <c r="WMT12" s="114"/>
      <c r="WMU12" s="114"/>
      <c r="WMV12" s="114"/>
      <c r="WMW12" s="114"/>
      <c r="WMX12" s="114"/>
      <c r="WMY12" s="114"/>
      <c r="WMZ12" s="114"/>
      <c r="WNA12" s="114"/>
      <c r="WNB12" s="114"/>
      <c r="WNC12" s="114"/>
      <c r="WND12" s="114"/>
      <c r="WNE12" s="114"/>
      <c r="WNF12" s="114"/>
      <c r="WNG12" s="114"/>
      <c r="WNH12" s="114"/>
      <c r="WNI12" s="114"/>
      <c r="WNJ12" s="114"/>
      <c r="WNK12" s="114"/>
      <c r="WNL12" s="114"/>
      <c r="WNM12" s="114"/>
      <c r="WNN12" s="114"/>
      <c r="WNO12" s="114"/>
      <c r="WNP12" s="114"/>
      <c r="WNQ12" s="114"/>
      <c r="WNR12" s="114"/>
      <c r="WNS12" s="114"/>
      <c r="WNT12" s="114"/>
      <c r="WNU12" s="114"/>
      <c r="WNV12" s="114"/>
      <c r="WNW12" s="114"/>
      <c r="WNX12" s="114"/>
      <c r="WNY12" s="114"/>
      <c r="WNZ12" s="114"/>
      <c r="WOA12" s="114"/>
      <c r="WOB12" s="114"/>
      <c r="WOC12" s="114"/>
      <c r="WOD12" s="114"/>
      <c r="WOE12" s="114"/>
      <c r="WOF12" s="114"/>
      <c r="WOG12" s="114"/>
      <c r="WOH12" s="114"/>
      <c r="WOI12" s="114"/>
      <c r="WOJ12" s="114"/>
      <c r="WOK12" s="114"/>
      <c r="WOL12" s="114"/>
      <c r="WOM12" s="114"/>
      <c r="WON12" s="114"/>
      <c r="WOO12" s="114"/>
      <c r="WOP12" s="114"/>
      <c r="WOQ12" s="114"/>
      <c r="WOR12" s="114"/>
      <c r="WOS12" s="114"/>
      <c r="WOT12" s="114"/>
      <c r="WOU12" s="114"/>
      <c r="WOV12" s="114"/>
      <c r="WOW12" s="114"/>
      <c r="WOX12" s="114"/>
      <c r="WOY12" s="114"/>
      <c r="WOZ12" s="114"/>
      <c r="WPA12" s="114"/>
      <c r="WPB12" s="114"/>
      <c r="WPC12" s="114"/>
      <c r="WPD12" s="114"/>
      <c r="WPE12" s="114"/>
      <c r="WPF12" s="114"/>
      <c r="WPG12" s="114"/>
      <c r="WPH12" s="114"/>
      <c r="WPI12" s="114"/>
      <c r="WPJ12" s="114"/>
      <c r="WPK12" s="114"/>
      <c r="WPL12" s="114"/>
      <c r="WPM12" s="114"/>
      <c r="WPN12" s="114"/>
      <c r="WPO12" s="114"/>
      <c r="WPP12" s="114"/>
      <c r="WPQ12" s="114"/>
      <c r="WPR12" s="114"/>
      <c r="WPS12" s="114"/>
      <c r="WPT12" s="114"/>
      <c r="WPU12" s="114"/>
      <c r="WPV12" s="114"/>
      <c r="WPW12" s="114"/>
      <c r="WPX12" s="114"/>
      <c r="WPY12" s="114"/>
      <c r="WPZ12" s="114"/>
      <c r="WQA12" s="114"/>
      <c r="WQB12" s="114"/>
      <c r="WQC12" s="114"/>
      <c r="WQD12" s="114"/>
      <c r="WQE12" s="114"/>
      <c r="WQF12" s="114"/>
      <c r="WQG12" s="114"/>
      <c r="WQH12" s="114"/>
      <c r="WQI12" s="114"/>
      <c r="WQJ12" s="114"/>
      <c r="WQK12" s="114"/>
      <c r="WQL12" s="114"/>
      <c r="WQM12" s="114"/>
      <c r="WQN12" s="114"/>
      <c r="WQO12" s="114"/>
      <c r="WQP12" s="114"/>
      <c r="WQQ12" s="114"/>
      <c r="WQR12" s="114"/>
      <c r="WQS12" s="114"/>
      <c r="WQT12" s="114"/>
      <c r="WQU12" s="114"/>
      <c r="WQV12" s="114"/>
      <c r="WQW12" s="114"/>
      <c r="WQX12" s="114"/>
      <c r="WQY12" s="114"/>
      <c r="WQZ12" s="114"/>
      <c r="WRA12" s="114"/>
      <c r="WRB12" s="114"/>
      <c r="WRC12" s="114"/>
      <c r="WRD12" s="114"/>
      <c r="WRE12" s="114"/>
      <c r="WRF12" s="114"/>
      <c r="WRG12" s="114"/>
      <c r="WRH12" s="114"/>
      <c r="WRI12" s="114"/>
      <c r="WRJ12" s="114"/>
      <c r="WRK12" s="114"/>
      <c r="WRL12" s="114"/>
      <c r="WRM12" s="114"/>
      <c r="WRN12" s="114"/>
      <c r="WRO12" s="114"/>
      <c r="WRP12" s="114"/>
      <c r="WRQ12" s="114"/>
      <c r="WRR12" s="114"/>
      <c r="WRS12" s="114"/>
      <c r="WRT12" s="114"/>
      <c r="WRU12" s="114"/>
      <c r="WRV12" s="114"/>
      <c r="WRW12" s="114"/>
      <c r="WRX12" s="114"/>
      <c r="WRY12" s="114"/>
      <c r="WRZ12" s="114"/>
      <c r="WSA12" s="114"/>
      <c r="WSB12" s="114"/>
      <c r="WSC12" s="114"/>
      <c r="WSD12" s="114"/>
      <c r="WSE12" s="114"/>
      <c r="WSF12" s="114"/>
      <c r="WSG12" s="114"/>
      <c r="WSH12" s="114"/>
      <c r="WSI12" s="114"/>
      <c r="WSJ12" s="114"/>
      <c r="WSK12" s="114"/>
      <c r="WSL12" s="114"/>
      <c r="WSM12" s="114"/>
      <c r="WSN12" s="114"/>
      <c r="WSO12" s="114"/>
      <c r="WSP12" s="114"/>
      <c r="WSQ12" s="114"/>
      <c r="WSR12" s="114"/>
      <c r="WSS12" s="114"/>
      <c r="WST12" s="114"/>
      <c r="WSU12" s="114"/>
      <c r="WSV12" s="114"/>
      <c r="WSW12" s="114"/>
      <c r="WSX12" s="114"/>
      <c r="WSY12" s="114"/>
      <c r="WSZ12" s="114"/>
      <c r="WTA12" s="114"/>
      <c r="WTB12" s="114"/>
      <c r="WTC12" s="114"/>
      <c r="WTD12" s="114"/>
      <c r="WTE12" s="114"/>
      <c r="WTF12" s="114"/>
      <c r="WTG12" s="114"/>
      <c r="WTH12" s="114"/>
      <c r="WTI12" s="114"/>
      <c r="WTJ12" s="114"/>
      <c r="WTK12" s="114"/>
      <c r="WTL12" s="114"/>
      <c r="WTM12" s="114"/>
      <c r="WTN12" s="114"/>
      <c r="WTO12" s="114"/>
      <c r="WTP12" s="114"/>
      <c r="WTQ12" s="114"/>
      <c r="WTR12" s="114"/>
      <c r="WTS12" s="114"/>
      <c r="WTT12" s="114"/>
      <c r="WTU12" s="114"/>
      <c r="WTV12" s="114"/>
      <c r="WTW12" s="114"/>
      <c r="WTX12" s="114"/>
      <c r="WTY12" s="114"/>
      <c r="WTZ12" s="114"/>
      <c r="WUA12" s="114"/>
      <c r="WUB12" s="114"/>
      <c r="WUC12" s="114"/>
      <c r="WUD12" s="114"/>
      <c r="WUE12" s="114"/>
      <c r="WUF12" s="114"/>
      <c r="WUG12" s="114"/>
      <c r="WUH12" s="114"/>
      <c r="WUI12" s="114"/>
      <c r="WUJ12" s="114"/>
      <c r="WUK12" s="114"/>
      <c r="WUL12" s="114"/>
      <c r="WUM12" s="114"/>
      <c r="WUN12" s="114"/>
      <c r="WUO12" s="114"/>
      <c r="WUP12" s="114"/>
      <c r="WUQ12" s="114"/>
      <c r="WUR12" s="114"/>
      <c r="WUS12" s="114"/>
      <c r="WUT12" s="114"/>
      <c r="WUU12" s="114"/>
      <c r="WUV12" s="114"/>
      <c r="WUW12" s="114"/>
      <c r="WUX12" s="114"/>
      <c r="WUY12" s="114"/>
      <c r="WUZ12" s="114"/>
      <c r="WVA12" s="114"/>
      <c r="WVB12" s="114"/>
      <c r="WVC12" s="114"/>
      <c r="WVD12" s="114"/>
      <c r="WVE12" s="114"/>
      <c r="WVF12" s="114"/>
      <c r="WVG12" s="114"/>
      <c r="WVH12" s="114"/>
      <c r="WVI12" s="114"/>
      <c r="WVJ12" s="114"/>
      <c r="WVK12" s="114"/>
      <c r="WVL12" s="114"/>
      <c r="WVM12" s="114"/>
      <c r="WVN12" s="114"/>
      <c r="WVO12" s="114"/>
      <c r="WVP12" s="114"/>
      <c r="WVQ12" s="114"/>
      <c r="WVR12" s="114"/>
      <c r="WVS12" s="114"/>
      <c r="WVT12" s="114"/>
      <c r="WVU12" s="114"/>
      <c r="WVV12" s="114"/>
      <c r="WVW12" s="114"/>
      <c r="WVX12" s="114"/>
      <c r="WVY12" s="114"/>
      <c r="WVZ12" s="114"/>
      <c r="WWA12" s="114"/>
      <c r="WWB12" s="114"/>
      <c r="WWC12" s="114"/>
      <c r="WWD12" s="114"/>
      <c r="WWE12" s="114"/>
      <c r="WWF12" s="114"/>
      <c r="WWG12" s="114"/>
      <c r="WWH12" s="114"/>
      <c r="WWI12" s="114"/>
      <c r="WWJ12" s="114"/>
      <c r="WWK12" s="114"/>
      <c r="WWL12" s="114"/>
      <c r="WWM12" s="114"/>
      <c r="WWN12" s="114"/>
      <c r="WWO12" s="114"/>
      <c r="WWP12" s="114"/>
      <c r="WWQ12" s="114"/>
      <c r="WWR12" s="114"/>
      <c r="WWS12" s="114"/>
      <c r="WWT12" s="114"/>
      <c r="WWU12" s="114"/>
      <c r="WWV12" s="114"/>
      <c r="WWW12" s="114"/>
      <c r="WWX12" s="114"/>
      <c r="WWY12" s="114"/>
      <c r="WWZ12" s="114"/>
      <c r="WXA12" s="114"/>
      <c r="WXB12" s="114"/>
      <c r="WXC12" s="114"/>
      <c r="WXD12" s="114"/>
      <c r="WXE12" s="114"/>
      <c r="WXF12" s="114"/>
      <c r="WXG12" s="114"/>
      <c r="WXH12" s="114"/>
      <c r="WXI12" s="114"/>
      <c r="WXJ12" s="114"/>
      <c r="WXK12" s="114"/>
      <c r="WXL12" s="114"/>
      <c r="WXM12" s="114"/>
      <c r="WXN12" s="114"/>
      <c r="WXO12" s="114"/>
      <c r="WXP12" s="114"/>
      <c r="WXQ12" s="114"/>
      <c r="WXR12" s="114"/>
      <c r="WXS12" s="114"/>
      <c r="WXT12" s="114"/>
      <c r="WXU12" s="114"/>
      <c r="WXV12" s="114"/>
      <c r="WXW12" s="114"/>
      <c r="WXX12" s="114"/>
      <c r="WXY12" s="114"/>
      <c r="WXZ12" s="114"/>
      <c r="WYA12" s="114"/>
      <c r="WYB12" s="114"/>
      <c r="WYC12" s="114"/>
      <c r="WYD12" s="114"/>
      <c r="WYE12" s="114"/>
      <c r="WYF12" s="114"/>
      <c r="WYG12" s="114"/>
      <c r="WYH12" s="114"/>
      <c r="WYI12" s="114"/>
      <c r="WYJ12" s="114"/>
      <c r="WYK12" s="114"/>
      <c r="WYL12" s="114"/>
      <c r="WYM12" s="114"/>
      <c r="WYN12" s="114"/>
      <c r="WYO12" s="114"/>
      <c r="WYP12" s="114"/>
      <c r="WYQ12" s="114"/>
      <c r="WYR12" s="114"/>
      <c r="WYS12" s="114"/>
      <c r="WYT12" s="114"/>
      <c r="WYU12" s="114"/>
      <c r="WYV12" s="114"/>
      <c r="WYW12" s="114"/>
      <c r="WYX12" s="114"/>
      <c r="WYY12" s="114"/>
      <c r="WYZ12" s="114"/>
      <c r="WZA12" s="114"/>
      <c r="WZB12" s="114"/>
      <c r="WZC12" s="114"/>
      <c r="WZD12" s="114"/>
      <c r="WZE12" s="114"/>
      <c r="WZF12" s="114"/>
      <c r="WZG12" s="114"/>
      <c r="WZH12" s="114"/>
      <c r="WZI12" s="114"/>
      <c r="WZJ12" s="114"/>
      <c r="WZK12" s="114"/>
      <c r="WZL12" s="114"/>
      <c r="WZM12" s="114"/>
      <c r="WZN12" s="114"/>
      <c r="WZO12" s="114"/>
      <c r="WZP12" s="114"/>
      <c r="WZQ12" s="114"/>
      <c r="WZR12" s="114"/>
      <c r="WZS12" s="114"/>
      <c r="WZT12" s="114"/>
      <c r="WZU12" s="114"/>
      <c r="WZV12" s="114"/>
      <c r="WZW12" s="114"/>
      <c r="WZX12" s="114"/>
      <c r="WZY12" s="114"/>
      <c r="WZZ12" s="114"/>
      <c r="XAA12" s="114"/>
      <c r="XAB12" s="114"/>
      <c r="XAC12" s="114"/>
      <c r="XAD12" s="114"/>
      <c r="XAE12" s="114"/>
      <c r="XAF12" s="114"/>
      <c r="XAG12" s="114"/>
      <c r="XAH12" s="114"/>
      <c r="XAI12" s="114"/>
      <c r="XAJ12" s="114"/>
      <c r="XAK12" s="114"/>
      <c r="XAL12" s="114"/>
      <c r="XAM12" s="114"/>
      <c r="XAN12" s="114"/>
      <c r="XAO12" s="114"/>
      <c r="XAP12" s="114"/>
      <c r="XAQ12" s="114"/>
      <c r="XAR12" s="114"/>
      <c r="XAS12" s="114"/>
      <c r="XAT12" s="114"/>
      <c r="XAU12" s="114"/>
      <c r="XAV12" s="114"/>
      <c r="XAW12" s="114"/>
      <c r="XAX12" s="114"/>
      <c r="XAY12" s="114"/>
      <c r="XAZ12" s="114"/>
      <c r="XBA12" s="114"/>
      <c r="XBB12" s="114"/>
      <c r="XBC12" s="114"/>
      <c r="XBD12" s="114"/>
      <c r="XBE12" s="114"/>
      <c r="XBF12" s="114"/>
      <c r="XBG12" s="114"/>
      <c r="XBH12" s="114"/>
      <c r="XBI12" s="114"/>
      <c r="XBJ12" s="114"/>
      <c r="XBK12" s="114"/>
      <c r="XBL12" s="114"/>
      <c r="XBM12" s="114"/>
      <c r="XBN12" s="114"/>
      <c r="XBO12" s="114"/>
      <c r="XBP12" s="114"/>
      <c r="XBQ12" s="114"/>
      <c r="XBR12" s="114"/>
      <c r="XBS12" s="114"/>
      <c r="XBT12" s="114"/>
      <c r="XBU12" s="114"/>
      <c r="XBV12" s="114"/>
      <c r="XBW12" s="114"/>
      <c r="XBX12" s="114"/>
      <c r="XBY12" s="114"/>
      <c r="XBZ12" s="114"/>
      <c r="XCA12" s="114"/>
      <c r="XCB12" s="114"/>
      <c r="XCC12" s="114"/>
      <c r="XCD12" s="114"/>
      <c r="XCE12" s="114"/>
      <c r="XCF12" s="114"/>
      <c r="XCG12" s="114"/>
      <c r="XCH12" s="114"/>
      <c r="XCI12" s="114"/>
      <c r="XCJ12" s="114"/>
      <c r="XCK12" s="114"/>
      <c r="XCL12" s="114"/>
      <c r="XCM12" s="114"/>
      <c r="XCN12" s="114"/>
      <c r="XCO12" s="114"/>
      <c r="XCP12" s="114"/>
      <c r="XCQ12" s="114"/>
      <c r="XCR12" s="114"/>
      <c r="XCS12" s="114"/>
      <c r="XCT12" s="114"/>
      <c r="XCU12" s="114"/>
      <c r="XCV12" s="114"/>
      <c r="XCW12" s="114"/>
      <c r="XCX12" s="114"/>
      <c r="XCY12" s="114"/>
      <c r="XCZ12" s="114"/>
      <c r="XDA12" s="114"/>
      <c r="XDB12" s="114"/>
      <c r="XDC12" s="114"/>
      <c r="XDD12" s="114"/>
      <c r="XDE12" s="114"/>
      <c r="XDF12" s="114"/>
      <c r="XDG12" s="114"/>
      <c r="XDH12" s="114"/>
      <c r="XDI12" s="114"/>
      <c r="XDJ12" s="114"/>
      <c r="XDK12" s="114"/>
      <c r="XDL12" s="114"/>
      <c r="XDM12" s="114"/>
      <c r="XDN12" s="114"/>
      <c r="XDO12" s="114"/>
      <c r="XDP12" s="114"/>
      <c r="XDQ12" s="114"/>
      <c r="XDR12" s="114"/>
      <c r="XDS12" s="114"/>
      <c r="XDT12" s="114"/>
      <c r="XDU12" s="114"/>
      <c r="XDV12" s="114"/>
      <c r="XDW12" s="114"/>
      <c r="XDX12" s="114"/>
      <c r="XDY12" s="114"/>
      <c r="XDZ12" s="114"/>
      <c r="XEA12" s="114"/>
      <c r="XEB12" s="114"/>
      <c r="XEC12" s="114"/>
      <c r="XED12" s="114"/>
      <c r="XEE12" s="114"/>
      <c r="XEF12" s="114"/>
      <c r="XEG12" s="114"/>
      <c r="XEH12" s="114"/>
      <c r="XEI12" s="114"/>
      <c r="XEJ12" s="114"/>
      <c r="XEK12" s="114"/>
      <c r="XEL12" s="114"/>
      <c r="XEM12" s="114"/>
      <c r="XEN12" s="114"/>
      <c r="XEO12" s="114"/>
      <c r="XEP12" s="114"/>
      <c r="XEQ12" s="114"/>
      <c r="XER12" s="114"/>
      <c r="XES12" s="114"/>
      <c r="XET12" s="114"/>
      <c r="XEU12" s="114"/>
      <c r="XEV12" s="114"/>
    </row>
    <row r="13" spans="1:16376" ht="13" x14ac:dyDescent="0.3">
      <c r="A13" s="82"/>
      <c r="B13" s="154">
        <v>24019</v>
      </c>
      <c r="C13" s="118" t="s">
        <v>164</v>
      </c>
      <c r="D13" s="111" t="s">
        <v>2084</v>
      </c>
      <c r="E13" s="111" t="s">
        <v>433</v>
      </c>
      <c r="F13" s="119" t="s">
        <v>5</v>
      </c>
      <c r="G13" s="111" t="s">
        <v>2147</v>
      </c>
      <c r="H13" s="70" t="s">
        <v>1026</v>
      </c>
      <c r="I13" s="111" t="s">
        <v>87</v>
      </c>
      <c r="J13" s="111"/>
      <c r="K13" s="70"/>
      <c r="L13" s="74"/>
      <c r="M13" s="158" t="s">
        <v>6</v>
      </c>
      <c r="N13" s="118" t="s">
        <v>2146</v>
      </c>
      <c r="O13" s="113">
        <v>45467</v>
      </c>
      <c r="P13" s="117">
        <v>45546</v>
      </c>
      <c r="Q13" s="187">
        <v>45540</v>
      </c>
      <c r="R13" s="161" t="s">
        <v>6</v>
      </c>
      <c r="S13" s="113">
        <v>45409</v>
      </c>
      <c r="T13" s="187">
        <v>45410</v>
      </c>
      <c r="U13" s="187">
        <v>45565</v>
      </c>
      <c r="V13" s="187">
        <v>45540</v>
      </c>
      <c r="W13" s="114" t="s">
        <v>6</v>
      </c>
      <c r="X13" s="194">
        <v>500</v>
      </c>
      <c r="Y13" s="194"/>
      <c r="Z13" s="196">
        <v>500</v>
      </c>
      <c r="AA13" s="148"/>
      <c r="AB13" s="70" t="s">
        <v>2144</v>
      </c>
      <c r="AC13" s="70"/>
      <c r="AD13" s="165" t="s">
        <v>2227</v>
      </c>
      <c r="AE13" s="165" t="s">
        <v>2228</v>
      </c>
      <c r="AF13" s="114"/>
      <c r="AG13" s="114"/>
      <c r="AH13" s="114"/>
      <c r="AI13" s="114"/>
      <c r="AJ13" s="114"/>
      <c r="AK13" s="114"/>
      <c r="AL13" s="114"/>
      <c r="AM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4"/>
      <c r="CF13" s="114"/>
      <c r="CG13" s="114"/>
      <c r="CH13" s="114"/>
      <c r="CI13" s="114"/>
      <c r="CJ13" s="114"/>
      <c r="CK13" s="114"/>
      <c r="CL13" s="114"/>
      <c r="CM13" s="114"/>
      <c r="CN13" s="114"/>
      <c r="CO13" s="114"/>
      <c r="CP13" s="114"/>
      <c r="CQ13" s="114"/>
      <c r="CR13" s="114"/>
      <c r="CS13" s="114"/>
      <c r="CT13" s="114"/>
      <c r="CU13" s="114"/>
      <c r="CV13" s="114"/>
      <c r="CW13" s="114"/>
      <c r="CX13" s="114"/>
      <c r="CY13" s="114"/>
      <c r="CZ13" s="114"/>
      <c r="DA13" s="114"/>
      <c r="DB13" s="114"/>
      <c r="DC13" s="114"/>
      <c r="DD13" s="114"/>
      <c r="DE13" s="114"/>
      <c r="DF13" s="114"/>
      <c r="DG13" s="114"/>
      <c r="DH13" s="114"/>
      <c r="DI13" s="114"/>
      <c r="DJ13" s="114"/>
      <c r="DK13" s="114"/>
      <c r="DL13" s="114"/>
      <c r="DM13" s="114"/>
      <c r="DN13" s="114"/>
      <c r="DO13" s="114"/>
      <c r="DP13" s="114"/>
      <c r="DQ13" s="114"/>
      <c r="DR13" s="114"/>
      <c r="DS13" s="114"/>
      <c r="DT13" s="114"/>
      <c r="DU13" s="114"/>
      <c r="DV13" s="114"/>
      <c r="DW13" s="114"/>
      <c r="DX13" s="114"/>
      <c r="DY13" s="114"/>
      <c r="DZ13" s="114"/>
      <c r="EA13" s="114"/>
      <c r="EB13" s="114"/>
      <c r="EC13" s="114"/>
      <c r="ED13" s="114"/>
      <c r="EE13" s="114"/>
      <c r="EF13" s="114"/>
      <c r="EG13" s="114"/>
      <c r="EH13" s="114"/>
      <c r="EI13" s="114"/>
      <c r="EJ13" s="114"/>
      <c r="EK13" s="114"/>
      <c r="EL13" s="114"/>
      <c r="EM13" s="114"/>
      <c r="EN13" s="114"/>
      <c r="EO13" s="114"/>
      <c r="EP13" s="114"/>
      <c r="EQ13" s="114"/>
      <c r="ER13" s="114"/>
      <c r="ES13" s="114"/>
      <c r="ET13" s="114"/>
      <c r="EU13" s="114"/>
      <c r="EV13" s="114"/>
      <c r="EW13" s="114"/>
      <c r="EX13" s="114"/>
      <c r="EY13" s="114"/>
      <c r="EZ13" s="114"/>
      <c r="FA13" s="114"/>
      <c r="FB13" s="114"/>
      <c r="FC13" s="114"/>
      <c r="FD13" s="114"/>
      <c r="FE13" s="114"/>
      <c r="FF13" s="114"/>
      <c r="FG13" s="114"/>
      <c r="FH13" s="114"/>
      <c r="FI13" s="114"/>
      <c r="FJ13" s="114"/>
      <c r="FK13" s="114"/>
      <c r="FL13" s="114"/>
      <c r="FM13" s="114"/>
      <c r="FN13" s="114"/>
      <c r="FO13" s="114"/>
      <c r="FP13" s="114"/>
      <c r="FQ13" s="114"/>
      <c r="FR13" s="114"/>
      <c r="FS13" s="114"/>
      <c r="FT13" s="114"/>
      <c r="FU13" s="114"/>
      <c r="FV13" s="114"/>
      <c r="FW13" s="114"/>
      <c r="FX13" s="114"/>
      <c r="FY13" s="114"/>
      <c r="FZ13" s="114"/>
      <c r="GA13" s="114"/>
      <c r="GB13" s="114"/>
      <c r="GC13" s="114"/>
      <c r="GD13" s="114"/>
      <c r="GE13" s="114"/>
      <c r="GF13" s="114"/>
      <c r="GG13" s="114"/>
      <c r="GH13" s="114"/>
      <c r="GI13" s="114"/>
      <c r="GJ13" s="114"/>
      <c r="GK13" s="114"/>
      <c r="GL13" s="114"/>
      <c r="GM13" s="114"/>
      <c r="GN13" s="114"/>
      <c r="GO13" s="114"/>
      <c r="GP13" s="114"/>
      <c r="GQ13" s="114"/>
      <c r="GR13" s="114"/>
      <c r="GS13" s="114"/>
      <c r="GT13" s="114"/>
      <c r="GU13" s="114"/>
      <c r="GV13" s="114"/>
      <c r="GW13" s="114"/>
      <c r="GX13" s="114"/>
      <c r="GY13" s="114"/>
      <c r="GZ13" s="114"/>
      <c r="HA13" s="114"/>
      <c r="HB13" s="114"/>
      <c r="HC13" s="114"/>
      <c r="HD13" s="114"/>
      <c r="HE13" s="114"/>
      <c r="HF13" s="114"/>
      <c r="HG13" s="114"/>
      <c r="HH13" s="114"/>
      <c r="HI13" s="114"/>
      <c r="HJ13" s="114"/>
      <c r="HK13" s="114"/>
      <c r="HL13" s="114"/>
      <c r="HM13" s="114"/>
      <c r="HN13" s="114"/>
      <c r="HO13" s="114"/>
      <c r="HP13" s="114"/>
      <c r="HQ13" s="114"/>
      <c r="HR13" s="114"/>
      <c r="HS13" s="114"/>
      <c r="HT13" s="114"/>
      <c r="HU13" s="114"/>
      <c r="HV13" s="114"/>
      <c r="HW13" s="114"/>
      <c r="HX13" s="114"/>
      <c r="HY13" s="114"/>
      <c r="HZ13" s="114"/>
      <c r="IA13" s="114"/>
      <c r="IB13" s="114"/>
      <c r="IC13" s="114"/>
      <c r="ID13" s="114"/>
      <c r="IE13" s="114"/>
      <c r="IF13" s="114"/>
      <c r="IG13" s="114"/>
      <c r="IH13" s="114"/>
      <c r="II13" s="114"/>
      <c r="IJ13" s="114"/>
      <c r="IK13" s="114"/>
      <c r="IL13" s="114"/>
      <c r="IM13" s="114"/>
      <c r="IN13" s="114"/>
      <c r="IO13" s="114"/>
      <c r="IP13" s="114"/>
      <c r="IQ13" s="114"/>
      <c r="IR13" s="114"/>
      <c r="IS13" s="114"/>
      <c r="IT13" s="114"/>
      <c r="IU13" s="114"/>
      <c r="IV13" s="114"/>
      <c r="IW13" s="114"/>
      <c r="IX13" s="114"/>
      <c r="IY13" s="114"/>
      <c r="IZ13" s="114"/>
      <c r="JA13" s="114"/>
      <c r="JB13" s="114"/>
      <c r="JC13" s="114"/>
      <c r="JD13" s="114"/>
      <c r="JE13" s="114"/>
      <c r="JF13" s="114"/>
      <c r="JG13" s="114"/>
      <c r="JH13" s="114"/>
      <c r="JI13" s="114"/>
      <c r="JJ13" s="114"/>
      <c r="JK13" s="114"/>
      <c r="JL13" s="114"/>
      <c r="JM13" s="114"/>
      <c r="JN13" s="114"/>
      <c r="JO13" s="114"/>
      <c r="JP13" s="114"/>
      <c r="JQ13" s="114"/>
      <c r="JR13" s="114"/>
      <c r="JS13" s="114"/>
      <c r="JT13" s="114"/>
      <c r="JU13" s="114"/>
      <c r="JV13" s="114"/>
      <c r="JW13" s="114"/>
      <c r="JX13" s="114"/>
      <c r="JY13" s="114"/>
      <c r="JZ13" s="114"/>
      <c r="KA13" s="114"/>
      <c r="KB13" s="114"/>
      <c r="KC13" s="114"/>
      <c r="KD13" s="114"/>
      <c r="KE13" s="114"/>
      <c r="KF13" s="114"/>
      <c r="KG13" s="114"/>
      <c r="KH13" s="114"/>
      <c r="KI13" s="114"/>
      <c r="KJ13" s="114"/>
      <c r="KK13" s="114"/>
      <c r="KL13" s="114"/>
      <c r="KM13" s="114"/>
      <c r="KN13" s="114"/>
      <c r="KO13" s="114"/>
      <c r="KP13" s="114"/>
      <c r="KQ13" s="114"/>
      <c r="KR13" s="114"/>
      <c r="KS13" s="114"/>
      <c r="KT13" s="114"/>
      <c r="KU13" s="114"/>
      <c r="KV13" s="114"/>
      <c r="KW13" s="114"/>
      <c r="KX13" s="114"/>
      <c r="KY13" s="114"/>
      <c r="KZ13" s="114"/>
      <c r="LA13" s="114"/>
      <c r="LB13" s="114"/>
      <c r="LC13" s="114"/>
      <c r="LD13" s="114"/>
      <c r="LE13" s="114"/>
      <c r="LF13" s="114"/>
      <c r="LG13" s="114"/>
      <c r="LH13" s="114"/>
      <c r="LI13" s="114"/>
      <c r="LJ13" s="114"/>
      <c r="LK13" s="114"/>
      <c r="LL13" s="114"/>
      <c r="LM13" s="114"/>
      <c r="LN13" s="114"/>
      <c r="LO13" s="114"/>
      <c r="LP13" s="114"/>
      <c r="LQ13" s="114"/>
      <c r="LR13" s="114"/>
      <c r="LS13" s="114"/>
      <c r="LT13" s="114"/>
      <c r="LU13" s="114"/>
      <c r="LV13" s="114"/>
      <c r="LW13" s="114"/>
      <c r="LX13" s="114"/>
      <c r="LY13" s="114"/>
      <c r="LZ13" s="114"/>
      <c r="MA13" s="114"/>
      <c r="MB13" s="114"/>
      <c r="MC13" s="114"/>
      <c r="MD13" s="114"/>
      <c r="ME13" s="114"/>
      <c r="MF13" s="114"/>
      <c r="MG13" s="114"/>
      <c r="MH13" s="114"/>
      <c r="MI13" s="114"/>
      <c r="MJ13" s="114"/>
      <c r="MK13" s="114"/>
      <c r="ML13" s="114"/>
      <c r="MM13" s="114"/>
      <c r="MN13" s="114"/>
      <c r="MO13" s="114"/>
      <c r="MP13" s="114"/>
      <c r="MQ13" s="114"/>
      <c r="MR13" s="114"/>
      <c r="MS13" s="114"/>
      <c r="MT13" s="114"/>
      <c r="MU13" s="114"/>
      <c r="MV13" s="114"/>
      <c r="MW13" s="114"/>
      <c r="MX13" s="114"/>
      <c r="MY13" s="114"/>
      <c r="MZ13" s="114"/>
      <c r="NA13" s="114"/>
      <c r="NB13" s="114"/>
      <c r="NC13" s="114"/>
      <c r="ND13" s="114"/>
      <c r="NE13" s="114"/>
      <c r="NF13" s="114"/>
      <c r="NG13" s="114"/>
      <c r="NH13" s="114"/>
      <c r="NI13" s="114"/>
      <c r="NJ13" s="114"/>
      <c r="NK13" s="114"/>
      <c r="NL13" s="114"/>
      <c r="NM13" s="114"/>
      <c r="NN13" s="114"/>
      <c r="NO13" s="114"/>
      <c r="NP13" s="114"/>
      <c r="NQ13" s="114"/>
      <c r="NR13" s="114"/>
      <c r="NS13" s="114"/>
      <c r="NT13" s="114"/>
      <c r="NU13" s="114"/>
      <c r="NV13" s="114"/>
      <c r="NW13" s="114"/>
      <c r="NX13" s="114"/>
      <c r="NY13" s="114"/>
      <c r="NZ13" s="114"/>
      <c r="OA13" s="114"/>
      <c r="OB13" s="114"/>
      <c r="OC13" s="114"/>
      <c r="OD13" s="114"/>
      <c r="OE13" s="114"/>
      <c r="OF13" s="114"/>
      <c r="OG13" s="114"/>
      <c r="OH13" s="114"/>
      <c r="OI13" s="114"/>
      <c r="OJ13" s="114"/>
      <c r="OK13" s="114"/>
      <c r="OL13" s="114"/>
      <c r="OM13" s="114"/>
      <c r="ON13" s="114"/>
      <c r="OO13" s="114"/>
      <c r="OP13" s="114"/>
      <c r="OQ13" s="114"/>
      <c r="OR13" s="114"/>
      <c r="OS13" s="114"/>
      <c r="OT13" s="114"/>
      <c r="OU13" s="114"/>
      <c r="OV13" s="114"/>
      <c r="OW13" s="114"/>
      <c r="OX13" s="114"/>
      <c r="OY13" s="114"/>
      <c r="OZ13" s="114"/>
      <c r="PA13" s="114"/>
      <c r="PB13" s="114"/>
      <c r="PC13" s="114"/>
      <c r="PD13" s="114"/>
      <c r="PE13" s="114"/>
      <c r="PF13" s="114"/>
      <c r="PG13" s="114"/>
      <c r="PH13" s="114"/>
      <c r="PI13" s="114"/>
      <c r="PJ13" s="114"/>
      <c r="PK13" s="114"/>
      <c r="PL13" s="114"/>
      <c r="PM13" s="114"/>
      <c r="PN13" s="114"/>
      <c r="PO13" s="114"/>
      <c r="PP13" s="114"/>
      <c r="PQ13" s="114"/>
      <c r="PR13" s="114"/>
      <c r="PS13" s="114"/>
      <c r="PT13" s="114"/>
      <c r="PU13" s="114"/>
      <c r="PV13" s="114"/>
      <c r="PW13" s="114"/>
      <c r="PX13" s="114"/>
      <c r="PY13" s="114"/>
      <c r="PZ13" s="114"/>
      <c r="QA13" s="114"/>
      <c r="QB13" s="114"/>
      <c r="QC13" s="114"/>
      <c r="QD13" s="114"/>
      <c r="QE13" s="114"/>
      <c r="QF13" s="114"/>
      <c r="QG13" s="114"/>
      <c r="QH13" s="114"/>
      <c r="QI13" s="114"/>
      <c r="QJ13" s="114"/>
      <c r="QK13" s="114"/>
      <c r="QL13" s="114"/>
      <c r="QM13" s="114"/>
      <c r="QN13" s="114"/>
      <c r="QO13" s="114"/>
      <c r="QP13" s="114"/>
      <c r="QQ13" s="114"/>
      <c r="QR13" s="114"/>
      <c r="QS13" s="114"/>
      <c r="QT13" s="114"/>
      <c r="QU13" s="114"/>
      <c r="QV13" s="114"/>
      <c r="QW13" s="114"/>
      <c r="QX13" s="114"/>
      <c r="QY13" s="114"/>
      <c r="QZ13" s="114"/>
      <c r="RA13" s="114"/>
      <c r="RB13" s="114"/>
      <c r="RC13" s="114"/>
      <c r="RD13" s="114"/>
      <c r="RE13" s="114"/>
      <c r="RF13" s="114"/>
      <c r="RG13" s="114"/>
      <c r="RH13" s="114"/>
      <c r="RI13" s="114"/>
      <c r="RJ13" s="114"/>
      <c r="RK13" s="114"/>
      <c r="RL13" s="114"/>
      <c r="RM13" s="114"/>
      <c r="RN13" s="114"/>
      <c r="RO13" s="114"/>
      <c r="RP13" s="114"/>
      <c r="RQ13" s="114"/>
      <c r="RR13" s="114"/>
      <c r="RS13" s="114"/>
      <c r="RT13" s="114"/>
      <c r="RU13" s="114"/>
      <c r="RV13" s="114"/>
      <c r="RW13" s="114"/>
      <c r="RX13" s="114"/>
      <c r="RY13" s="114"/>
      <c r="RZ13" s="114"/>
      <c r="SA13" s="114"/>
      <c r="SB13" s="114"/>
      <c r="SC13" s="114"/>
      <c r="SD13" s="114"/>
      <c r="SE13" s="114"/>
      <c r="SF13" s="114"/>
      <c r="SG13" s="114"/>
      <c r="SH13" s="114"/>
      <c r="SI13" s="114"/>
      <c r="SJ13" s="114"/>
      <c r="SK13" s="114"/>
      <c r="SL13" s="114"/>
      <c r="SM13" s="114"/>
      <c r="SN13" s="114"/>
      <c r="SO13" s="114"/>
      <c r="SP13" s="114"/>
      <c r="SQ13" s="114"/>
      <c r="SR13" s="114"/>
      <c r="SS13" s="114"/>
      <c r="ST13" s="114"/>
      <c r="SU13" s="114"/>
      <c r="SV13" s="114"/>
      <c r="SW13" s="114"/>
      <c r="SX13" s="114"/>
      <c r="SY13" s="114"/>
      <c r="SZ13" s="114"/>
      <c r="TA13" s="114"/>
      <c r="TB13" s="114"/>
      <c r="TC13" s="114"/>
      <c r="TD13" s="114"/>
      <c r="TE13" s="114"/>
      <c r="TF13" s="114"/>
      <c r="TG13" s="114"/>
      <c r="TH13" s="114"/>
      <c r="TI13" s="114"/>
      <c r="TJ13" s="114"/>
      <c r="TK13" s="114"/>
      <c r="TL13" s="114"/>
      <c r="TM13" s="114"/>
      <c r="TN13" s="114"/>
      <c r="TO13" s="114"/>
      <c r="TP13" s="114"/>
      <c r="TQ13" s="114"/>
      <c r="TR13" s="114"/>
      <c r="TS13" s="114"/>
      <c r="TT13" s="114"/>
      <c r="TU13" s="114"/>
      <c r="TV13" s="114"/>
      <c r="TW13" s="114"/>
      <c r="TX13" s="114"/>
      <c r="TY13" s="114"/>
      <c r="TZ13" s="114"/>
      <c r="UA13" s="114"/>
      <c r="UB13" s="114"/>
      <c r="UC13" s="114"/>
      <c r="UD13" s="114"/>
      <c r="UE13" s="114"/>
      <c r="UF13" s="114"/>
      <c r="UG13" s="114"/>
      <c r="UH13" s="114"/>
      <c r="UI13" s="114"/>
      <c r="UJ13" s="114"/>
      <c r="UK13" s="114"/>
      <c r="UL13" s="114"/>
      <c r="UM13" s="114"/>
      <c r="UN13" s="114"/>
      <c r="UO13" s="114"/>
      <c r="UP13" s="114"/>
      <c r="UQ13" s="114"/>
      <c r="UR13" s="114"/>
      <c r="US13" s="114"/>
      <c r="UT13" s="114"/>
      <c r="UU13" s="114"/>
      <c r="UV13" s="114"/>
      <c r="UW13" s="114"/>
      <c r="UX13" s="114"/>
      <c r="UY13" s="114"/>
      <c r="UZ13" s="114"/>
      <c r="VA13" s="114"/>
      <c r="VB13" s="114"/>
      <c r="VC13" s="114"/>
      <c r="VD13" s="114"/>
      <c r="VE13" s="114"/>
      <c r="VF13" s="114"/>
      <c r="VG13" s="114"/>
      <c r="VH13" s="114"/>
      <c r="VI13" s="114"/>
      <c r="VJ13" s="114"/>
      <c r="VK13" s="114"/>
      <c r="VL13" s="114"/>
      <c r="VM13" s="114"/>
      <c r="VN13" s="114"/>
      <c r="VO13" s="114"/>
      <c r="VP13" s="114"/>
      <c r="VQ13" s="114"/>
      <c r="VR13" s="114"/>
      <c r="VS13" s="114"/>
      <c r="VT13" s="114"/>
      <c r="VU13" s="114"/>
      <c r="VV13" s="114"/>
      <c r="VW13" s="114"/>
      <c r="VX13" s="114"/>
      <c r="VY13" s="114"/>
      <c r="VZ13" s="114"/>
      <c r="WA13" s="114"/>
      <c r="WB13" s="114"/>
      <c r="WC13" s="114"/>
      <c r="WD13" s="114"/>
      <c r="WE13" s="114"/>
      <c r="WF13" s="114"/>
      <c r="WG13" s="114"/>
      <c r="WH13" s="114"/>
      <c r="WI13" s="114"/>
      <c r="WJ13" s="114"/>
      <c r="WK13" s="114"/>
      <c r="WL13" s="114"/>
      <c r="WM13" s="114"/>
      <c r="WN13" s="114"/>
      <c r="WO13" s="114"/>
      <c r="WP13" s="114"/>
      <c r="WQ13" s="114"/>
      <c r="WR13" s="114"/>
      <c r="WS13" s="114"/>
      <c r="WT13" s="114"/>
      <c r="WU13" s="114"/>
      <c r="WV13" s="114"/>
      <c r="WW13" s="114"/>
      <c r="WX13" s="114"/>
      <c r="WY13" s="114"/>
      <c r="WZ13" s="114"/>
      <c r="XA13" s="114"/>
      <c r="XB13" s="114"/>
      <c r="XC13" s="114"/>
      <c r="XD13" s="114"/>
      <c r="XE13" s="114"/>
      <c r="XF13" s="114"/>
      <c r="XG13" s="114"/>
      <c r="XH13" s="114"/>
      <c r="XI13" s="114"/>
      <c r="XJ13" s="114"/>
      <c r="XK13" s="114"/>
      <c r="XL13" s="114"/>
      <c r="XM13" s="114"/>
      <c r="XN13" s="114"/>
      <c r="XO13" s="114"/>
      <c r="XP13" s="114"/>
      <c r="XQ13" s="114"/>
      <c r="XR13" s="114"/>
      <c r="XS13" s="114"/>
      <c r="XT13" s="114"/>
      <c r="XU13" s="114"/>
      <c r="XV13" s="114"/>
      <c r="XW13" s="114"/>
      <c r="XX13" s="114"/>
      <c r="XY13" s="114"/>
      <c r="XZ13" s="114"/>
      <c r="YA13" s="114"/>
      <c r="YB13" s="114"/>
      <c r="YC13" s="114"/>
      <c r="YD13" s="114"/>
      <c r="YE13" s="114"/>
      <c r="YF13" s="114"/>
      <c r="YG13" s="114"/>
      <c r="YH13" s="114"/>
      <c r="YI13" s="114"/>
      <c r="YJ13" s="114"/>
      <c r="YK13" s="114"/>
      <c r="YL13" s="114"/>
      <c r="YM13" s="114"/>
      <c r="YN13" s="114"/>
      <c r="YO13" s="114"/>
      <c r="YP13" s="114"/>
      <c r="YQ13" s="114"/>
      <c r="YR13" s="114"/>
      <c r="YS13" s="114"/>
      <c r="YT13" s="114"/>
      <c r="YU13" s="114"/>
      <c r="YV13" s="114"/>
      <c r="YW13" s="114"/>
      <c r="YX13" s="114"/>
      <c r="YY13" s="114"/>
      <c r="YZ13" s="114"/>
      <c r="ZA13" s="114"/>
      <c r="ZB13" s="114"/>
      <c r="ZC13" s="114"/>
      <c r="ZD13" s="114"/>
      <c r="ZE13" s="114"/>
      <c r="ZF13" s="114"/>
      <c r="ZG13" s="114"/>
      <c r="ZH13" s="114"/>
      <c r="ZI13" s="114"/>
      <c r="ZJ13" s="114"/>
      <c r="ZK13" s="114"/>
      <c r="ZL13" s="114"/>
      <c r="ZM13" s="114"/>
      <c r="ZN13" s="114"/>
      <c r="ZO13" s="114"/>
      <c r="ZP13" s="114"/>
      <c r="ZQ13" s="114"/>
      <c r="ZR13" s="114"/>
      <c r="ZS13" s="114"/>
      <c r="ZT13" s="114"/>
      <c r="ZU13" s="114"/>
      <c r="ZV13" s="114"/>
      <c r="ZW13" s="114"/>
      <c r="ZX13" s="114"/>
      <c r="ZY13" s="114"/>
      <c r="ZZ13" s="114"/>
      <c r="AAA13" s="114"/>
      <c r="AAB13" s="114"/>
      <c r="AAC13" s="114"/>
      <c r="AAD13" s="114"/>
      <c r="AAE13" s="114"/>
      <c r="AAF13" s="114"/>
      <c r="AAG13" s="114"/>
      <c r="AAH13" s="114"/>
      <c r="AAI13" s="114"/>
      <c r="AAJ13" s="114"/>
      <c r="AAK13" s="114"/>
      <c r="AAL13" s="114"/>
      <c r="AAM13" s="114"/>
      <c r="AAN13" s="114"/>
      <c r="AAO13" s="114"/>
      <c r="AAP13" s="114"/>
      <c r="AAQ13" s="114"/>
      <c r="AAR13" s="114"/>
      <c r="AAS13" s="114"/>
      <c r="AAT13" s="114"/>
      <c r="AAU13" s="114"/>
      <c r="AAV13" s="114"/>
      <c r="AAW13" s="114"/>
      <c r="AAX13" s="114"/>
      <c r="AAY13" s="114"/>
      <c r="AAZ13" s="114"/>
      <c r="ABA13" s="114"/>
      <c r="ABB13" s="114"/>
      <c r="ABC13" s="114"/>
      <c r="ABD13" s="114"/>
      <c r="ABE13" s="114"/>
      <c r="ABF13" s="114"/>
      <c r="ABG13" s="114"/>
      <c r="ABH13" s="114"/>
      <c r="ABI13" s="114"/>
      <c r="ABJ13" s="114"/>
      <c r="ABK13" s="114"/>
      <c r="ABL13" s="114"/>
      <c r="ABM13" s="114"/>
      <c r="ABN13" s="114"/>
      <c r="ABO13" s="114"/>
      <c r="ABP13" s="114"/>
      <c r="ABQ13" s="114"/>
      <c r="ABR13" s="114"/>
      <c r="ABS13" s="114"/>
      <c r="ABT13" s="114"/>
      <c r="ABU13" s="114"/>
      <c r="ABV13" s="114"/>
      <c r="ABW13" s="114"/>
      <c r="ABX13" s="114"/>
      <c r="ABY13" s="114"/>
      <c r="ABZ13" s="114"/>
      <c r="ACA13" s="114"/>
      <c r="ACB13" s="114"/>
      <c r="ACC13" s="114"/>
      <c r="ACD13" s="114"/>
      <c r="ACE13" s="114"/>
      <c r="ACF13" s="114"/>
      <c r="ACG13" s="114"/>
      <c r="ACH13" s="114"/>
      <c r="ACI13" s="114"/>
      <c r="ACJ13" s="114"/>
      <c r="ACK13" s="114"/>
      <c r="ACL13" s="114"/>
      <c r="ACM13" s="114"/>
      <c r="ACN13" s="114"/>
      <c r="ACO13" s="114"/>
      <c r="ACP13" s="114"/>
      <c r="ACQ13" s="114"/>
      <c r="ACR13" s="114"/>
      <c r="ACS13" s="114"/>
      <c r="ACT13" s="114"/>
      <c r="ACU13" s="114"/>
      <c r="ACV13" s="114"/>
      <c r="ACW13" s="114"/>
      <c r="ACX13" s="114"/>
      <c r="ACY13" s="114"/>
      <c r="ACZ13" s="114"/>
      <c r="ADA13" s="114"/>
      <c r="ADB13" s="114"/>
      <c r="ADC13" s="114"/>
      <c r="ADD13" s="114"/>
      <c r="ADE13" s="114"/>
      <c r="ADF13" s="114"/>
      <c r="ADG13" s="114"/>
      <c r="ADH13" s="114"/>
      <c r="ADI13" s="114"/>
      <c r="ADJ13" s="114"/>
      <c r="ADK13" s="114"/>
      <c r="ADL13" s="114"/>
      <c r="ADM13" s="114"/>
      <c r="ADN13" s="114"/>
      <c r="ADO13" s="114"/>
      <c r="ADP13" s="114"/>
      <c r="ADQ13" s="114"/>
      <c r="ADR13" s="114"/>
      <c r="ADS13" s="114"/>
      <c r="ADT13" s="114"/>
      <c r="ADU13" s="114"/>
      <c r="ADV13" s="114"/>
      <c r="ADW13" s="114"/>
      <c r="ADX13" s="114"/>
      <c r="ADY13" s="114"/>
      <c r="ADZ13" s="114"/>
      <c r="AEA13" s="114"/>
      <c r="AEB13" s="114"/>
      <c r="AEC13" s="114"/>
      <c r="AED13" s="114"/>
      <c r="AEE13" s="114"/>
      <c r="AEF13" s="114"/>
      <c r="AEG13" s="114"/>
      <c r="AEH13" s="114"/>
      <c r="AEI13" s="114"/>
      <c r="AEJ13" s="114"/>
      <c r="AEK13" s="114"/>
      <c r="AEL13" s="114"/>
      <c r="AEM13" s="114"/>
      <c r="AEN13" s="114"/>
      <c r="AEO13" s="114"/>
      <c r="AEP13" s="114"/>
      <c r="AEQ13" s="114"/>
      <c r="AER13" s="114"/>
      <c r="AES13" s="114"/>
      <c r="AET13" s="114"/>
      <c r="AEU13" s="114"/>
      <c r="AEV13" s="114"/>
      <c r="AEW13" s="114"/>
      <c r="AEX13" s="114"/>
      <c r="AEY13" s="114"/>
      <c r="AEZ13" s="114"/>
      <c r="AFA13" s="114"/>
      <c r="AFB13" s="114"/>
      <c r="AFC13" s="114"/>
      <c r="AFD13" s="114"/>
      <c r="AFE13" s="114"/>
      <c r="AFF13" s="114"/>
      <c r="AFG13" s="114"/>
      <c r="AFH13" s="114"/>
      <c r="AFI13" s="114"/>
      <c r="AFJ13" s="114"/>
      <c r="AFK13" s="114"/>
      <c r="AFL13" s="114"/>
      <c r="AFM13" s="114"/>
      <c r="AFN13" s="114"/>
      <c r="AFO13" s="114"/>
      <c r="AFP13" s="114"/>
      <c r="AFQ13" s="114"/>
      <c r="AFR13" s="114"/>
      <c r="AFS13" s="114"/>
      <c r="AFT13" s="114"/>
      <c r="AFU13" s="114"/>
      <c r="AFV13" s="114"/>
      <c r="AFW13" s="114"/>
      <c r="AFX13" s="114"/>
      <c r="AFY13" s="114"/>
      <c r="AFZ13" s="114"/>
      <c r="AGA13" s="114"/>
      <c r="AGB13" s="114"/>
      <c r="AGC13" s="114"/>
      <c r="AGD13" s="114"/>
      <c r="AGE13" s="114"/>
      <c r="AGF13" s="114"/>
      <c r="AGG13" s="114"/>
      <c r="AGH13" s="114"/>
      <c r="AGI13" s="114"/>
      <c r="AGJ13" s="114"/>
      <c r="AGK13" s="114"/>
      <c r="AGL13" s="114"/>
      <c r="AGM13" s="114"/>
      <c r="AGN13" s="114"/>
      <c r="AGO13" s="114"/>
      <c r="AGP13" s="114"/>
      <c r="AGQ13" s="114"/>
      <c r="AGR13" s="114"/>
      <c r="AGS13" s="114"/>
      <c r="AGT13" s="114"/>
      <c r="AGU13" s="114"/>
      <c r="AGV13" s="114"/>
      <c r="AGW13" s="114"/>
      <c r="AGX13" s="114"/>
      <c r="AGY13" s="114"/>
      <c r="AGZ13" s="114"/>
      <c r="AHA13" s="114"/>
      <c r="AHB13" s="114"/>
      <c r="AHC13" s="114"/>
      <c r="AHD13" s="114"/>
      <c r="AHE13" s="114"/>
      <c r="AHF13" s="114"/>
      <c r="AHG13" s="114"/>
      <c r="AHH13" s="114"/>
      <c r="AHI13" s="114"/>
      <c r="AHJ13" s="114"/>
      <c r="AHK13" s="114"/>
      <c r="AHL13" s="114"/>
      <c r="AHM13" s="114"/>
      <c r="AHN13" s="114"/>
      <c r="AHO13" s="114"/>
      <c r="AHP13" s="114"/>
      <c r="AHQ13" s="114"/>
      <c r="AHR13" s="114"/>
      <c r="AHS13" s="114"/>
      <c r="AHT13" s="114"/>
      <c r="AHU13" s="114"/>
      <c r="AHV13" s="114"/>
      <c r="AHW13" s="114"/>
      <c r="AHX13" s="114"/>
      <c r="AHY13" s="114"/>
      <c r="AHZ13" s="114"/>
      <c r="AIA13" s="114"/>
      <c r="AIB13" s="114"/>
      <c r="AIC13" s="114"/>
      <c r="AID13" s="114"/>
      <c r="AIE13" s="114"/>
      <c r="AIF13" s="114"/>
      <c r="AIG13" s="114"/>
      <c r="AIH13" s="114"/>
      <c r="AII13" s="114"/>
      <c r="AIJ13" s="114"/>
      <c r="AIK13" s="114"/>
      <c r="AIL13" s="114"/>
      <c r="AIM13" s="114"/>
      <c r="AIN13" s="114"/>
      <c r="AIO13" s="114"/>
      <c r="AIP13" s="114"/>
      <c r="AIQ13" s="114"/>
      <c r="AIR13" s="114"/>
      <c r="AIS13" s="114"/>
      <c r="AIT13" s="114"/>
      <c r="AIU13" s="114"/>
      <c r="AIV13" s="114"/>
      <c r="AIW13" s="114"/>
      <c r="AIX13" s="114"/>
      <c r="AIY13" s="114"/>
      <c r="AIZ13" s="114"/>
      <c r="AJA13" s="114"/>
      <c r="AJB13" s="114"/>
      <c r="AJC13" s="114"/>
      <c r="AJD13" s="114"/>
      <c r="AJE13" s="114"/>
      <c r="AJF13" s="114"/>
      <c r="AJG13" s="114"/>
      <c r="AJH13" s="114"/>
      <c r="AJI13" s="114"/>
      <c r="AJJ13" s="114"/>
      <c r="AJK13" s="114"/>
      <c r="AJL13" s="114"/>
      <c r="AJM13" s="114"/>
      <c r="AJN13" s="114"/>
      <c r="AJO13" s="114"/>
      <c r="AJP13" s="114"/>
      <c r="AJQ13" s="114"/>
      <c r="AJR13" s="114"/>
      <c r="AJS13" s="114"/>
      <c r="AJT13" s="114"/>
      <c r="AJU13" s="114"/>
      <c r="AJV13" s="114"/>
      <c r="AJW13" s="114"/>
      <c r="AJX13" s="114"/>
      <c r="AJY13" s="114"/>
      <c r="AJZ13" s="114"/>
      <c r="AKA13" s="114"/>
      <c r="AKB13" s="114"/>
      <c r="AKC13" s="114"/>
      <c r="AKD13" s="114"/>
      <c r="AKE13" s="114"/>
      <c r="AKF13" s="114"/>
      <c r="AKG13" s="114"/>
      <c r="AKH13" s="114"/>
      <c r="AKI13" s="114"/>
      <c r="AKJ13" s="114"/>
      <c r="AKK13" s="114"/>
      <c r="AKL13" s="114"/>
      <c r="AKM13" s="114"/>
      <c r="AKN13" s="114"/>
      <c r="AKO13" s="114"/>
      <c r="AKP13" s="114"/>
      <c r="AKQ13" s="114"/>
      <c r="AKR13" s="114"/>
      <c r="AKS13" s="114"/>
      <c r="AKT13" s="114"/>
      <c r="AKU13" s="114"/>
      <c r="AKV13" s="114"/>
      <c r="AKW13" s="114"/>
      <c r="AKX13" s="114"/>
      <c r="AKY13" s="114"/>
      <c r="AKZ13" s="114"/>
      <c r="ALA13" s="114"/>
      <c r="ALB13" s="114"/>
      <c r="ALC13" s="114"/>
      <c r="ALD13" s="114"/>
      <c r="ALE13" s="114"/>
      <c r="ALF13" s="114"/>
      <c r="ALG13" s="114"/>
      <c r="ALH13" s="114"/>
      <c r="ALI13" s="114"/>
      <c r="ALJ13" s="114"/>
      <c r="ALK13" s="114"/>
      <c r="ALL13" s="114"/>
      <c r="ALM13" s="114"/>
      <c r="ALN13" s="114"/>
      <c r="ALO13" s="114"/>
      <c r="ALP13" s="114"/>
      <c r="ALQ13" s="114"/>
      <c r="ALR13" s="114"/>
      <c r="ALS13" s="114"/>
      <c r="ALT13" s="114"/>
      <c r="ALU13" s="114"/>
      <c r="ALV13" s="114"/>
      <c r="ALW13" s="114"/>
      <c r="ALX13" s="114"/>
      <c r="ALY13" s="114"/>
      <c r="ALZ13" s="114"/>
      <c r="AMA13" s="114"/>
      <c r="AMB13" s="114"/>
      <c r="AMC13" s="114"/>
      <c r="AMD13" s="114"/>
      <c r="AME13" s="114"/>
      <c r="AMF13" s="114"/>
      <c r="AMG13" s="114"/>
      <c r="AMH13" s="114"/>
      <c r="AMI13" s="114"/>
      <c r="AMJ13" s="114"/>
      <c r="AMK13" s="114"/>
      <c r="AML13" s="114"/>
      <c r="AMM13" s="114"/>
      <c r="AMN13" s="114"/>
      <c r="AMO13" s="114"/>
      <c r="AMP13" s="114"/>
      <c r="AMQ13" s="114"/>
      <c r="AMR13" s="114"/>
      <c r="AMS13" s="114"/>
      <c r="AMT13" s="114"/>
      <c r="AMU13" s="114"/>
      <c r="AMV13" s="114"/>
      <c r="AMW13" s="114"/>
      <c r="AMX13" s="114"/>
      <c r="AMY13" s="114"/>
      <c r="AMZ13" s="114"/>
      <c r="ANA13" s="114"/>
      <c r="ANB13" s="114"/>
      <c r="ANC13" s="114"/>
      <c r="AND13" s="114"/>
      <c r="ANE13" s="114"/>
      <c r="ANF13" s="114"/>
      <c r="ANG13" s="114"/>
      <c r="ANH13" s="114"/>
      <c r="ANI13" s="114"/>
      <c r="ANJ13" s="114"/>
      <c r="ANK13" s="114"/>
      <c r="ANL13" s="114"/>
      <c r="ANM13" s="114"/>
      <c r="ANN13" s="114"/>
      <c r="ANO13" s="114"/>
      <c r="ANP13" s="114"/>
      <c r="ANQ13" s="114"/>
      <c r="ANR13" s="114"/>
      <c r="ANS13" s="114"/>
      <c r="ANT13" s="114"/>
      <c r="ANU13" s="114"/>
      <c r="ANV13" s="114"/>
      <c r="ANW13" s="114"/>
      <c r="ANX13" s="114"/>
      <c r="ANY13" s="114"/>
      <c r="ANZ13" s="114"/>
      <c r="AOA13" s="114"/>
      <c r="AOB13" s="114"/>
      <c r="AOC13" s="114"/>
      <c r="AOD13" s="114"/>
      <c r="AOE13" s="114"/>
      <c r="AOF13" s="114"/>
      <c r="AOG13" s="114"/>
      <c r="AOH13" s="114"/>
      <c r="AOI13" s="114"/>
      <c r="AOJ13" s="114"/>
      <c r="AOK13" s="114"/>
      <c r="AOL13" s="114"/>
      <c r="AOM13" s="114"/>
      <c r="AON13" s="114"/>
      <c r="AOO13" s="114"/>
      <c r="AOP13" s="114"/>
      <c r="AOQ13" s="114"/>
      <c r="AOR13" s="114"/>
      <c r="AOS13" s="114"/>
      <c r="AOT13" s="114"/>
      <c r="AOU13" s="114"/>
      <c r="AOV13" s="114"/>
      <c r="AOW13" s="114"/>
      <c r="AOX13" s="114"/>
      <c r="AOY13" s="114"/>
      <c r="AOZ13" s="114"/>
      <c r="APA13" s="114"/>
      <c r="APB13" s="114"/>
      <c r="APC13" s="114"/>
      <c r="APD13" s="114"/>
      <c r="APE13" s="114"/>
      <c r="APF13" s="114"/>
      <c r="APG13" s="114"/>
      <c r="APH13" s="114"/>
      <c r="API13" s="114"/>
      <c r="APJ13" s="114"/>
      <c r="APK13" s="114"/>
      <c r="APL13" s="114"/>
      <c r="APM13" s="114"/>
      <c r="APN13" s="114"/>
      <c r="APO13" s="114"/>
      <c r="APP13" s="114"/>
      <c r="APQ13" s="114"/>
      <c r="APR13" s="114"/>
      <c r="APS13" s="114"/>
      <c r="APT13" s="114"/>
      <c r="APU13" s="114"/>
      <c r="APV13" s="114"/>
      <c r="APW13" s="114"/>
      <c r="APX13" s="114"/>
      <c r="APY13" s="114"/>
      <c r="APZ13" s="114"/>
      <c r="AQA13" s="114"/>
      <c r="AQB13" s="114"/>
      <c r="AQC13" s="114"/>
      <c r="AQD13" s="114"/>
      <c r="AQE13" s="114"/>
      <c r="AQF13" s="114"/>
      <c r="AQG13" s="114"/>
      <c r="AQH13" s="114"/>
      <c r="AQI13" s="114"/>
      <c r="AQJ13" s="114"/>
      <c r="AQK13" s="114"/>
      <c r="AQL13" s="114"/>
      <c r="AQM13" s="114"/>
      <c r="AQN13" s="114"/>
      <c r="AQO13" s="114"/>
      <c r="AQP13" s="114"/>
      <c r="AQQ13" s="114"/>
      <c r="AQR13" s="114"/>
      <c r="AQS13" s="114"/>
      <c r="AQT13" s="114"/>
      <c r="AQU13" s="114"/>
      <c r="AQV13" s="114"/>
      <c r="AQW13" s="114"/>
      <c r="AQX13" s="114"/>
      <c r="AQY13" s="114"/>
      <c r="AQZ13" s="114"/>
      <c r="ARA13" s="114"/>
      <c r="ARB13" s="114"/>
      <c r="ARC13" s="114"/>
      <c r="ARD13" s="114"/>
      <c r="ARE13" s="114"/>
      <c r="ARF13" s="114"/>
      <c r="ARG13" s="114"/>
      <c r="ARH13" s="114"/>
      <c r="ARI13" s="114"/>
      <c r="ARJ13" s="114"/>
      <c r="ARK13" s="114"/>
      <c r="ARL13" s="114"/>
      <c r="ARM13" s="114"/>
      <c r="ARN13" s="114"/>
      <c r="ARO13" s="114"/>
      <c r="ARP13" s="114"/>
      <c r="ARQ13" s="114"/>
      <c r="ARR13" s="114"/>
      <c r="ARS13" s="114"/>
      <c r="ART13" s="114"/>
      <c r="ARU13" s="114"/>
      <c r="ARV13" s="114"/>
      <c r="ARW13" s="114"/>
      <c r="ARX13" s="114"/>
      <c r="ARY13" s="114"/>
      <c r="ARZ13" s="114"/>
      <c r="ASA13" s="114"/>
      <c r="ASB13" s="114"/>
      <c r="ASC13" s="114"/>
      <c r="ASD13" s="114"/>
      <c r="ASE13" s="114"/>
      <c r="ASF13" s="114"/>
      <c r="ASG13" s="114"/>
      <c r="ASH13" s="114"/>
      <c r="ASI13" s="114"/>
      <c r="ASJ13" s="114"/>
      <c r="ASK13" s="114"/>
      <c r="ASL13" s="114"/>
      <c r="ASM13" s="114"/>
      <c r="ASN13" s="114"/>
      <c r="ASO13" s="114"/>
      <c r="ASP13" s="114"/>
      <c r="ASQ13" s="114"/>
      <c r="ASR13" s="114"/>
      <c r="ASS13" s="114"/>
      <c r="AST13" s="114"/>
      <c r="ASU13" s="114"/>
      <c r="ASV13" s="114"/>
      <c r="ASW13" s="114"/>
      <c r="ASX13" s="114"/>
      <c r="ASY13" s="114"/>
      <c r="ASZ13" s="114"/>
      <c r="ATA13" s="114"/>
      <c r="ATB13" s="114"/>
      <c r="ATC13" s="114"/>
      <c r="ATD13" s="114"/>
      <c r="ATE13" s="114"/>
      <c r="ATF13" s="114"/>
      <c r="ATG13" s="114"/>
      <c r="ATH13" s="114"/>
      <c r="ATI13" s="114"/>
      <c r="ATJ13" s="114"/>
      <c r="ATK13" s="114"/>
      <c r="ATL13" s="114"/>
      <c r="ATM13" s="114"/>
      <c r="ATN13" s="114"/>
      <c r="ATO13" s="114"/>
      <c r="ATP13" s="114"/>
      <c r="ATQ13" s="114"/>
      <c r="ATR13" s="114"/>
      <c r="ATS13" s="114"/>
      <c r="ATT13" s="114"/>
      <c r="ATU13" s="114"/>
      <c r="ATV13" s="114"/>
      <c r="ATW13" s="114"/>
      <c r="ATX13" s="114"/>
      <c r="ATY13" s="114"/>
      <c r="ATZ13" s="114"/>
      <c r="AUA13" s="114"/>
      <c r="AUB13" s="114"/>
      <c r="AUC13" s="114"/>
      <c r="AUD13" s="114"/>
      <c r="AUE13" s="114"/>
      <c r="AUF13" s="114"/>
      <c r="AUG13" s="114"/>
      <c r="AUH13" s="114"/>
      <c r="AUI13" s="114"/>
      <c r="AUJ13" s="114"/>
      <c r="AUK13" s="114"/>
      <c r="AUL13" s="114"/>
      <c r="AUM13" s="114"/>
      <c r="AUN13" s="114"/>
      <c r="AUO13" s="114"/>
      <c r="AUP13" s="114"/>
      <c r="AUQ13" s="114"/>
      <c r="AUR13" s="114"/>
      <c r="AUS13" s="114"/>
      <c r="AUT13" s="114"/>
      <c r="AUU13" s="114"/>
      <c r="AUV13" s="114"/>
      <c r="AUW13" s="114"/>
      <c r="AUX13" s="114"/>
      <c r="AUY13" s="114"/>
      <c r="AUZ13" s="114"/>
      <c r="AVA13" s="114"/>
      <c r="AVB13" s="114"/>
      <c r="AVC13" s="114"/>
      <c r="AVD13" s="114"/>
      <c r="AVE13" s="114"/>
      <c r="AVF13" s="114"/>
      <c r="AVG13" s="114"/>
      <c r="AVH13" s="114"/>
      <c r="AVI13" s="114"/>
      <c r="AVJ13" s="114"/>
      <c r="AVK13" s="114"/>
      <c r="AVL13" s="114"/>
      <c r="AVM13" s="114"/>
      <c r="AVN13" s="114"/>
      <c r="AVO13" s="114"/>
      <c r="AVP13" s="114"/>
      <c r="AVQ13" s="114"/>
      <c r="AVR13" s="114"/>
      <c r="AVS13" s="114"/>
      <c r="AVT13" s="114"/>
      <c r="AVU13" s="114"/>
      <c r="AVV13" s="114"/>
      <c r="AVW13" s="114"/>
      <c r="AVX13" s="114"/>
      <c r="AVY13" s="114"/>
      <c r="AVZ13" s="114"/>
      <c r="AWA13" s="114"/>
      <c r="AWB13" s="114"/>
      <c r="AWC13" s="114"/>
      <c r="AWD13" s="114"/>
      <c r="AWE13" s="114"/>
      <c r="AWF13" s="114"/>
      <c r="AWG13" s="114"/>
      <c r="AWH13" s="114"/>
      <c r="AWI13" s="114"/>
      <c r="AWJ13" s="114"/>
      <c r="AWK13" s="114"/>
      <c r="AWL13" s="114"/>
      <c r="AWM13" s="114"/>
      <c r="AWN13" s="114"/>
      <c r="AWO13" s="114"/>
      <c r="AWP13" s="114"/>
      <c r="AWQ13" s="114"/>
      <c r="AWR13" s="114"/>
      <c r="AWS13" s="114"/>
      <c r="AWT13" s="114"/>
      <c r="AWU13" s="114"/>
      <c r="AWV13" s="114"/>
      <c r="AWW13" s="114"/>
      <c r="AWX13" s="114"/>
      <c r="AWY13" s="114"/>
      <c r="AWZ13" s="114"/>
      <c r="AXA13" s="114"/>
      <c r="AXB13" s="114"/>
      <c r="AXC13" s="114"/>
      <c r="AXD13" s="114"/>
      <c r="AXE13" s="114"/>
      <c r="AXF13" s="114"/>
      <c r="AXG13" s="114"/>
      <c r="AXH13" s="114"/>
      <c r="AXI13" s="114"/>
      <c r="AXJ13" s="114"/>
      <c r="AXK13" s="114"/>
      <c r="AXL13" s="114"/>
      <c r="AXM13" s="114"/>
      <c r="AXN13" s="114"/>
      <c r="AXO13" s="114"/>
      <c r="AXP13" s="114"/>
      <c r="AXQ13" s="114"/>
      <c r="AXR13" s="114"/>
      <c r="AXS13" s="114"/>
      <c r="AXT13" s="114"/>
      <c r="AXU13" s="114"/>
      <c r="AXV13" s="114"/>
      <c r="AXW13" s="114"/>
      <c r="AXX13" s="114"/>
      <c r="AXY13" s="114"/>
      <c r="AXZ13" s="114"/>
      <c r="AYA13" s="114"/>
      <c r="AYB13" s="114"/>
      <c r="AYC13" s="114"/>
      <c r="AYD13" s="114"/>
      <c r="AYE13" s="114"/>
      <c r="AYF13" s="114"/>
      <c r="AYG13" s="114"/>
      <c r="AYH13" s="114"/>
      <c r="AYI13" s="114"/>
      <c r="AYJ13" s="114"/>
      <c r="AYK13" s="114"/>
      <c r="AYL13" s="114"/>
      <c r="AYM13" s="114"/>
      <c r="AYN13" s="114"/>
      <c r="AYO13" s="114"/>
      <c r="AYP13" s="114"/>
      <c r="AYQ13" s="114"/>
      <c r="AYR13" s="114"/>
      <c r="AYS13" s="114"/>
      <c r="AYT13" s="114"/>
      <c r="AYU13" s="114"/>
      <c r="AYV13" s="114"/>
      <c r="AYW13" s="114"/>
      <c r="AYX13" s="114"/>
      <c r="AYY13" s="114"/>
      <c r="AYZ13" s="114"/>
      <c r="AZA13" s="114"/>
      <c r="AZB13" s="114"/>
      <c r="AZC13" s="114"/>
      <c r="AZD13" s="114"/>
      <c r="AZE13" s="114"/>
      <c r="AZF13" s="114"/>
      <c r="AZG13" s="114"/>
      <c r="AZH13" s="114"/>
      <c r="AZI13" s="114"/>
      <c r="AZJ13" s="114"/>
      <c r="AZK13" s="114"/>
      <c r="AZL13" s="114"/>
      <c r="AZM13" s="114"/>
      <c r="AZN13" s="114"/>
      <c r="AZO13" s="114"/>
      <c r="AZP13" s="114"/>
      <c r="AZQ13" s="114"/>
      <c r="AZR13" s="114"/>
      <c r="AZS13" s="114"/>
      <c r="AZT13" s="114"/>
      <c r="AZU13" s="114"/>
      <c r="AZV13" s="114"/>
      <c r="AZW13" s="114"/>
      <c r="AZX13" s="114"/>
      <c r="AZY13" s="114"/>
      <c r="AZZ13" s="114"/>
      <c r="BAA13" s="114"/>
      <c r="BAB13" s="114"/>
      <c r="BAC13" s="114"/>
      <c r="BAD13" s="114"/>
      <c r="BAE13" s="114"/>
      <c r="BAF13" s="114"/>
      <c r="BAG13" s="114"/>
      <c r="BAH13" s="114"/>
      <c r="BAI13" s="114"/>
      <c r="BAJ13" s="114"/>
      <c r="BAK13" s="114"/>
      <c r="BAL13" s="114"/>
      <c r="BAM13" s="114"/>
      <c r="BAN13" s="114"/>
      <c r="BAO13" s="114"/>
      <c r="BAP13" s="114"/>
      <c r="BAQ13" s="114"/>
      <c r="BAR13" s="114"/>
      <c r="BAS13" s="114"/>
      <c r="BAT13" s="114"/>
      <c r="BAU13" s="114"/>
      <c r="BAV13" s="114"/>
      <c r="BAW13" s="114"/>
      <c r="BAX13" s="114"/>
      <c r="BAY13" s="114"/>
      <c r="BAZ13" s="114"/>
      <c r="BBA13" s="114"/>
      <c r="BBB13" s="114"/>
      <c r="BBC13" s="114"/>
      <c r="BBD13" s="114"/>
      <c r="BBE13" s="114"/>
      <c r="BBF13" s="114"/>
      <c r="BBG13" s="114"/>
      <c r="BBH13" s="114"/>
      <c r="BBI13" s="114"/>
      <c r="BBJ13" s="114"/>
      <c r="BBK13" s="114"/>
      <c r="BBL13" s="114"/>
      <c r="BBM13" s="114"/>
      <c r="BBN13" s="114"/>
      <c r="BBO13" s="114"/>
      <c r="BBP13" s="114"/>
      <c r="BBQ13" s="114"/>
      <c r="BBR13" s="114"/>
      <c r="BBS13" s="114"/>
      <c r="BBT13" s="114"/>
      <c r="BBU13" s="114"/>
      <c r="BBV13" s="114"/>
      <c r="BBW13" s="114"/>
      <c r="BBX13" s="114"/>
      <c r="BBY13" s="114"/>
      <c r="BBZ13" s="114"/>
      <c r="BCA13" s="114"/>
      <c r="BCB13" s="114"/>
      <c r="BCC13" s="114"/>
      <c r="BCD13" s="114"/>
      <c r="BCE13" s="114"/>
      <c r="BCF13" s="114"/>
      <c r="BCG13" s="114"/>
      <c r="BCH13" s="114"/>
      <c r="BCI13" s="114"/>
      <c r="BCJ13" s="114"/>
      <c r="BCK13" s="114"/>
      <c r="BCL13" s="114"/>
      <c r="BCM13" s="114"/>
      <c r="BCN13" s="114"/>
      <c r="BCO13" s="114"/>
      <c r="BCP13" s="114"/>
      <c r="BCQ13" s="114"/>
      <c r="BCR13" s="114"/>
      <c r="BCS13" s="114"/>
      <c r="BCT13" s="114"/>
      <c r="BCU13" s="114"/>
      <c r="BCV13" s="114"/>
      <c r="BCW13" s="114"/>
      <c r="BCX13" s="114"/>
      <c r="BCY13" s="114"/>
      <c r="BCZ13" s="114"/>
      <c r="BDA13" s="114"/>
      <c r="BDB13" s="114"/>
      <c r="BDC13" s="114"/>
      <c r="BDD13" s="114"/>
      <c r="BDE13" s="114"/>
      <c r="BDF13" s="114"/>
      <c r="BDG13" s="114"/>
      <c r="BDH13" s="114"/>
      <c r="BDI13" s="114"/>
      <c r="BDJ13" s="114"/>
      <c r="BDK13" s="114"/>
      <c r="BDL13" s="114"/>
      <c r="BDM13" s="114"/>
      <c r="BDN13" s="114"/>
      <c r="BDO13" s="114"/>
      <c r="BDP13" s="114"/>
      <c r="BDQ13" s="114"/>
      <c r="BDR13" s="114"/>
      <c r="BDS13" s="114"/>
      <c r="BDT13" s="114"/>
      <c r="BDU13" s="114"/>
      <c r="BDV13" s="114"/>
      <c r="BDW13" s="114"/>
      <c r="BDX13" s="114"/>
      <c r="BDY13" s="114"/>
      <c r="BDZ13" s="114"/>
      <c r="BEA13" s="114"/>
      <c r="BEB13" s="114"/>
      <c r="BEC13" s="114"/>
      <c r="BED13" s="114"/>
      <c r="BEE13" s="114"/>
      <c r="BEF13" s="114"/>
      <c r="BEG13" s="114"/>
      <c r="BEH13" s="114"/>
      <c r="BEI13" s="114"/>
      <c r="BEJ13" s="114"/>
      <c r="BEK13" s="114"/>
      <c r="BEL13" s="114"/>
      <c r="BEM13" s="114"/>
      <c r="BEN13" s="114"/>
      <c r="BEO13" s="114"/>
      <c r="BEP13" s="114"/>
      <c r="BEQ13" s="114"/>
      <c r="BER13" s="114"/>
      <c r="BES13" s="114"/>
      <c r="BET13" s="114"/>
      <c r="BEU13" s="114"/>
      <c r="BEV13" s="114"/>
      <c r="BEW13" s="114"/>
      <c r="BEX13" s="114"/>
      <c r="BEY13" s="114"/>
      <c r="BEZ13" s="114"/>
      <c r="BFA13" s="114"/>
      <c r="BFB13" s="114"/>
      <c r="BFC13" s="114"/>
      <c r="BFD13" s="114"/>
      <c r="BFE13" s="114"/>
      <c r="BFF13" s="114"/>
      <c r="BFG13" s="114"/>
      <c r="BFH13" s="114"/>
      <c r="BFI13" s="114"/>
      <c r="BFJ13" s="114"/>
      <c r="BFK13" s="114"/>
      <c r="BFL13" s="114"/>
      <c r="BFM13" s="114"/>
      <c r="BFN13" s="114"/>
      <c r="BFO13" s="114"/>
      <c r="BFP13" s="114"/>
      <c r="BFQ13" s="114"/>
      <c r="BFR13" s="114"/>
      <c r="BFS13" s="114"/>
      <c r="BFT13" s="114"/>
      <c r="BFU13" s="114"/>
      <c r="BFV13" s="114"/>
      <c r="BFW13" s="114"/>
      <c r="BFX13" s="114"/>
      <c r="BFY13" s="114"/>
      <c r="BFZ13" s="114"/>
      <c r="BGA13" s="114"/>
      <c r="BGB13" s="114"/>
      <c r="BGC13" s="114"/>
      <c r="BGD13" s="114"/>
      <c r="BGE13" s="114"/>
      <c r="BGF13" s="114"/>
      <c r="BGG13" s="114"/>
      <c r="BGH13" s="114"/>
      <c r="BGI13" s="114"/>
      <c r="BGJ13" s="114"/>
      <c r="BGK13" s="114"/>
      <c r="BGL13" s="114"/>
      <c r="BGM13" s="114"/>
      <c r="BGN13" s="114"/>
      <c r="BGO13" s="114"/>
      <c r="BGP13" s="114"/>
      <c r="BGQ13" s="114"/>
      <c r="BGR13" s="114"/>
      <c r="BGS13" s="114"/>
      <c r="BGT13" s="114"/>
      <c r="BGU13" s="114"/>
      <c r="BGV13" s="114"/>
      <c r="BGW13" s="114"/>
      <c r="BGX13" s="114"/>
      <c r="BGY13" s="114"/>
      <c r="BGZ13" s="114"/>
      <c r="BHA13" s="114"/>
      <c r="BHB13" s="114"/>
      <c r="BHC13" s="114"/>
      <c r="BHD13" s="114"/>
      <c r="BHE13" s="114"/>
      <c r="BHF13" s="114"/>
      <c r="BHG13" s="114"/>
      <c r="BHH13" s="114"/>
      <c r="BHI13" s="114"/>
      <c r="BHJ13" s="114"/>
      <c r="BHK13" s="114"/>
      <c r="BHL13" s="114"/>
      <c r="BHM13" s="114"/>
      <c r="BHN13" s="114"/>
      <c r="BHO13" s="114"/>
      <c r="BHP13" s="114"/>
      <c r="BHQ13" s="114"/>
      <c r="BHR13" s="114"/>
      <c r="BHS13" s="114"/>
      <c r="BHT13" s="114"/>
      <c r="BHU13" s="114"/>
      <c r="BHV13" s="114"/>
      <c r="BHW13" s="114"/>
      <c r="BHX13" s="114"/>
      <c r="BHY13" s="114"/>
      <c r="BHZ13" s="114"/>
      <c r="BIA13" s="114"/>
      <c r="BIB13" s="114"/>
      <c r="BIC13" s="114"/>
      <c r="BID13" s="114"/>
      <c r="BIE13" s="114"/>
      <c r="BIF13" s="114"/>
      <c r="BIG13" s="114"/>
      <c r="BIH13" s="114"/>
      <c r="BII13" s="114"/>
      <c r="BIJ13" s="114"/>
      <c r="BIK13" s="114"/>
      <c r="BIL13" s="114"/>
      <c r="BIM13" s="114"/>
      <c r="BIN13" s="114"/>
      <c r="BIO13" s="114"/>
      <c r="BIP13" s="114"/>
      <c r="BIQ13" s="114"/>
      <c r="BIR13" s="114"/>
      <c r="BIS13" s="114"/>
      <c r="BIT13" s="114"/>
      <c r="BIU13" s="114"/>
      <c r="BIV13" s="114"/>
      <c r="BIW13" s="114"/>
      <c r="BIX13" s="114"/>
      <c r="BIY13" s="114"/>
      <c r="BIZ13" s="114"/>
      <c r="BJA13" s="114"/>
      <c r="BJB13" s="114"/>
      <c r="BJC13" s="114"/>
      <c r="BJD13" s="114"/>
      <c r="BJE13" s="114"/>
      <c r="BJF13" s="114"/>
      <c r="BJG13" s="114"/>
      <c r="BJH13" s="114"/>
      <c r="BJI13" s="114"/>
      <c r="BJJ13" s="114"/>
      <c r="BJK13" s="114"/>
      <c r="BJL13" s="114"/>
      <c r="BJM13" s="114"/>
      <c r="BJN13" s="114"/>
      <c r="BJO13" s="114"/>
      <c r="BJP13" s="114"/>
      <c r="BJQ13" s="114"/>
      <c r="BJR13" s="114"/>
      <c r="BJS13" s="114"/>
      <c r="BJT13" s="114"/>
      <c r="BJU13" s="114"/>
      <c r="BJV13" s="114"/>
      <c r="BJW13" s="114"/>
      <c r="BJX13" s="114"/>
      <c r="BJY13" s="114"/>
      <c r="BJZ13" s="114"/>
      <c r="BKA13" s="114"/>
      <c r="BKB13" s="114"/>
      <c r="BKC13" s="114"/>
      <c r="BKD13" s="114"/>
      <c r="BKE13" s="114"/>
      <c r="BKF13" s="114"/>
      <c r="BKG13" s="114"/>
      <c r="BKH13" s="114"/>
      <c r="BKI13" s="114"/>
      <c r="BKJ13" s="114"/>
      <c r="BKK13" s="114"/>
      <c r="BKL13" s="114"/>
      <c r="BKM13" s="114"/>
      <c r="BKN13" s="114"/>
      <c r="BKO13" s="114"/>
      <c r="BKP13" s="114"/>
      <c r="BKQ13" s="114"/>
      <c r="BKR13" s="114"/>
      <c r="BKS13" s="114"/>
      <c r="BKT13" s="114"/>
      <c r="BKU13" s="114"/>
      <c r="BKV13" s="114"/>
      <c r="BKW13" s="114"/>
      <c r="BKX13" s="114"/>
      <c r="BKY13" s="114"/>
      <c r="BKZ13" s="114"/>
      <c r="BLA13" s="114"/>
      <c r="BLB13" s="114"/>
      <c r="BLC13" s="114"/>
      <c r="BLD13" s="114"/>
      <c r="BLE13" s="114"/>
      <c r="BLF13" s="114"/>
      <c r="BLG13" s="114"/>
      <c r="BLH13" s="114"/>
      <c r="BLI13" s="114"/>
      <c r="BLJ13" s="114"/>
      <c r="BLK13" s="114"/>
      <c r="BLL13" s="114"/>
      <c r="BLM13" s="114"/>
      <c r="BLN13" s="114"/>
      <c r="BLO13" s="114"/>
      <c r="BLP13" s="114"/>
      <c r="BLQ13" s="114"/>
      <c r="BLR13" s="114"/>
      <c r="BLS13" s="114"/>
      <c r="BLT13" s="114"/>
      <c r="BLU13" s="114"/>
      <c r="BLV13" s="114"/>
      <c r="BLW13" s="114"/>
      <c r="BLX13" s="114"/>
      <c r="BLY13" s="114"/>
      <c r="BLZ13" s="114"/>
      <c r="BMA13" s="114"/>
      <c r="BMB13" s="114"/>
      <c r="BMC13" s="114"/>
      <c r="BMD13" s="114"/>
      <c r="BME13" s="114"/>
      <c r="BMF13" s="114"/>
      <c r="BMG13" s="114"/>
      <c r="BMH13" s="114"/>
      <c r="BMI13" s="114"/>
      <c r="BMJ13" s="114"/>
      <c r="BMK13" s="114"/>
      <c r="BML13" s="114"/>
      <c r="BMM13" s="114"/>
      <c r="BMN13" s="114"/>
      <c r="BMO13" s="114"/>
      <c r="BMP13" s="114"/>
      <c r="BMQ13" s="114"/>
      <c r="BMR13" s="114"/>
      <c r="BMS13" s="114"/>
      <c r="BMT13" s="114"/>
      <c r="BMU13" s="114"/>
      <c r="BMV13" s="114"/>
      <c r="BMW13" s="114"/>
      <c r="BMX13" s="114"/>
      <c r="BMY13" s="114"/>
      <c r="BMZ13" s="114"/>
      <c r="BNA13" s="114"/>
      <c r="BNB13" s="114"/>
      <c r="BNC13" s="114"/>
      <c r="BND13" s="114"/>
      <c r="BNE13" s="114"/>
      <c r="BNF13" s="114"/>
      <c r="BNG13" s="114"/>
      <c r="BNH13" s="114"/>
      <c r="BNI13" s="114"/>
      <c r="BNJ13" s="114"/>
      <c r="BNK13" s="114"/>
      <c r="BNL13" s="114"/>
      <c r="BNM13" s="114"/>
      <c r="BNN13" s="114"/>
      <c r="BNO13" s="114"/>
      <c r="BNP13" s="114"/>
      <c r="BNQ13" s="114"/>
      <c r="BNR13" s="114"/>
      <c r="BNS13" s="114"/>
      <c r="BNT13" s="114"/>
      <c r="BNU13" s="114"/>
      <c r="BNV13" s="114"/>
      <c r="BNW13" s="114"/>
      <c r="BNX13" s="114"/>
      <c r="BNY13" s="114"/>
      <c r="BNZ13" s="114"/>
      <c r="BOA13" s="114"/>
      <c r="BOB13" s="114"/>
      <c r="BOC13" s="114"/>
      <c r="BOD13" s="114"/>
      <c r="BOE13" s="114"/>
      <c r="BOF13" s="114"/>
      <c r="BOG13" s="114"/>
      <c r="BOH13" s="114"/>
      <c r="BOI13" s="114"/>
      <c r="BOJ13" s="114"/>
      <c r="BOK13" s="114"/>
      <c r="BOL13" s="114"/>
      <c r="BOM13" s="114"/>
      <c r="BON13" s="114"/>
      <c r="BOO13" s="114"/>
      <c r="BOP13" s="114"/>
      <c r="BOQ13" s="114"/>
      <c r="BOR13" s="114"/>
      <c r="BOS13" s="114"/>
      <c r="BOT13" s="114"/>
      <c r="BOU13" s="114"/>
      <c r="BOV13" s="114"/>
      <c r="BOW13" s="114"/>
      <c r="BOX13" s="114"/>
      <c r="BOY13" s="114"/>
      <c r="BOZ13" s="114"/>
      <c r="BPA13" s="114"/>
      <c r="BPB13" s="114"/>
      <c r="BPC13" s="114"/>
      <c r="BPD13" s="114"/>
      <c r="BPE13" s="114"/>
      <c r="BPF13" s="114"/>
      <c r="BPG13" s="114"/>
      <c r="BPH13" s="114"/>
      <c r="BPI13" s="114"/>
      <c r="BPJ13" s="114"/>
      <c r="BPK13" s="114"/>
      <c r="BPL13" s="114"/>
      <c r="BPM13" s="114"/>
      <c r="BPN13" s="114"/>
      <c r="BPO13" s="114"/>
      <c r="BPP13" s="114"/>
      <c r="BPQ13" s="114"/>
      <c r="BPR13" s="114"/>
      <c r="BPS13" s="114"/>
      <c r="BPT13" s="114"/>
      <c r="BPU13" s="114"/>
      <c r="BPV13" s="114"/>
      <c r="BPW13" s="114"/>
      <c r="BPX13" s="114"/>
      <c r="BPY13" s="114"/>
      <c r="BPZ13" s="114"/>
      <c r="BQA13" s="114"/>
      <c r="BQB13" s="114"/>
      <c r="BQC13" s="114"/>
      <c r="BQD13" s="114"/>
      <c r="BQE13" s="114"/>
      <c r="BQF13" s="114"/>
      <c r="BQG13" s="114"/>
      <c r="BQH13" s="114"/>
      <c r="BQI13" s="114"/>
      <c r="BQJ13" s="114"/>
      <c r="BQK13" s="114"/>
      <c r="BQL13" s="114"/>
      <c r="BQM13" s="114"/>
      <c r="BQN13" s="114"/>
      <c r="BQO13" s="114"/>
      <c r="BQP13" s="114"/>
      <c r="BQQ13" s="114"/>
      <c r="BQR13" s="114"/>
      <c r="BQS13" s="114"/>
      <c r="BQT13" s="114"/>
      <c r="BQU13" s="114"/>
      <c r="BQV13" s="114"/>
      <c r="BQW13" s="114"/>
      <c r="BQX13" s="114"/>
      <c r="BQY13" s="114"/>
      <c r="BQZ13" s="114"/>
      <c r="BRA13" s="114"/>
      <c r="BRB13" s="114"/>
      <c r="BRC13" s="114"/>
      <c r="BRD13" s="114"/>
      <c r="BRE13" s="114"/>
      <c r="BRF13" s="114"/>
      <c r="BRG13" s="114"/>
      <c r="BRH13" s="114"/>
      <c r="BRI13" s="114"/>
      <c r="BRJ13" s="114"/>
      <c r="BRK13" s="114"/>
      <c r="BRL13" s="114"/>
      <c r="BRM13" s="114"/>
      <c r="BRN13" s="114"/>
      <c r="BRO13" s="114"/>
      <c r="BRP13" s="114"/>
      <c r="BRQ13" s="114"/>
      <c r="BRR13" s="114"/>
      <c r="BRS13" s="114"/>
      <c r="BRT13" s="114"/>
      <c r="BRU13" s="114"/>
      <c r="BRV13" s="114"/>
      <c r="BRW13" s="114"/>
      <c r="BRX13" s="114"/>
      <c r="BRY13" s="114"/>
      <c r="BRZ13" s="114"/>
      <c r="BSA13" s="114"/>
      <c r="BSB13" s="114"/>
      <c r="BSC13" s="114"/>
      <c r="BSD13" s="114"/>
      <c r="BSE13" s="114"/>
      <c r="BSF13" s="114"/>
      <c r="BSG13" s="114"/>
      <c r="BSH13" s="114"/>
      <c r="BSI13" s="114"/>
      <c r="BSJ13" s="114"/>
      <c r="BSK13" s="114"/>
      <c r="BSL13" s="114"/>
      <c r="BSM13" s="114"/>
      <c r="BSN13" s="114"/>
      <c r="BSO13" s="114"/>
      <c r="BSP13" s="114"/>
      <c r="BSQ13" s="114"/>
      <c r="BSR13" s="114"/>
      <c r="BSS13" s="114"/>
      <c r="BST13" s="114"/>
      <c r="BSU13" s="114"/>
      <c r="BSV13" s="114"/>
      <c r="BSW13" s="114"/>
      <c r="BSX13" s="114"/>
      <c r="BSY13" s="114"/>
      <c r="BSZ13" s="114"/>
      <c r="BTA13" s="114"/>
      <c r="BTB13" s="114"/>
      <c r="BTC13" s="114"/>
      <c r="BTD13" s="114"/>
      <c r="BTE13" s="114"/>
      <c r="BTF13" s="114"/>
      <c r="BTG13" s="114"/>
      <c r="BTH13" s="114"/>
      <c r="BTI13" s="114"/>
      <c r="BTJ13" s="114"/>
      <c r="BTK13" s="114"/>
      <c r="BTL13" s="114"/>
      <c r="BTM13" s="114"/>
      <c r="BTN13" s="114"/>
      <c r="BTO13" s="114"/>
      <c r="BTP13" s="114"/>
      <c r="BTQ13" s="114"/>
      <c r="BTR13" s="114"/>
      <c r="BTS13" s="114"/>
      <c r="BTT13" s="114"/>
      <c r="BTU13" s="114"/>
      <c r="BTV13" s="114"/>
      <c r="BTW13" s="114"/>
      <c r="BTX13" s="114"/>
      <c r="BTY13" s="114"/>
      <c r="BTZ13" s="114"/>
      <c r="BUA13" s="114"/>
      <c r="BUB13" s="114"/>
      <c r="BUC13" s="114"/>
      <c r="BUD13" s="114"/>
      <c r="BUE13" s="114"/>
      <c r="BUF13" s="114"/>
      <c r="BUG13" s="114"/>
      <c r="BUH13" s="114"/>
      <c r="BUI13" s="114"/>
      <c r="BUJ13" s="114"/>
      <c r="BUK13" s="114"/>
      <c r="BUL13" s="114"/>
      <c r="BUM13" s="114"/>
      <c r="BUN13" s="114"/>
      <c r="BUO13" s="114"/>
      <c r="BUP13" s="114"/>
      <c r="BUQ13" s="114"/>
      <c r="BUR13" s="114"/>
      <c r="BUS13" s="114"/>
      <c r="BUT13" s="114"/>
      <c r="BUU13" s="114"/>
      <c r="BUV13" s="114"/>
      <c r="BUW13" s="114"/>
      <c r="BUX13" s="114"/>
      <c r="BUY13" s="114"/>
      <c r="BUZ13" s="114"/>
      <c r="BVA13" s="114"/>
      <c r="BVB13" s="114"/>
      <c r="BVC13" s="114"/>
      <c r="BVD13" s="114"/>
      <c r="BVE13" s="114"/>
      <c r="BVF13" s="114"/>
      <c r="BVG13" s="114"/>
      <c r="BVH13" s="114"/>
      <c r="BVI13" s="114"/>
      <c r="BVJ13" s="114"/>
      <c r="BVK13" s="114"/>
      <c r="BVL13" s="114"/>
      <c r="BVM13" s="114"/>
      <c r="BVN13" s="114"/>
      <c r="BVO13" s="114"/>
      <c r="BVP13" s="114"/>
      <c r="BVQ13" s="114"/>
      <c r="BVR13" s="114"/>
      <c r="BVS13" s="114"/>
      <c r="BVT13" s="114"/>
      <c r="BVU13" s="114"/>
      <c r="BVV13" s="114"/>
      <c r="BVW13" s="114"/>
      <c r="BVX13" s="114"/>
      <c r="BVY13" s="114"/>
      <c r="BVZ13" s="114"/>
      <c r="BWA13" s="114"/>
      <c r="BWB13" s="114"/>
      <c r="BWC13" s="114"/>
      <c r="BWD13" s="114"/>
      <c r="BWE13" s="114"/>
      <c r="BWF13" s="114"/>
      <c r="BWG13" s="114"/>
      <c r="BWH13" s="114"/>
      <c r="BWI13" s="114"/>
      <c r="BWJ13" s="114"/>
      <c r="BWK13" s="114"/>
      <c r="BWL13" s="114"/>
      <c r="BWM13" s="114"/>
      <c r="BWN13" s="114"/>
      <c r="BWO13" s="114"/>
      <c r="BWP13" s="114"/>
      <c r="BWQ13" s="114"/>
      <c r="BWR13" s="114"/>
      <c r="BWS13" s="114"/>
      <c r="BWT13" s="114"/>
      <c r="BWU13" s="114"/>
      <c r="BWV13" s="114"/>
      <c r="BWW13" s="114"/>
      <c r="BWX13" s="114"/>
      <c r="BWY13" s="114"/>
      <c r="BWZ13" s="114"/>
      <c r="BXA13" s="114"/>
      <c r="BXB13" s="114"/>
      <c r="BXC13" s="114"/>
      <c r="BXD13" s="114"/>
      <c r="BXE13" s="114"/>
      <c r="BXF13" s="114"/>
      <c r="BXG13" s="114"/>
      <c r="BXH13" s="114"/>
      <c r="BXI13" s="114"/>
      <c r="BXJ13" s="114"/>
      <c r="BXK13" s="114"/>
      <c r="BXL13" s="114"/>
      <c r="BXM13" s="114"/>
      <c r="BXN13" s="114"/>
      <c r="BXO13" s="114"/>
      <c r="BXP13" s="114"/>
      <c r="BXQ13" s="114"/>
      <c r="BXR13" s="114"/>
      <c r="BXS13" s="114"/>
      <c r="BXT13" s="114"/>
      <c r="BXU13" s="114"/>
      <c r="BXV13" s="114"/>
      <c r="BXW13" s="114"/>
      <c r="BXX13" s="114"/>
      <c r="BXY13" s="114"/>
      <c r="BXZ13" s="114"/>
      <c r="BYA13" s="114"/>
      <c r="BYB13" s="114"/>
      <c r="BYC13" s="114"/>
      <c r="BYD13" s="114"/>
      <c r="BYE13" s="114"/>
      <c r="BYF13" s="114"/>
      <c r="BYG13" s="114"/>
      <c r="BYH13" s="114"/>
      <c r="BYI13" s="114"/>
      <c r="BYJ13" s="114"/>
      <c r="BYK13" s="114"/>
      <c r="BYL13" s="114"/>
      <c r="BYM13" s="114"/>
      <c r="BYN13" s="114"/>
      <c r="BYO13" s="114"/>
      <c r="BYP13" s="114"/>
      <c r="BYQ13" s="114"/>
      <c r="BYR13" s="114"/>
      <c r="BYS13" s="114"/>
      <c r="BYT13" s="114"/>
      <c r="BYU13" s="114"/>
      <c r="BYV13" s="114"/>
      <c r="BYW13" s="114"/>
      <c r="BYX13" s="114"/>
      <c r="BYY13" s="114"/>
      <c r="BYZ13" s="114"/>
      <c r="BZA13" s="114"/>
      <c r="BZB13" s="114"/>
      <c r="BZC13" s="114"/>
      <c r="BZD13" s="114"/>
      <c r="BZE13" s="114"/>
      <c r="BZF13" s="114"/>
      <c r="BZG13" s="114"/>
      <c r="BZH13" s="114"/>
      <c r="BZI13" s="114"/>
      <c r="BZJ13" s="114"/>
      <c r="BZK13" s="114"/>
      <c r="BZL13" s="114"/>
      <c r="BZM13" s="114"/>
      <c r="BZN13" s="114"/>
      <c r="BZO13" s="114"/>
      <c r="BZP13" s="114"/>
      <c r="BZQ13" s="114"/>
      <c r="BZR13" s="114"/>
      <c r="BZS13" s="114"/>
      <c r="BZT13" s="114"/>
      <c r="BZU13" s="114"/>
      <c r="BZV13" s="114"/>
      <c r="BZW13" s="114"/>
      <c r="BZX13" s="114"/>
      <c r="BZY13" s="114"/>
      <c r="BZZ13" s="114"/>
      <c r="CAA13" s="114"/>
      <c r="CAB13" s="114"/>
      <c r="CAC13" s="114"/>
      <c r="CAD13" s="114"/>
      <c r="CAE13" s="114"/>
      <c r="CAF13" s="114"/>
      <c r="CAG13" s="114"/>
      <c r="CAH13" s="114"/>
      <c r="CAI13" s="114"/>
      <c r="CAJ13" s="114"/>
      <c r="CAK13" s="114"/>
      <c r="CAL13" s="114"/>
      <c r="CAM13" s="114"/>
      <c r="CAN13" s="114"/>
      <c r="CAO13" s="114"/>
      <c r="CAP13" s="114"/>
      <c r="CAQ13" s="114"/>
      <c r="CAR13" s="114"/>
      <c r="CAS13" s="114"/>
      <c r="CAT13" s="114"/>
      <c r="CAU13" s="114"/>
      <c r="CAV13" s="114"/>
      <c r="CAW13" s="114"/>
      <c r="CAX13" s="114"/>
      <c r="CAY13" s="114"/>
      <c r="CAZ13" s="114"/>
      <c r="CBA13" s="114"/>
      <c r="CBB13" s="114"/>
      <c r="CBC13" s="114"/>
      <c r="CBD13" s="114"/>
      <c r="CBE13" s="114"/>
      <c r="CBF13" s="114"/>
      <c r="CBG13" s="114"/>
      <c r="CBH13" s="114"/>
      <c r="CBI13" s="114"/>
      <c r="CBJ13" s="114"/>
      <c r="CBK13" s="114"/>
      <c r="CBL13" s="114"/>
      <c r="CBM13" s="114"/>
      <c r="CBN13" s="114"/>
      <c r="CBO13" s="114"/>
      <c r="CBP13" s="114"/>
      <c r="CBQ13" s="114"/>
      <c r="CBR13" s="114"/>
      <c r="CBS13" s="114"/>
      <c r="CBT13" s="114"/>
      <c r="CBU13" s="114"/>
      <c r="CBV13" s="114"/>
      <c r="CBW13" s="114"/>
      <c r="CBX13" s="114"/>
      <c r="CBY13" s="114"/>
      <c r="CBZ13" s="114"/>
      <c r="CCA13" s="114"/>
      <c r="CCB13" s="114"/>
      <c r="CCC13" s="114"/>
      <c r="CCD13" s="114"/>
      <c r="CCE13" s="114"/>
      <c r="CCF13" s="114"/>
      <c r="CCG13" s="114"/>
      <c r="CCH13" s="114"/>
      <c r="CCI13" s="114"/>
      <c r="CCJ13" s="114"/>
      <c r="CCK13" s="114"/>
      <c r="CCL13" s="114"/>
      <c r="CCM13" s="114"/>
      <c r="CCN13" s="114"/>
      <c r="CCO13" s="114"/>
      <c r="CCP13" s="114"/>
      <c r="CCQ13" s="114"/>
      <c r="CCR13" s="114"/>
      <c r="CCS13" s="114"/>
      <c r="CCT13" s="114"/>
      <c r="CCU13" s="114"/>
      <c r="CCV13" s="114"/>
      <c r="CCW13" s="114"/>
      <c r="CCX13" s="114"/>
      <c r="CCY13" s="114"/>
      <c r="CCZ13" s="114"/>
      <c r="CDA13" s="114"/>
      <c r="CDB13" s="114"/>
      <c r="CDC13" s="114"/>
      <c r="CDD13" s="114"/>
      <c r="CDE13" s="114"/>
      <c r="CDF13" s="114"/>
      <c r="CDG13" s="114"/>
      <c r="CDH13" s="114"/>
      <c r="CDI13" s="114"/>
      <c r="CDJ13" s="114"/>
      <c r="CDK13" s="114"/>
      <c r="CDL13" s="114"/>
      <c r="CDM13" s="114"/>
      <c r="CDN13" s="114"/>
      <c r="CDO13" s="114"/>
      <c r="CDP13" s="114"/>
      <c r="CDQ13" s="114"/>
      <c r="CDR13" s="114"/>
      <c r="CDS13" s="114"/>
      <c r="CDT13" s="114"/>
      <c r="CDU13" s="114"/>
      <c r="CDV13" s="114"/>
      <c r="CDW13" s="114"/>
      <c r="CDX13" s="114"/>
      <c r="CDY13" s="114"/>
      <c r="CDZ13" s="114"/>
      <c r="CEA13" s="114"/>
      <c r="CEB13" s="114"/>
      <c r="CEC13" s="114"/>
      <c r="CED13" s="114"/>
      <c r="CEE13" s="114"/>
      <c r="CEF13" s="114"/>
      <c r="CEG13" s="114"/>
      <c r="CEH13" s="114"/>
      <c r="CEI13" s="114"/>
      <c r="CEJ13" s="114"/>
      <c r="CEK13" s="114"/>
      <c r="CEL13" s="114"/>
      <c r="CEM13" s="114"/>
      <c r="CEN13" s="114"/>
      <c r="CEO13" s="114"/>
      <c r="CEP13" s="114"/>
      <c r="CEQ13" s="114"/>
      <c r="CER13" s="114"/>
      <c r="CES13" s="114"/>
      <c r="CET13" s="114"/>
      <c r="CEU13" s="114"/>
      <c r="CEV13" s="114"/>
      <c r="CEW13" s="114"/>
      <c r="CEX13" s="114"/>
      <c r="CEY13" s="114"/>
      <c r="CEZ13" s="114"/>
      <c r="CFA13" s="114"/>
      <c r="CFB13" s="114"/>
      <c r="CFC13" s="114"/>
      <c r="CFD13" s="114"/>
      <c r="CFE13" s="114"/>
      <c r="CFF13" s="114"/>
      <c r="CFG13" s="114"/>
      <c r="CFH13" s="114"/>
      <c r="CFI13" s="114"/>
      <c r="CFJ13" s="114"/>
      <c r="CFK13" s="114"/>
      <c r="CFL13" s="114"/>
      <c r="CFM13" s="114"/>
      <c r="CFN13" s="114"/>
      <c r="CFO13" s="114"/>
      <c r="CFP13" s="114"/>
      <c r="CFQ13" s="114"/>
      <c r="CFR13" s="114"/>
      <c r="CFS13" s="114"/>
      <c r="CFT13" s="114"/>
      <c r="CFU13" s="114"/>
      <c r="CFV13" s="114"/>
      <c r="CFW13" s="114"/>
      <c r="CFX13" s="114"/>
      <c r="CFY13" s="114"/>
      <c r="CFZ13" s="114"/>
      <c r="CGA13" s="114"/>
      <c r="CGB13" s="114"/>
      <c r="CGC13" s="114"/>
      <c r="CGD13" s="114"/>
      <c r="CGE13" s="114"/>
      <c r="CGF13" s="114"/>
      <c r="CGG13" s="114"/>
      <c r="CGH13" s="114"/>
      <c r="CGI13" s="114"/>
      <c r="CGJ13" s="114"/>
      <c r="CGK13" s="114"/>
      <c r="CGL13" s="114"/>
      <c r="CGM13" s="114"/>
      <c r="CGN13" s="114"/>
      <c r="CGO13" s="114"/>
      <c r="CGP13" s="114"/>
      <c r="CGQ13" s="114"/>
      <c r="CGR13" s="114"/>
      <c r="CGS13" s="114"/>
      <c r="CGT13" s="114"/>
      <c r="CGU13" s="114"/>
      <c r="CGV13" s="114"/>
      <c r="CGW13" s="114"/>
      <c r="CGX13" s="114"/>
      <c r="CGY13" s="114"/>
      <c r="CGZ13" s="114"/>
      <c r="CHA13" s="114"/>
      <c r="CHB13" s="114"/>
      <c r="CHC13" s="114"/>
      <c r="CHD13" s="114"/>
      <c r="CHE13" s="114"/>
      <c r="CHF13" s="114"/>
      <c r="CHG13" s="114"/>
      <c r="CHH13" s="114"/>
      <c r="CHI13" s="114"/>
      <c r="CHJ13" s="114"/>
      <c r="CHK13" s="114"/>
      <c r="CHL13" s="114"/>
      <c r="CHM13" s="114"/>
      <c r="CHN13" s="114"/>
      <c r="CHO13" s="114"/>
      <c r="CHP13" s="114"/>
      <c r="CHQ13" s="114"/>
      <c r="CHR13" s="114"/>
      <c r="CHS13" s="114"/>
      <c r="CHT13" s="114"/>
      <c r="CHU13" s="114"/>
      <c r="CHV13" s="114"/>
      <c r="CHW13" s="114"/>
      <c r="CHX13" s="114"/>
      <c r="CHY13" s="114"/>
      <c r="CHZ13" s="114"/>
      <c r="CIA13" s="114"/>
      <c r="CIB13" s="114"/>
      <c r="CIC13" s="114"/>
      <c r="CID13" s="114"/>
      <c r="CIE13" s="114"/>
      <c r="CIF13" s="114"/>
      <c r="CIG13" s="114"/>
      <c r="CIH13" s="114"/>
      <c r="CII13" s="114"/>
      <c r="CIJ13" s="114"/>
      <c r="CIK13" s="114"/>
      <c r="CIL13" s="114"/>
      <c r="CIM13" s="114"/>
      <c r="CIN13" s="114"/>
      <c r="CIO13" s="114"/>
      <c r="CIP13" s="114"/>
      <c r="CIQ13" s="114"/>
      <c r="CIR13" s="114"/>
      <c r="CIS13" s="114"/>
      <c r="CIT13" s="114"/>
      <c r="CIU13" s="114"/>
      <c r="CIV13" s="114"/>
      <c r="CIW13" s="114"/>
      <c r="CIX13" s="114"/>
      <c r="CIY13" s="114"/>
      <c r="CIZ13" s="114"/>
      <c r="CJA13" s="114"/>
      <c r="CJB13" s="114"/>
      <c r="CJC13" s="114"/>
      <c r="CJD13" s="114"/>
      <c r="CJE13" s="114"/>
      <c r="CJF13" s="114"/>
      <c r="CJG13" s="114"/>
      <c r="CJH13" s="114"/>
      <c r="CJI13" s="114"/>
      <c r="CJJ13" s="114"/>
      <c r="CJK13" s="114"/>
      <c r="CJL13" s="114"/>
      <c r="CJM13" s="114"/>
      <c r="CJN13" s="114"/>
      <c r="CJO13" s="114"/>
      <c r="CJP13" s="114"/>
      <c r="CJQ13" s="114"/>
      <c r="CJR13" s="114"/>
      <c r="CJS13" s="114"/>
      <c r="CJT13" s="114"/>
      <c r="CJU13" s="114"/>
      <c r="CJV13" s="114"/>
      <c r="CJW13" s="114"/>
      <c r="CJX13" s="114"/>
      <c r="CJY13" s="114"/>
      <c r="CJZ13" s="114"/>
      <c r="CKA13" s="114"/>
      <c r="CKB13" s="114"/>
      <c r="CKC13" s="114"/>
      <c r="CKD13" s="114"/>
      <c r="CKE13" s="114"/>
      <c r="CKF13" s="114"/>
      <c r="CKG13" s="114"/>
      <c r="CKH13" s="114"/>
      <c r="CKI13" s="114"/>
      <c r="CKJ13" s="114"/>
      <c r="CKK13" s="114"/>
      <c r="CKL13" s="114"/>
      <c r="CKM13" s="114"/>
      <c r="CKN13" s="114"/>
      <c r="CKO13" s="114"/>
      <c r="CKP13" s="114"/>
      <c r="CKQ13" s="114"/>
      <c r="CKR13" s="114"/>
      <c r="CKS13" s="114"/>
      <c r="CKT13" s="114"/>
      <c r="CKU13" s="114"/>
      <c r="CKV13" s="114"/>
      <c r="CKW13" s="114"/>
      <c r="CKX13" s="114"/>
      <c r="CKY13" s="114"/>
      <c r="CKZ13" s="114"/>
      <c r="CLA13" s="114"/>
      <c r="CLB13" s="114"/>
      <c r="CLC13" s="114"/>
      <c r="CLD13" s="114"/>
      <c r="CLE13" s="114"/>
      <c r="CLF13" s="114"/>
      <c r="CLG13" s="114"/>
      <c r="CLH13" s="114"/>
      <c r="CLI13" s="114"/>
      <c r="CLJ13" s="114"/>
      <c r="CLK13" s="114"/>
      <c r="CLL13" s="114"/>
      <c r="CLM13" s="114"/>
      <c r="CLN13" s="114"/>
      <c r="CLO13" s="114"/>
      <c r="CLP13" s="114"/>
      <c r="CLQ13" s="114"/>
      <c r="CLR13" s="114"/>
      <c r="CLS13" s="114"/>
      <c r="CLT13" s="114"/>
      <c r="CLU13" s="114"/>
      <c r="CLV13" s="114"/>
      <c r="CLW13" s="114"/>
      <c r="CLX13" s="114"/>
      <c r="CLY13" s="114"/>
      <c r="CLZ13" s="114"/>
      <c r="CMA13" s="114"/>
      <c r="CMB13" s="114"/>
      <c r="CMC13" s="114"/>
      <c r="CMD13" s="114"/>
      <c r="CME13" s="114"/>
      <c r="CMF13" s="114"/>
      <c r="CMG13" s="114"/>
      <c r="CMH13" s="114"/>
      <c r="CMI13" s="114"/>
      <c r="CMJ13" s="114"/>
      <c r="CMK13" s="114"/>
      <c r="CML13" s="114"/>
      <c r="CMM13" s="114"/>
      <c r="CMN13" s="114"/>
      <c r="CMO13" s="114"/>
      <c r="CMP13" s="114"/>
      <c r="CMQ13" s="114"/>
      <c r="CMR13" s="114"/>
      <c r="CMS13" s="114"/>
      <c r="CMT13" s="114"/>
      <c r="CMU13" s="114"/>
      <c r="CMV13" s="114"/>
      <c r="CMW13" s="114"/>
      <c r="CMX13" s="114"/>
      <c r="CMY13" s="114"/>
      <c r="CMZ13" s="114"/>
      <c r="CNA13" s="114"/>
      <c r="CNB13" s="114"/>
      <c r="CNC13" s="114"/>
      <c r="CND13" s="114"/>
      <c r="CNE13" s="114"/>
      <c r="CNF13" s="114"/>
      <c r="CNG13" s="114"/>
      <c r="CNH13" s="114"/>
      <c r="CNI13" s="114"/>
      <c r="CNJ13" s="114"/>
      <c r="CNK13" s="114"/>
      <c r="CNL13" s="114"/>
      <c r="CNM13" s="114"/>
      <c r="CNN13" s="114"/>
      <c r="CNO13" s="114"/>
      <c r="CNP13" s="114"/>
      <c r="CNQ13" s="114"/>
      <c r="CNR13" s="114"/>
      <c r="CNS13" s="114"/>
      <c r="CNT13" s="114"/>
      <c r="CNU13" s="114"/>
      <c r="CNV13" s="114"/>
      <c r="CNW13" s="114"/>
      <c r="CNX13" s="114"/>
      <c r="CNY13" s="114"/>
      <c r="CNZ13" s="114"/>
      <c r="COA13" s="114"/>
      <c r="COB13" s="114"/>
      <c r="COC13" s="114"/>
      <c r="COD13" s="114"/>
      <c r="COE13" s="114"/>
      <c r="COF13" s="114"/>
      <c r="COG13" s="114"/>
      <c r="COH13" s="114"/>
      <c r="COI13" s="114"/>
      <c r="COJ13" s="114"/>
      <c r="COK13" s="114"/>
      <c r="COL13" s="114"/>
      <c r="COM13" s="114"/>
      <c r="CON13" s="114"/>
      <c r="COO13" s="114"/>
      <c r="COP13" s="114"/>
      <c r="COQ13" s="114"/>
      <c r="COR13" s="114"/>
      <c r="COS13" s="114"/>
      <c r="COT13" s="114"/>
      <c r="COU13" s="114"/>
      <c r="COV13" s="114"/>
      <c r="COW13" s="114"/>
      <c r="COX13" s="114"/>
      <c r="COY13" s="114"/>
      <c r="COZ13" s="114"/>
      <c r="CPA13" s="114"/>
      <c r="CPB13" s="114"/>
      <c r="CPC13" s="114"/>
      <c r="CPD13" s="114"/>
      <c r="CPE13" s="114"/>
      <c r="CPF13" s="114"/>
      <c r="CPG13" s="114"/>
      <c r="CPH13" s="114"/>
      <c r="CPI13" s="114"/>
      <c r="CPJ13" s="114"/>
      <c r="CPK13" s="114"/>
      <c r="CPL13" s="114"/>
      <c r="CPM13" s="114"/>
      <c r="CPN13" s="114"/>
      <c r="CPO13" s="114"/>
      <c r="CPP13" s="114"/>
      <c r="CPQ13" s="114"/>
      <c r="CPR13" s="114"/>
      <c r="CPS13" s="114"/>
      <c r="CPT13" s="114"/>
      <c r="CPU13" s="114"/>
      <c r="CPV13" s="114"/>
      <c r="CPW13" s="114"/>
      <c r="CPX13" s="114"/>
      <c r="CPY13" s="114"/>
      <c r="CPZ13" s="114"/>
      <c r="CQA13" s="114"/>
      <c r="CQB13" s="114"/>
      <c r="CQC13" s="114"/>
      <c r="CQD13" s="114"/>
      <c r="CQE13" s="114"/>
      <c r="CQF13" s="114"/>
      <c r="CQG13" s="114"/>
      <c r="CQH13" s="114"/>
      <c r="CQI13" s="114"/>
      <c r="CQJ13" s="114"/>
      <c r="CQK13" s="114"/>
      <c r="CQL13" s="114"/>
      <c r="CQM13" s="114"/>
      <c r="CQN13" s="114"/>
      <c r="CQO13" s="114"/>
      <c r="CQP13" s="114"/>
      <c r="CQQ13" s="114"/>
      <c r="CQR13" s="114"/>
      <c r="CQS13" s="114"/>
      <c r="CQT13" s="114"/>
      <c r="CQU13" s="114"/>
      <c r="CQV13" s="114"/>
      <c r="CQW13" s="114"/>
      <c r="CQX13" s="114"/>
      <c r="CQY13" s="114"/>
      <c r="CQZ13" s="114"/>
      <c r="CRA13" s="114"/>
      <c r="CRB13" s="114"/>
      <c r="CRC13" s="114"/>
      <c r="CRD13" s="114"/>
      <c r="CRE13" s="114"/>
      <c r="CRF13" s="114"/>
      <c r="CRG13" s="114"/>
      <c r="CRH13" s="114"/>
      <c r="CRI13" s="114"/>
      <c r="CRJ13" s="114"/>
      <c r="CRK13" s="114"/>
      <c r="CRL13" s="114"/>
      <c r="CRM13" s="114"/>
      <c r="CRN13" s="114"/>
      <c r="CRO13" s="114"/>
      <c r="CRP13" s="114"/>
      <c r="CRQ13" s="114"/>
      <c r="CRR13" s="114"/>
      <c r="CRS13" s="114"/>
      <c r="CRT13" s="114"/>
      <c r="CRU13" s="114"/>
      <c r="CRV13" s="114"/>
      <c r="CRW13" s="114"/>
      <c r="CRX13" s="114"/>
      <c r="CRY13" s="114"/>
      <c r="CRZ13" s="114"/>
      <c r="CSA13" s="114"/>
      <c r="CSB13" s="114"/>
      <c r="CSC13" s="114"/>
      <c r="CSD13" s="114"/>
      <c r="CSE13" s="114"/>
      <c r="CSF13" s="114"/>
      <c r="CSG13" s="114"/>
      <c r="CSH13" s="114"/>
      <c r="CSI13" s="114"/>
      <c r="CSJ13" s="114"/>
      <c r="CSK13" s="114"/>
      <c r="CSL13" s="114"/>
      <c r="CSM13" s="114"/>
      <c r="CSN13" s="114"/>
      <c r="CSO13" s="114"/>
      <c r="CSP13" s="114"/>
      <c r="CSQ13" s="114"/>
      <c r="CSR13" s="114"/>
      <c r="CSS13" s="114"/>
      <c r="CST13" s="114"/>
      <c r="CSU13" s="114"/>
      <c r="CSV13" s="114"/>
      <c r="CSW13" s="114"/>
      <c r="CSX13" s="114"/>
      <c r="CSY13" s="114"/>
      <c r="CSZ13" s="114"/>
      <c r="CTA13" s="114"/>
      <c r="CTB13" s="114"/>
      <c r="CTC13" s="114"/>
      <c r="CTD13" s="114"/>
      <c r="CTE13" s="114"/>
      <c r="CTF13" s="114"/>
      <c r="CTG13" s="114"/>
      <c r="CTH13" s="114"/>
      <c r="CTI13" s="114"/>
      <c r="CTJ13" s="114"/>
      <c r="CTK13" s="114"/>
      <c r="CTL13" s="114"/>
      <c r="CTM13" s="114"/>
      <c r="CTN13" s="114"/>
      <c r="CTO13" s="114"/>
      <c r="CTP13" s="114"/>
      <c r="CTQ13" s="114"/>
      <c r="CTR13" s="114"/>
      <c r="CTS13" s="114"/>
      <c r="CTT13" s="114"/>
      <c r="CTU13" s="114"/>
      <c r="CTV13" s="114"/>
      <c r="CTW13" s="114"/>
      <c r="CTX13" s="114"/>
      <c r="CTY13" s="114"/>
      <c r="CTZ13" s="114"/>
      <c r="CUA13" s="114"/>
      <c r="CUB13" s="114"/>
      <c r="CUC13" s="114"/>
      <c r="CUD13" s="114"/>
      <c r="CUE13" s="114"/>
      <c r="CUF13" s="114"/>
      <c r="CUG13" s="114"/>
      <c r="CUH13" s="114"/>
      <c r="CUI13" s="114"/>
      <c r="CUJ13" s="114"/>
      <c r="CUK13" s="114"/>
      <c r="CUL13" s="114"/>
      <c r="CUM13" s="114"/>
      <c r="CUN13" s="114"/>
      <c r="CUO13" s="114"/>
      <c r="CUP13" s="114"/>
      <c r="CUQ13" s="114"/>
      <c r="CUR13" s="114"/>
      <c r="CUS13" s="114"/>
      <c r="CUT13" s="114"/>
      <c r="CUU13" s="114"/>
      <c r="CUV13" s="114"/>
      <c r="CUW13" s="114"/>
      <c r="CUX13" s="114"/>
      <c r="CUY13" s="114"/>
      <c r="CUZ13" s="114"/>
      <c r="CVA13" s="114"/>
      <c r="CVB13" s="114"/>
      <c r="CVC13" s="114"/>
      <c r="CVD13" s="114"/>
      <c r="CVE13" s="114"/>
      <c r="CVF13" s="114"/>
      <c r="CVG13" s="114"/>
      <c r="CVH13" s="114"/>
      <c r="CVI13" s="114"/>
      <c r="CVJ13" s="114"/>
      <c r="CVK13" s="114"/>
      <c r="CVL13" s="114"/>
      <c r="CVM13" s="114"/>
      <c r="CVN13" s="114"/>
      <c r="CVO13" s="114"/>
      <c r="CVP13" s="114"/>
      <c r="CVQ13" s="114"/>
      <c r="CVR13" s="114"/>
      <c r="CVS13" s="114"/>
      <c r="CVT13" s="114"/>
      <c r="CVU13" s="114"/>
      <c r="CVV13" s="114"/>
      <c r="CVW13" s="114"/>
      <c r="CVX13" s="114"/>
      <c r="CVY13" s="114"/>
      <c r="CVZ13" s="114"/>
      <c r="CWA13" s="114"/>
      <c r="CWB13" s="114"/>
      <c r="CWC13" s="114"/>
      <c r="CWD13" s="114"/>
      <c r="CWE13" s="114"/>
      <c r="CWF13" s="114"/>
      <c r="CWG13" s="114"/>
      <c r="CWH13" s="114"/>
      <c r="CWI13" s="114"/>
      <c r="CWJ13" s="114"/>
      <c r="CWK13" s="114"/>
      <c r="CWL13" s="114"/>
      <c r="CWM13" s="114"/>
      <c r="CWN13" s="114"/>
      <c r="CWO13" s="114"/>
      <c r="CWP13" s="114"/>
      <c r="CWQ13" s="114"/>
      <c r="CWR13" s="114"/>
      <c r="CWS13" s="114"/>
      <c r="CWT13" s="114"/>
      <c r="CWU13" s="114"/>
      <c r="CWV13" s="114"/>
      <c r="CWW13" s="114"/>
      <c r="CWX13" s="114"/>
      <c r="CWY13" s="114"/>
      <c r="CWZ13" s="114"/>
      <c r="CXA13" s="114"/>
      <c r="CXB13" s="114"/>
      <c r="CXC13" s="114"/>
      <c r="CXD13" s="114"/>
      <c r="CXE13" s="114"/>
      <c r="CXF13" s="114"/>
      <c r="CXG13" s="114"/>
      <c r="CXH13" s="114"/>
      <c r="CXI13" s="114"/>
      <c r="CXJ13" s="114"/>
      <c r="CXK13" s="114"/>
      <c r="CXL13" s="114"/>
      <c r="CXM13" s="114"/>
      <c r="CXN13" s="114"/>
      <c r="CXO13" s="114"/>
      <c r="CXP13" s="114"/>
      <c r="CXQ13" s="114"/>
      <c r="CXR13" s="114"/>
      <c r="CXS13" s="114"/>
      <c r="CXT13" s="114"/>
      <c r="CXU13" s="114"/>
      <c r="CXV13" s="114"/>
      <c r="CXW13" s="114"/>
      <c r="CXX13" s="114"/>
      <c r="CXY13" s="114"/>
      <c r="CXZ13" s="114"/>
      <c r="CYA13" s="114"/>
      <c r="CYB13" s="114"/>
      <c r="CYC13" s="114"/>
      <c r="CYD13" s="114"/>
      <c r="CYE13" s="114"/>
      <c r="CYF13" s="114"/>
      <c r="CYG13" s="114"/>
      <c r="CYH13" s="114"/>
      <c r="CYI13" s="114"/>
      <c r="CYJ13" s="114"/>
      <c r="CYK13" s="114"/>
      <c r="CYL13" s="114"/>
      <c r="CYM13" s="114"/>
      <c r="CYN13" s="114"/>
      <c r="CYO13" s="114"/>
      <c r="CYP13" s="114"/>
      <c r="CYQ13" s="114"/>
      <c r="CYR13" s="114"/>
      <c r="CYS13" s="114"/>
      <c r="CYT13" s="114"/>
      <c r="CYU13" s="114"/>
      <c r="CYV13" s="114"/>
      <c r="CYW13" s="114"/>
      <c r="CYX13" s="114"/>
      <c r="CYY13" s="114"/>
      <c r="CYZ13" s="114"/>
      <c r="CZA13" s="114"/>
      <c r="CZB13" s="114"/>
      <c r="CZC13" s="114"/>
      <c r="CZD13" s="114"/>
      <c r="CZE13" s="114"/>
      <c r="CZF13" s="114"/>
      <c r="CZG13" s="114"/>
      <c r="CZH13" s="114"/>
      <c r="CZI13" s="114"/>
      <c r="CZJ13" s="114"/>
      <c r="CZK13" s="114"/>
      <c r="CZL13" s="114"/>
      <c r="CZM13" s="114"/>
      <c r="CZN13" s="114"/>
      <c r="CZO13" s="114"/>
      <c r="CZP13" s="114"/>
      <c r="CZQ13" s="114"/>
      <c r="CZR13" s="114"/>
      <c r="CZS13" s="114"/>
      <c r="CZT13" s="114"/>
      <c r="CZU13" s="114"/>
      <c r="CZV13" s="114"/>
      <c r="CZW13" s="114"/>
      <c r="CZX13" s="114"/>
      <c r="CZY13" s="114"/>
      <c r="CZZ13" s="114"/>
      <c r="DAA13" s="114"/>
      <c r="DAB13" s="114"/>
      <c r="DAC13" s="114"/>
      <c r="DAD13" s="114"/>
      <c r="DAE13" s="114"/>
      <c r="DAF13" s="114"/>
      <c r="DAG13" s="114"/>
      <c r="DAH13" s="114"/>
      <c r="DAI13" s="114"/>
      <c r="DAJ13" s="114"/>
      <c r="DAK13" s="114"/>
      <c r="DAL13" s="114"/>
      <c r="DAM13" s="114"/>
      <c r="DAN13" s="114"/>
      <c r="DAO13" s="114"/>
      <c r="DAP13" s="114"/>
      <c r="DAQ13" s="114"/>
      <c r="DAR13" s="114"/>
      <c r="DAS13" s="114"/>
      <c r="DAT13" s="114"/>
      <c r="DAU13" s="114"/>
      <c r="DAV13" s="114"/>
      <c r="DAW13" s="114"/>
      <c r="DAX13" s="114"/>
      <c r="DAY13" s="114"/>
      <c r="DAZ13" s="114"/>
      <c r="DBA13" s="114"/>
      <c r="DBB13" s="114"/>
      <c r="DBC13" s="114"/>
      <c r="DBD13" s="114"/>
      <c r="DBE13" s="114"/>
      <c r="DBF13" s="114"/>
      <c r="DBG13" s="114"/>
      <c r="DBH13" s="114"/>
      <c r="DBI13" s="114"/>
      <c r="DBJ13" s="114"/>
      <c r="DBK13" s="114"/>
      <c r="DBL13" s="114"/>
      <c r="DBM13" s="114"/>
      <c r="DBN13" s="114"/>
      <c r="DBO13" s="114"/>
      <c r="DBP13" s="114"/>
      <c r="DBQ13" s="114"/>
      <c r="DBR13" s="114"/>
      <c r="DBS13" s="114"/>
      <c r="DBT13" s="114"/>
      <c r="DBU13" s="114"/>
      <c r="DBV13" s="114"/>
      <c r="DBW13" s="114"/>
      <c r="DBX13" s="114"/>
      <c r="DBY13" s="114"/>
      <c r="DBZ13" s="114"/>
      <c r="DCA13" s="114"/>
      <c r="DCB13" s="114"/>
      <c r="DCC13" s="114"/>
      <c r="DCD13" s="114"/>
      <c r="DCE13" s="114"/>
      <c r="DCF13" s="114"/>
      <c r="DCG13" s="114"/>
      <c r="DCH13" s="114"/>
      <c r="DCI13" s="114"/>
      <c r="DCJ13" s="114"/>
      <c r="DCK13" s="114"/>
      <c r="DCL13" s="114"/>
      <c r="DCM13" s="114"/>
      <c r="DCN13" s="114"/>
      <c r="DCO13" s="114"/>
      <c r="DCP13" s="114"/>
      <c r="DCQ13" s="114"/>
      <c r="DCR13" s="114"/>
      <c r="DCS13" s="114"/>
      <c r="DCT13" s="114"/>
      <c r="DCU13" s="114"/>
      <c r="DCV13" s="114"/>
      <c r="DCW13" s="114"/>
      <c r="DCX13" s="114"/>
      <c r="DCY13" s="114"/>
      <c r="DCZ13" s="114"/>
      <c r="DDA13" s="114"/>
      <c r="DDB13" s="114"/>
      <c r="DDC13" s="114"/>
      <c r="DDD13" s="114"/>
      <c r="DDE13" s="114"/>
      <c r="DDF13" s="114"/>
      <c r="DDG13" s="114"/>
      <c r="DDH13" s="114"/>
      <c r="DDI13" s="114"/>
      <c r="DDJ13" s="114"/>
      <c r="DDK13" s="114"/>
      <c r="DDL13" s="114"/>
      <c r="DDM13" s="114"/>
      <c r="DDN13" s="114"/>
      <c r="DDO13" s="114"/>
      <c r="DDP13" s="114"/>
      <c r="DDQ13" s="114"/>
      <c r="DDR13" s="114"/>
      <c r="DDS13" s="114"/>
      <c r="DDT13" s="114"/>
      <c r="DDU13" s="114"/>
      <c r="DDV13" s="114"/>
      <c r="DDW13" s="114"/>
      <c r="DDX13" s="114"/>
      <c r="DDY13" s="114"/>
      <c r="DDZ13" s="114"/>
      <c r="DEA13" s="114"/>
      <c r="DEB13" s="114"/>
      <c r="DEC13" s="114"/>
      <c r="DED13" s="114"/>
      <c r="DEE13" s="114"/>
      <c r="DEF13" s="114"/>
      <c r="DEG13" s="114"/>
      <c r="DEH13" s="114"/>
      <c r="DEI13" s="114"/>
      <c r="DEJ13" s="114"/>
      <c r="DEK13" s="114"/>
      <c r="DEL13" s="114"/>
      <c r="DEM13" s="114"/>
      <c r="DEN13" s="114"/>
      <c r="DEO13" s="114"/>
      <c r="DEP13" s="114"/>
      <c r="DEQ13" s="114"/>
      <c r="DER13" s="114"/>
      <c r="DES13" s="114"/>
      <c r="DET13" s="114"/>
      <c r="DEU13" s="114"/>
      <c r="DEV13" s="114"/>
      <c r="DEW13" s="114"/>
      <c r="DEX13" s="114"/>
      <c r="DEY13" s="114"/>
      <c r="DEZ13" s="114"/>
      <c r="DFA13" s="114"/>
      <c r="DFB13" s="114"/>
      <c r="DFC13" s="114"/>
      <c r="DFD13" s="114"/>
      <c r="DFE13" s="114"/>
      <c r="DFF13" s="114"/>
      <c r="DFG13" s="114"/>
      <c r="DFH13" s="114"/>
      <c r="DFI13" s="114"/>
      <c r="DFJ13" s="114"/>
      <c r="DFK13" s="114"/>
      <c r="DFL13" s="114"/>
      <c r="DFM13" s="114"/>
      <c r="DFN13" s="114"/>
      <c r="DFO13" s="114"/>
      <c r="DFP13" s="114"/>
      <c r="DFQ13" s="114"/>
      <c r="DFR13" s="114"/>
      <c r="DFS13" s="114"/>
      <c r="DFT13" s="114"/>
      <c r="DFU13" s="114"/>
      <c r="DFV13" s="114"/>
      <c r="DFW13" s="114"/>
      <c r="DFX13" s="114"/>
      <c r="DFY13" s="114"/>
      <c r="DFZ13" s="114"/>
      <c r="DGA13" s="114"/>
      <c r="DGB13" s="114"/>
      <c r="DGC13" s="114"/>
      <c r="DGD13" s="114"/>
      <c r="DGE13" s="114"/>
      <c r="DGF13" s="114"/>
      <c r="DGG13" s="114"/>
      <c r="DGH13" s="114"/>
      <c r="DGI13" s="114"/>
      <c r="DGJ13" s="114"/>
      <c r="DGK13" s="114"/>
      <c r="DGL13" s="114"/>
      <c r="DGM13" s="114"/>
      <c r="DGN13" s="114"/>
      <c r="DGO13" s="114"/>
      <c r="DGP13" s="114"/>
      <c r="DGQ13" s="114"/>
      <c r="DGR13" s="114"/>
      <c r="DGS13" s="114"/>
      <c r="DGT13" s="114"/>
      <c r="DGU13" s="114"/>
      <c r="DGV13" s="114"/>
      <c r="DGW13" s="114"/>
      <c r="DGX13" s="114"/>
      <c r="DGY13" s="114"/>
      <c r="DGZ13" s="114"/>
      <c r="DHA13" s="114"/>
      <c r="DHB13" s="114"/>
      <c r="DHC13" s="114"/>
      <c r="DHD13" s="114"/>
      <c r="DHE13" s="114"/>
      <c r="DHF13" s="114"/>
      <c r="DHG13" s="114"/>
      <c r="DHH13" s="114"/>
      <c r="DHI13" s="114"/>
      <c r="DHJ13" s="114"/>
      <c r="DHK13" s="114"/>
      <c r="DHL13" s="114"/>
      <c r="DHM13" s="114"/>
      <c r="DHN13" s="114"/>
      <c r="DHO13" s="114"/>
      <c r="DHP13" s="114"/>
      <c r="DHQ13" s="114"/>
      <c r="DHR13" s="114"/>
      <c r="DHS13" s="114"/>
      <c r="DHT13" s="114"/>
      <c r="DHU13" s="114"/>
      <c r="DHV13" s="114"/>
      <c r="DHW13" s="114"/>
      <c r="DHX13" s="114"/>
      <c r="DHY13" s="114"/>
      <c r="DHZ13" s="114"/>
      <c r="DIA13" s="114"/>
      <c r="DIB13" s="114"/>
      <c r="DIC13" s="114"/>
      <c r="DID13" s="114"/>
      <c r="DIE13" s="114"/>
      <c r="DIF13" s="114"/>
      <c r="DIG13" s="114"/>
      <c r="DIH13" s="114"/>
      <c r="DII13" s="114"/>
      <c r="DIJ13" s="114"/>
      <c r="DIK13" s="114"/>
      <c r="DIL13" s="114"/>
      <c r="DIM13" s="114"/>
      <c r="DIN13" s="114"/>
      <c r="DIO13" s="114"/>
      <c r="DIP13" s="114"/>
      <c r="DIQ13" s="114"/>
      <c r="DIR13" s="114"/>
      <c r="DIS13" s="114"/>
      <c r="DIT13" s="114"/>
      <c r="DIU13" s="114"/>
      <c r="DIV13" s="114"/>
      <c r="DIW13" s="114"/>
      <c r="DIX13" s="114"/>
      <c r="DIY13" s="114"/>
      <c r="DIZ13" s="114"/>
      <c r="DJA13" s="114"/>
      <c r="DJB13" s="114"/>
      <c r="DJC13" s="114"/>
      <c r="DJD13" s="114"/>
      <c r="DJE13" s="114"/>
      <c r="DJF13" s="114"/>
      <c r="DJG13" s="114"/>
      <c r="DJH13" s="114"/>
      <c r="DJI13" s="114"/>
      <c r="DJJ13" s="114"/>
      <c r="DJK13" s="114"/>
      <c r="DJL13" s="114"/>
      <c r="DJM13" s="114"/>
      <c r="DJN13" s="114"/>
      <c r="DJO13" s="114"/>
      <c r="DJP13" s="114"/>
      <c r="DJQ13" s="114"/>
      <c r="DJR13" s="114"/>
      <c r="DJS13" s="114"/>
      <c r="DJT13" s="114"/>
      <c r="DJU13" s="114"/>
      <c r="DJV13" s="114"/>
      <c r="DJW13" s="114"/>
      <c r="DJX13" s="114"/>
      <c r="DJY13" s="114"/>
      <c r="DJZ13" s="114"/>
      <c r="DKA13" s="114"/>
      <c r="DKB13" s="114"/>
      <c r="DKC13" s="114"/>
      <c r="DKD13" s="114"/>
      <c r="DKE13" s="114"/>
      <c r="DKF13" s="114"/>
      <c r="DKG13" s="114"/>
      <c r="DKH13" s="114"/>
      <c r="DKI13" s="114"/>
      <c r="DKJ13" s="114"/>
      <c r="DKK13" s="114"/>
      <c r="DKL13" s="114"/>
      <c r="DKM13" s="114"/>
      <c r="DKN13" s="114"/>
      <c r="DKO13" s="114"/>
      <c r="DKP13" s="114"/>
      <c r="DKQ13" s="114"/>
      <c r="DKR13" s="114"/>
      <c r="DKS13" s="114"/>
      <c r="DKT13" s="114"/>
      <c r="DKU13" s="114"/>
      <c r="DKV13" s="114"/>
      <c r="DKW13" s="114"/>
      <c r="DKX13" s="114"/>
      <c r="DKY13" s="114"/>
      <c r="DKZ13" s="114"/>
      <c r="DLA13" s="114"/>
      <c r="DLB13" s="114"/>
      <c r="DLC13" s="114"/>
      <c r="DLD13" s="114"/>
      <c r="DLE13" s="114"/>
      <c r="DLF13" s="114"/>
      <c r="DLG13" s="114"/>
      <c r="DLH13" s="114"/>
      <c r="DLI13" s="114"/>
      <c r="DLJ13" s="114"/>
      <c r="DLK13" s="114"/>
      <c r="DLL13" s="114"/>
      <c r="DLM13" s="114"/>
      <c r="DLN13" s="114"/>
      <c r="DLO13" s="114"/>
      <c r="DLP13" s="114"/>
      <c r="DLQ13" s="114"/>
      <c r="DLR13" s="114"/>
      <c r="DLS13" s="114"/>
      <c r="DLT13" s="114"/>
      <c r="DLU13" s="114"/>
      <c r="DLV13" s="114"/>
      <c r="DLW13" s="114"/>
      <c r="DLX13" s="114"/>
      <c r="DLY13" s="114"/>
      <c r="DLZ13" s="114"/>
      <c r="DMA13" s="114"/>
      <c r="DMB13" s="114"/>
      <c r="DMC13" s="114"/>
      <c r="DMD13" s="114"/>
      <c r="DME13" s="114"/>
      <c r="DMF13" s="114"/>
      <c r="DMG13" s="114"/>
      <c r="DMH13" s="114"/>
      <c r="DMI13" s="114"/>
      <c r="DMJ13" s="114"/>
      <c r="DMK13" s="114"/>
      <c r="DML13" s="114"/>
      <c r="DMM13" s="114"/>
      <c r="DMN13" s="114"/>
      <c r="DMO13" s="114"/>
      <c r="DMP13" s="114"/>
      <c r="DMQ13" s="114"/>
      <c r="DMR13" s="114"/>
      <c r="DMS13" s="114"/>
      <c r="DMT13" s="114"/>
      <c r="DMU13" s="114"/>
      <c r="DMV13" s="114"/>
      <c r="DMW13" s="114"/>
      <c r="DMX13" s="114"/>
      <c r="DMY13" s="114"/>
      <c r="DMZ13" s="114"/>
      <c r="DNA13" s="114"/>
      <c r="DNB13" s="114"/>
      <c r="DNC13" s="114"/>
      <c r="DND13" s="114"/>
      <c r="DNE13" s="114"/>
      <c r="DNF13" s="114"/>
      <c r="DNG13" s="114"/>
      <c r="DNH13" s="114"/>
      <c r="DNI13" s="114"/>
      <c r="DNJ13" s="114"/>
      <c r="DNK13" s="114"/>
      <c r="DNL13" s="114"/>
      <c r="DNM13" s="114"/>
      <c r="DNN13" s="114"/>
      <c r="DNO13" s="114"/>
      <c r="DNP13" s="114"/>
      <c r="DNQ13" s="114"/>
      <c r="DNR13" s="114"/>
      <c r="DNS13" s="114"/>
      <c r="DNT13" s="114"/>
      <c r="DNU13" s="114"/>
      <c r="DNV13" s="114"/>
      <c r="DNW13" s="114"/>
      <c r="DNX13" s="114"/>
      <c r="DNY13" s="114"/>
      <c r="DNZ13" s="114"/>
      <c r="DOA13" s="114"/>
      <c r="DOB13" s="114"/>
      <c r="DOC13" s="114"/>
      <c r="DOD13" s="114"/>
      <c r="DOE13" s="114"/>
      <c r="DOF13" s="114"/>
      <c r="DOG13" s="114"/>
      <c r="DOH13" s="114"/>
      <c r="DOI13" s="114"/>
      <c r="DOJ13" s="114"/>
      <c r="DOK13" s="114"/>
      <c r="DOL13" s="114"/>
      <c r="DOM13" s="114"/>
      <c r="DON13" s="114"/>
      <c r="DOO13" s="114"/>
      <c r="DOP13" s="114"/>
      <c r="DOQ13" s="114"/>
      <c r="DOR13" s="114"/>
      <c r="DOS13" s="114"/>
      <c r="DOT13" s="114"/>
      <c r="DOU13" s="114"/>
      <c r="DOV13" s="114"/>
      <c r="DOW13" s="114"/>
      <c r="DOX13" s="114"/>
      <c r="DOY13" s="114"/>
      <c r="DOZ13" s="114"/>
      <c r="DPA13" s="114"/>
      <c r="DPB13" s="114"/>
      <c r="DPC13" s="114"/>
      <c r="DPD13" s="114"/>
      <c r="DPE13" s="114"/>
      <c r="DPF13" s="114"/>
      <c r="DPG13" s="114"/>
      <c r="DPH13" s="114"/>
      <c r="DPI13" s="114"/>
      <c r="DPJ13" s="114"/>
      <c r="DPK13" s="114"/>
      <c r="DPL13" s="114"/>
      <c r="DPM13" s="114"/>
      <c r="DPN13" s="114"/>
      <c r="DPO13" s="114"/>
      <c r="DPP13" s="114"/>
      <c r="DPQ13" s="114"/>
      <c r="DPR13" s="114"/>
      <c r="DPS13" s="114"/>
      <c r="DPT13" s="114"/>
      <c r="DPU13" s="114"/>
      <c r="DPV13" s="114"/>
      <c r="DPW13" s="114"/>
      <c r="DPX13" s="114"/>
      <c r="DPY13" s="114"/>
      <c r="DPZ13" s="114"/>
      <c r="DQA13" s="114"/>
      <c r="DQB13" s="114"/>
      <c r="DQC13" s="114"/>
      <c r="DQD13" s="114"/>
      <c r="DQE13" s="114"/>
      <c r="DQF13" s="114"/>
      <c r="DQG13" s="114"/>
      <c r="DQH13" s="114"/>
      <c r="DQI13" s="114"/>
      <c r="DQJ13" s="114"/>
      <c r="DQK13" s="114"/>
      <c r="DQL13" s="114"/>
      <c r="DQM13" s="114"/>
      <c r="DQN13" s="114"/>
      <c r="DQO13" s="114"/>
      <c r="DQP13" s="114"/>
      <c r="DQQ13" s="114"/>
      <c r="DQR13" s="114"/>
      <c r="DQS13" s="114"/>
      <c r="DQT13" s="114"/>
      <c r="DQU13" s="114"/>
      <c r="DQV13" s="114"/>
      <c r="DQW13" s="114"/>
      <c r="DQX13" s="114"/>
      <c r="DQY13" s="114"/>
      <c r="DQZ13" s="114"/>
      <c r="DRA13" s="114"/>
      <c r="DRB13" s="114"/>
      <c r="DRC13" s="114"/>
      <c r="DRD13" s="114"/>
      <c r="DRE13" s="114"/>
      <c r="DRF13" s="114"/>
      <c r="DRG13" s="114"/>
      <c r="DRH13" s="114"/>
      <c r="DRI13" s="114"/>
      <c r="DRJ13" s="114"/>
      <c r="DRK13" s="114"/>
      <c r="DRL13" s="114"/>
      <c r="DRM13" s="114"/>
      <c r="DRN13" s="114"/>
      <c r="DRO13" s="114"/>
      <c r="DRP13" s="114"/>
      <c r="DRQ13" s="114"/>
      <c r="DRR13" s="114"/>
      <c r="DRS13" s="114"/>
      <c r="DRT13" s="114"/>
      <c r="DRU13" s="114"/>
      <c r="DRV13" s="114"/>
      <c r="DRW13" s="114"/>
      <c r="DRX13" s="114"/>
      <c r="DRY13" s="114"/>
      <c r="DRZ13" s="114"/>
      <c r="DSA13" s="114"/>
      <c r="DSB13" s="114"/>
      <c r="DSC13" s="114"/>
      <c r="DSD13" s="114"/>
      <c r="DSE13" s="114"/>
      <c r="DSF13" s="114"/>
      <c r="DSG13" s="114"/>
      <c r="DSH13" s="114"/>
      <c r="DSI13" s="114"/>
      <c r="DSJ13" s="114"/>
      <c r="DSK13" s="114"/>
      <c r="DSL13" s="114"/>
      <c r="DSM13" s="114"/>
      <c r="DSN13" s="114"/>
      <c r="DSO13" s="114"/>
      <c r="DSP13" s="114"/>
      <c r="DSQ13" s="114"/>
      <c r="DSR13" s="114"/>
      <c r="DSS13" s="114"/>
      <c r="DST13" s="114"/>
      <c r="DSU13" s="114"/>
      <c r="DSV13" s="114"/>
      <c r="DSW13" s="114"/>
      <c r="DSX13" s="114"/>
      <c r="DSY13" s="114"/>
      <c r="DSZ13" s="114"/>
      <c r="DTA13" s="114"/>
      <c r="DTB13" s="114"/>
      <c r="DTC13" s="114"/>
      <c r="DTD13" s="114"/>
      <c r="DTE13" s="114"/>
      <c r="DTF13" s="114"/>
      <c r="DTG13" s="114"/>
      <c r="DTH13" s="114"/>
      <c r="DTI13" s="114"/>
      <c r="DTJ13" s="114"/>
      <c r="DTK13" s="114"/>
      <c r="DTL13" s="114"/>
      <c r="DTM13" s="114"/>
      <c r="DTN13" s="114"/>
      <c r="DTO13" s="114"/>
      <c r="DTP13" s="114"/>
      <c r="DTQ13" s="114"/>
      <c r="DTR13" s="114"/>
      <c r="DTS13" s="114"/>
      <c r="DTT13" s="114"/>
      <c r="DTU13" s="114"/>
      <c r="DTV13" s="114"/>
      <c r="DTW13" s="114"/>
      <c r="DTX13" s="114"/>
      <c r="DTY13" s="114"/>
      <c r="DTZ13" s="114"/>
      <c r="DUA13" s="114"/>
      <c r="DUB13" s="114"/>
      <c r="DUC13" s="114"/>
      <c r="DUD13" s="114"/>
      <c r="DUE13" s="114"/>
      <c r="DUF13" s="114"/>
      <c r="DUG13" s="114"/>
      <c r="DUH13" s="114"/>
      <c r="DUI13" s="114"/>
      <c r="DUJ13" s="114"/>
      <c r="DUK13" s="114"/>
      <c r="DUL13" s="114"/>
      <c r="DUM13" s="114"/>
      <c r="DUN13" s="114"/>
      <c r="DUO13" s="114"/>
      <c r="DUP13" s="114"/>
      <c r="DUQ13" s="114"/>
      <c r="DUR13" s="114"/>
      <c r="DUS13" s="114"/>
      <c r="DUT13" s="114"/>
      <c r="DUU13" s="114"/>
      <c r="DUV13" s="114"/>
      <c r="DUW13" s="114"/>
      <c r="DUX13" s="114"/>
      <c r="DUY13" s="114"/>
      <c r="DUZ13" s="114"/>
      <c r="DVA13" s="114"/>
      <c r="DVB13" s="114"/>
      <c r="DVC13" s="114"/>
      <c r="DVD13" s="114"/>
      <c r="DVE13" s="114"/>
      <c r="DVF13" s="114"/>
      <c r="DVG13" s="114"/>
      <c r="DVH13" s="114"/>
      <c r="DVI13" s="114"/>
      <c r="DVJ13" s="114"/>
      <c r="DVK13" s="114"/>
      <c r="DVL13" s="114"/>
      <c r="DVM13" s="114"/>
      <c r="DVN13" s="114"/>
      <c r="DVO13" s="114"/>
      <c r="DVP13" s="114"/>
      <c r="DVQ13" s="114"/>
      <c r="DVR13" s="114"/>
      <c r="DVS13" s="114"/>
      <c r="DVT13" s="114"/>
      <c r="DVU13" s="114"/>
      <c r="DVV13" s="114"/>
      <c r="DVW13" s="114"/>
      <c r="DVX13" s="114"/>
      <c r="DVY13" s="114"/>
      <c r="DVZ13" s="114"/>
      <c r="DWA13" s="114"/>
      <c r="DWB13" s="114"/>
      <c r="DWC13" s="114"/>
      <c r="DWD13" s="114"/>
      <c r="DWE13" s="114"/>
      <c r="DWF13" s="114"/>
      <c r="DWG13" s="114"/>
      <c r="DWH13" s="114"/>
      <c r="DWI13" s="114"/>
      <c r="DWJ13" s="114"/>
      <c r="DWK13" s="114"/>
      <c r="DWL13" s="114"/>
      <c r="DWM13" s="114"/>
      <c r="DWN13" s="114"/>
      <c r="DWO13" s="114"/>
      <c r="DWP13" s="114"/>
      <c r="DWQ13" s="114"/>
      <c r="DWR13" s="114"/>
      <c r="DWS13" s="114"/>
      <c r="DWT13" s="114"/>
      <c r="DWU13" s="114"/>
      <c r="DWV13" s="114"/>
      <c r="DWW13" s="114"/>
      <c r="DWX13" s="114"/>
      <c r="DWY13" s="114"/>
      <c r="DWZ13" s="114"/>
      <c r="DXA13" s="114"/>
      <c r="DXB13" s="114"/>
      <c r="DXC13" s="114"/>
      <c r="DXD13" s="114"/>
      <c r="DXE13" s="114"/>
      <c r="DXF13" s="114"/>
      <c r="DXG13" s="114"/>
      <c r="DXH13" s="114"/>
      <c r="DXI13" s="114"/>
      <c r="DXJ13" s="114"/>
      <c r="DXK13" s="114"/>
      <c r="DXL13" s="114"/>
      <c r="DXM13" s="114"/>
      <c r="DXN13" s="114"/>
      <c r="DXO13" s="114"/>
      <c r="DXP13" s="114"/>
      <c r="DXQ13" s="114"/>
      <c r="DXR13" s="114"/>
      <c r="DXS13" s="114"/>
      <c r="DXT13" s="114"/>
      <c r="DXU13" s="114"/>
      <c r="DXV13" s="114"/>
      <c r="DXW13" s="114"/>
      <c r="DXX13" s="114"/>
      <c r="DXY13" s="114"/>
      <c r="DXZ13" s="114"/>
      <c r="DYA13" s="114"/>
      <c r="DYB13" s="114"/>
      <c r="DYC13" s="114"/>
      <c r="DYD13" s="114"/>
      <c r="DYE13" s="114"/>
      <c r="DYF13" s="114"/>
      <c r="DYG13" s="114"/>
      <c r="DYH13" s="114"/>
      <c r="DYI13" s="114"/>
      <c r="DYJ13" s="114"/>
      <c r="DYK13" s="114"/>
      <c r="DYL13" s="114"/>
      <c r="DYM13" s="114"/>
      <c r="DYN13" s="114"/>
      <c r="DYO13" s="114"/>
      <c r="DYP13" s="114"/>
      <c r="DYQ13" s="114"/>
      <c r="DYR13" s="114"/>
      <c r="DYS13" s="114"/>
      <c r="DYT13" s="114"/>
      <c r="DYU13" s="114"/>
      <c r="DYV13" s="114"/>
      <c r="DYW13" s="114"/>
      <c r="DYX13" s="114"/>
      <c r="DYY13" s="114"/>
      <c r="DYZ13" s="114"/>
      <c r="DZA13" s="114"/>
      <c r="DZB13" s="114"/>
      <c r="DZC13" s="114"/>
      <c r="DZD13" s="114"/>
      <c r="DZE13" s="114"/>
      <c r="DZF13" s="114"/>
      <c r="DZG13" s="114"/>
      <c r="DZH13" s="114"/>
      <c r="DZI13" s="114"/>
      <c r="DZJ13" s="114"/>
      <c r="DZK13" s="114"/>
      <c r="DZL13" s="114"/>
      <c r="DZM13" s="114"/>
      <c r="DZN13" s="114"/>
      <c r="DZO13" s="114"/>
      <c r="DZP13" s="114"/>
      <c r="DZQ13" s="114"/>
      <c r="DZR13" s="114"/>
      <c r="DZS13" s="114"/>
      <c r="DZT13" s="114"/>
      <c r="DZU13" s="114"/>
      <c r="DZV13" s="114"/>
      <c r="DZW13" s="114"/>
      <c r="DZX13" s="114"/>
      <c r="DZY13" s="114"/>
      <c r="DZZ13" s="114"/>
      <c r="EAA13" s="114"/>
      <c r="EAB13" s="114"/>
      <c r="EAC13" s="114"/>
      <c r="EAD13" s="114"/>
      <c r="EAE13" s="114"/>
      <c r="EAF13" s="114"/>
      <c r="EAG13" s="114"/>
      <c r="EAH13" s="114"/>
      <c r="EAI13" s="114"/>
      <c r="EAJ13" s="114"/>
      <c r="EAK13" s="114"/>
      <c r="EAL13" s="114"/>
      <c r="EAM13" s="114"/>
      <c r="EAN13" s="114"/>
      <c r="EAO13" s="114"/>
      <c r="EAP13" s="114"/>
      <c r="EAQ13" s="114"/>
      <c r="EAR13" s="114"/>
      <c r="EAS13" s="114"/>
      <c r="EAT13" s="114"/>
      <c r="EAU13" s="114"/>
      <c r="EAV13" s="114"/>
      <c r="EAW13" s="114"/>
      <c r="EAX13" s="114"/>
      <c r="EAY13" s="114"/>
      <c r="EAZ13" s="114"/>
      <c r="EBA13" s="114"/>
      <c r="EBB13" s="114"/>
      <c r="EBC13" s="114"/>
      <c r="EBD13" s="114"/>
      <c r="EBE13" s="114"/>
      <c r="EBF13" s="114"/>
      <c r="EBG13" s="114"/>
      <c r="EBH13" s="114"/>
      <c r="EBI13" s="114"/>
      <c r="EBJ13" s="114"/>
      <c r="EBK13" s="114"/>
      <c r="EBL13" s="114"/>
      <c r="EBM13" s="114"/>
      <c r="EBN13" s="114"/>
      <c r="EBO13" s="114"/>
      <c r="EBP13" s="114"/>
      <c r="EBQ13" s="114"/>
      <c r="EBR13" s="114"/>
      <c r="EBS13" s="114"/>
      <c r="EBT13" s="114"/>
      <c r="EBU13" s="114"/>
      <c r="EBV13" s="114"/>
      <c r="EBW13" s="114"/>
      <c r="EBX13" s="114"/>
      <c r="EBY13" s="114"/>
      <c r="EBZ13" s="114"/>
      <c r="ECA13" s="114"/>
      <c r="ECB13" s="114"/>
      <c r="ECC13" s="114"/>
      <c r="ECD13" s="114"/>
      <c r="ECE13" s="114"/>
      <c r="ECF13" s="114"/>
      <c r="ECG13" s="114"/>
      <c r="ECH13" s="114"/>
      <c r="ECI13" s="114"/>
      <c r="ECJ13" s="114"/>
      <c r="ECK13" s="114"/>
      <c r="ECL13" s="114"/>
      <c r="ECM13" s="114"/>
      <c r="ECN13" s="114"/>
      <c r="ECO13" s="114"/>
      <c r="ECP13" s="114"/>
      <c r="ECQ13" s="114"/>
      <c r="ECR13" s="114"/>
      <c r="ECS13" s="114"/>
      <c r="ECT13" s="114"/>
      <c r="ECU13" s="114"/>
      <c r="ECV13" s="114"/>
      <c r="ECW13" s="114"/>
      <c r="ECX13" s="114"/>
      <c r="ECY13" s="114"/>
      <c r="ECZ13" s="114"/>
      <c r="EDA13" s="114"/>
      <c r="EDB13" s="114"/>
      <c r="EDC13" s="114"/>
      <c r="EDD13" s="114"/>
      <c r="EDE13" s="114"/>
      <c r="EDF13" s="114"/>
      <c r="EDG13" s="114"/>
      <c r="EDH13" s="114"/>
      <c r="EDI13" s="114"/>
      <c r="EDJ13" s="114"/>
      <c r="EDK13" s="114"/>
      <c r="EDL13" s="114"/>
      <c r="EDM13" s="114"/>
      <c r="EDN13" s="114"/>
      <c r="EDO13" s="114"/>
      <c r="EDP13" s="114"/>
      <c r="EDQ13" s="114"/>
      <c r="EDR13" s="114"/>
      <c r="EDS13" s="114"/>
      <c r="EDT13" s="114"/>
      <c r="EDU13" s="114"/>
      <c r="EDV13" s="114"/>
      <c r="EDW13" s="114"/>
      <c r="EDX13" s="114"/>
      <c r="EDY13" s="114"/>
      <c r="EDZ13" s="114"/>
      <c r="EEA13" s="114"/>
      <c r="EEB13" s="114"/>
      <c r="EEC13" s="114"/>
      <c r="EED13" s="114"/>
      <c r="EEE13" s="114"/>
      <c r="EEF13" s="114"/>
      <c r="EEG13" s="114"/>
      <c r="EEH13" s="114"/>
      <c r="EEI13" s="114"/>
      <c r="EEJ13" s="114"/>
      <c r="EEK13" s="114"/>
      <c r="EEL13" s="114"/>
      <c r="EEM13" s="114"/>
      <c r="EEN13" s="114"/>
      <c r="EEO13" s="114"/>
      <c r="EEP13" s="114"/>
      <c r="EEQ13" s="114"/>
      <c r="EER13" s="114"/>
      <c r="EES13" s="114"/>
      <c r="EET13" s="114"/>
      <c r="EEU13" s="114"/>
      <c r="EEV13" s="114"/>
      <c r="EEW13" s="114"/>
      <c r="EEX13" s="114"/>
      <c r="EEY13" s="114"/>
      <c r="EEZ13" s="114"/>
      <c r="EFA13" s="114"/>
      <c r="EFB13" s="114"/>
      <c r="EFC13" s="114"/>
      <c r="EFD13" s="114"/>
      <c r="EFE13" s="114"/>
      <c r="EFF13" s="114"/>
      <c r="EFG13" s="114"/>
      <c r="EFH13" s="114"/>
      <c r="EFI13" s="114"/>
      <c r="EFJ13" s="114"/>
      <c r="EFK13" s="114"/>
      <c r="EFL13" s="114"/>
      <c r="EFM13" s="114"/>
      <c r="EFN13" s="114"/>
      <c r="EFO13" s="114"/>
      <c r="EFP13" s="114"/>
      <c r="EFQ13" s="114"/>
      <c r="EFR13" s="114"/>
      <c r="EFS13" s="114"/>
      <c r="EFT13" s="114"/>
      <c r="EFU13" s="114"/>
      <c r="EFV13" s="114"/>
      <c r="EFW13" s="114"/>
      <c r="EFX13" s="114"/>
      <c r="EFY13" s="114"/>
      <c r="EFZ13" s="114"/>
      <c r="EGA13" s="114"/>
      <c r="EGB13" s="114"/>
      <c r="EGC13" s="114"/>
      <c r="EGD13" s="114"/>
      <c r="EGE13" s="114"/>
      <c r="EGF13" s="114"/>
      <c r="EGG13" s="114"/>
      <c r="EGH13" s="114"/>
      <c r="EGI13" s="114"/>
      <c r="EGJ13" s="114"/>
      <c r="EGK13" s="114"/>
      <c r="EGL13" s="114"/>
      <c r="EGM13" s="114"/>
      <c r="EGN13" s="114"/>
      <c r="EGO13" s="114"/>
      <c r="EGP13" s="114"/>
      <c r="EGQ13" s="114"/>
      <c r="EGR13" s="114"/>
      <c r="EGS13" s="114"/>
      <c r="EGT13" s="114"/>
      <c r="EGU13" s="114"/>
      <c r="EGV13" s="114"/>
      <c r="EGW13" s="114"/>
      <c r="EGX13" s="114"/>
      <c r="EGY13" s="114"/>
      <c r="EGZ13" s="114"/>
      <c r="EHA13" s="114"/>
      <c r="EHB13" s="114"/>
      <c r="EHC13" s="114"/>
      <c r="EHD13" s="114"/>
      <c r="EHE13" s="114"/>
      <c r="EHF13" s="114"/>
      <c r="EHG13" s="114"/>
      <c r="EHH13" s="114"/>
      <c r="EHI13" s="114"/>
      <c r="EHJ13" s="114"/>
      <c r="EHK13" s="114"/>
      <c r="EHL13" s="114"/>
      <c r="EHM13" s="114"/>
      <c r="EHN13" s="114"/>
      <c r="EHO13" s="114"/>
      <c r="EHP13" s="114"/>
      <c r="EHQ13" s="114"/>
      <c r="EHR13" s="114"/>
      <c r="EHS13" s="114"/>
      <c r="EHT13" s="114"/>
      <c r="EHU13" s="114"/>
      <c r="EHV13" s="114"/>
      <c r="EHW13" s="114"/>
      <c r="EHX13" s="114"/>
      <c r="EHY13" s="114"/>
      <c r="EHZ13" s="114"/>
      <c r="EIA13" s="114"/>
      <c r="EIB13" s="114"/>
      <c r="EIC13" s="114"/>
      <c r="EID13" s="114"/>
      <c r="EIE13" s="114"/>
      <c r="EIF13" s="114"/>
      <c r="EIG13" s="114"/>
      <c r="EIH13" s="114"/>
      <c r="EII13" s="114"/>
      <c r="EIJ13" s="114"/>
      <c r="EIK13" s="114"/>
      <c r="EIL13" s="114"/>
      <c r="EIM13" s="114"/>
      <c r="EIN13" s="114"/>
      <c r="EIO13" s="114"/>
      <c r="EIP13" s="114"/>
      <c r="EIQ13" s="114"/>
      <c r="EIR13" s="114"/>
      <c r="EIS13" s="114"/>
      <c r="EIT13" s="114"/>
      <c r="EIU13" s="114"/>
      <c r="EIV13" s="114"/>
      <c r="EIW13" s="114"/>
      <c r="EIX13" s="114"/>
      <c r="EIY13" s="114"/>
      <c r="EIZ13" s="114"/>
      <c r="EJA13" s="114"/>
      <c r="EJB13" s="114"/>
      <c r="EJC13" s="114"/>
      <c r="EJD13" s="114"/>
      <c r="EJE13" s="114"/>
      <c r="EJF13" s="114"/>
      <c r="EJG13" s="114"/>
      <c r="EJH13" s="114"/>
      <c r="EJI13" s="114"/>
      <c r="EJJ13" s="114"/>
      <c r="EJK13" s="114"/>
      <c r="EJL13" s="114"/>
      <c r="EJM13" s="114"/>
      <c r="EJN13" s="114"/>
      <c r="EJO13" s="114"/>
      <c r="EJP13" s="114"/>
      <c r="EJQ13" s="114"/>
      <c r="EJR13" s="114"/>
      <c r="EJS13" s="114"/>
      <c r="EJT13" s="114"/>
      <c r="EJU13" s="114"/>
      <c r="EJV13" s="114"/>
      <c r="EJW13" s="114"/>
      <c r="EJX13" s="114"/>
      <c r="EJY13" s="114"/>
      <c r="EJZ13" s="114"/>
      <c r="EKA13" s="114"/>
      <c r="EKB13" s="114"/>
      <c r="EKC13" s="114"/>
      <c r="EKD13" s="114"/>
      <c r="EKE13" s="114"/>
      <c r="EKF13" s="114"/>
      <c r="EKG13" s="114"/>
      <c r="EKH13" s="114"/>
      <c r="EKI13" s="114"/>
      <c r="EKJ13" s="114"/>
      <c r="EKK13" s="114"/>
      <c r="EKL13" s="114"/>
      <c r="EKM13" s="114"/>
      <c r="EKN13" s="114"/>
      <c r="EKO13" s="114"/>
      <c r="EKP13" s="114"/>
      <c r="EKQ13" s="114"/>
      <c r="EKR13" s="114"/>
      <c r="EKS13" s="114"/>
      <c r="EKT13" s="114"/>
      <c r="EKU13" s="114"/>
      <c r="EKV13" s="114"/>
      <c r="EKW13" s="114"/>
      <c r="EKX13" s="114"/>
      <c r="EKY13" s="114"/>
      <c r="EKZ13" s="114"/>
      <c r="ELA13" s="114"/>
      <c r="ELB13" s="114"/>
      <c r="ELC13" s="114"/>
      <c r="ELD13" s="114"/>
      <c r="ELE13" s="114"/>
      <c r="ELF13" s="114"/>
      <c r="ELG13" s="114"/>
      <c r="ELH13" s="114"/>
      <c r="ELI13" s="114"/>
      <c r="ELJ13" s="114"/>
      <c r="ELK13" s="114"/>
      <c r="ELL13" s="114"/>
      <c r="ELM13" s="114"/>
      <c r="ELN13" s="114"/>
      <c r="ELO13" s="114"/>
      <c r="ELP13" s="114"/>
      <c r="ELQ13" s="114"/>
      <c r="ELR13" s="114"/>
      <c r="ELS13" s="114"/>
      <c r="ELT13" s="114"/>
      <c r="ELU13" s="114"/>
      <c r="ELV13" s="114"/>
      <c r="ELW13" s="114"/>
      <c r="ELX13" s="114"/>
      <c r="ELY13" s="114"/>
      <c r="ELZ13" s="114"/>
      <c r="EMA13" s="114"/>
      <c r="EMB13" s="114"/>
      <c r="EMC13" s="114"/>
      <c r="EMD13" s="114"/>
      <c r="EME13" s="114"/>
      <c r="EMF13" s="114"/>
      <c r="EMG13" s="114"/>
      <c r="EMH13" s="114"/>
      <c r="EMI13" s="114"/>
      <c r="EMJ13" s="114"/>
      <c r="EMK13" s="114"/>
      <c r="EML13" s="114"/>
      <c r="EMM13" s="114"/>
      <c r="EMN13" s="114"/>
      <c r="EMO13" s="114"/>
      <c r="EMP13" s="114"/>
      <c r="EMQ13" s="114"/>
      <c r="EMR13" s="114"/>
      <c r="EMS13" s="114"/>
      <c r="EMT13" s="114"/>
      <c r="EMU13" s="114"/>
      <c r="EMV13" s="114"/>
      <c r="EMW13" s="114"/>
      <c r="EMX13" s="114"/>
      <c r="EMY13" s="114"/>
      <c r="EMZ13" s="114"/>
      <c r="ENA13" s="114"/>
      <c r="ENB13" s="114"/>
      <c r="ENC13" s="114"/>
      <c r="END13" s="114"/>
      <c r="ENE13" s="114"/>
      <c r="ENF13" s="114"/>
      <c r="ENG13" s="114"/>
      <c r="ENH13" s="114"/>
      <c r="ENI13" s="114"/>
      <c r="ENJ13" s="114"/>
      <c r="ENK13" s="114"/>
      <c r="ENL13" s="114"/>
      <c r="ENM13" s="114"/>
      <c r="ENN13" s="114"/>
      <c r="ENO13" s="114"/>
      <c r="ENP13" s="114"/>
      <c r="ENQ13" s="114"/>
      <c r="ENR13" s="114"/>
      <c r="ENS13" s="114"/>
      <c r="ENT13" s="114"/>
      <c r="ENU13" s="114"/>
      <c r="ENV13" s="114"/>
      <c r="ENW13" s="114"/>
      <c r="ENX13" s="114"/>
      <c r="ENY13" s="114"/>
      <c r="ENZ13" s="114"/>
      <c r="EOA13" s="114"/>
      <c r="EOB13" s="114"/>
      <c r="EOC13" s="114"/>
      <c r="EOD13" s="114"/>
      <c r="EOE13" s="114"/>
      <c r="EOF13" s="114"/>
      <c r="EOG13" s="114"/>
      <c r="EOH13" s="114"/>
      <c r="EOI13" s="114"/>
      <c r="EOJ13" s="114"/>
      <c r="EOK13" s="114"/>
      <c r="EOL13" s="114"/>
      <c r="EOM13" s="114"/>
      <c r="EON13" s="114"/>
      <c r="EOO13" s="114"/>
      <c r="EOP13" s="114"/>
      <c r="EOQ13" s="114"/>
      <c r="EOR13" s="114"/>
      <c r="EOS13" s="114"/>
      <c r="EOT13" s="114"/>
      <c r="EOU13" s="114"/>
      <c r="EOV13" s="114"/>
      <c r="EOW13" s="114"/>
      <c r="EOX13" s="114"/>
      <c r="EOY13" s="114"/>
      <c r="EOZ13" s="114"/>
      <c r="EPA13" s="114"/>
      <c r="EPB13" s="114"/>
      <c r="EPC13" s="114"/>
      <c r="EPD13" s="114"/>
      <c r="EPE13" s="114"/>
      <c r="EPF13" s="114"/>
      <c r="EPG13" s="114"/>
      <c r="EPH13" s="114"/>
      <c r="EPI13" s="114"/>
      <c r="EPJ13" s="114"/>
      <c r="EPK13" s="114"/>
      <c r="EPL13" s="114"/>
      <c r="EPM13" s="114"/>
      <c r="EPN13" s="114"/>
      <c r="EPO13" s="114"/>
      <c r="EPP13" s="114"/>
      <c r="EPQ13" s="114"/>
      <c r="EPR13" s="114"/>
      <c r="EPS13" s="114"/>
      <c r="EPT13" s="114"/>
      <c r="EPU13" s="114"/>
      <c r="EPV13" s="114"/>
      <c r="EPW13" s="114"/>
      <c r="EPX13" s="114"/>
      <c r="EPY13" s="114"/>
      <c r="EPZ13" s="114"/>
      <c r="EQA13" s="114"/>
      <c r="EQB13" s="114"/>
      <c r="EQC13" s="114"/>
      <c r="EQD13" s="114"/>
      <c r="EQE13" s="114"/>
      <c r="EQF13" s="114"/>
      <c r="EQG13" s="114"/>
      <c r="EQH13" s="114"/>
      <c r="EQI13" s="114"/>
      <c r="EQJ13" s="114"/>
      <c r="EQK13" s="114"/>
      <c r="EQL13" s="114"/>
      <c r="EQM13" s="114"/>
      <c r="EQN13" s="114"/>
      <c r="EQO13" s="114"/>
      <c r="EQP13" s="114"/>
      <c r="EQQ13" s="114"/>
      <c r="EQR13" s="114"/>
      <c r="EQS13" s="114"/>
      <c r="EQT13" s="114"/>
      <c r="EQU13" s="114"/>
      <c r="EQV13" s="114"/>
      <c r="EQW13" s="114"/>
      <c r="EQX13" s="114"/>
      <c r="EQY13" s="114"/>
      <c r="EQZ13" s="114"/>
      <c r="ERA13" s="114"/>
      <c r="ERB13" s="114"/>
      <c r="ERC13" s="114"/>
      <c r="ERD13" s="114"/>
      <c r="ERE13" s="114"/>
      <c r="ERF13" s="114"/>
      <c r="ERG13" s="114"/>
      <c r="ERH13" s="114"/>
      <c r="ERI13" s="114"/>
      <c r="ERJ13" s="114"/>
      <c r="ERK13" s="114"/>
      <c r="ERL13" s="114"/>
      <c r="ERM13" s="114"/>
      <c r="ERN13" s="114"/>
      <c r="ERO13" s="114"/>
      <c r="ERP13" s="114"/>
      <c r="ERQ13" s="114"/>
      <c r="ERR13" s="114"/>
      <c r="ERS13" s="114"/>
      <c r="ERT13" s="114"/>
      <c r="ERU13" s="114"/>
      <c r="ERV13" s="114"/>
      <c r="ERW13" s="114"/>
      <c r="ERX13" s="114"/>
      <c r="ERY13" s="114"/>
      <c r="ERZ13" s="114"/>
      <c r="ESA13" s="114"/>
      <c r="ESB13" s="114"/>
      <c r="ESC13" s="114"/>
      <c r="ESD13" s="114"/>
      <c r="ESE13" s="114"/>
      <c r="ESF13" s="114"/>
      <c r="ESG13" s="114"/>
      <c r="ESH13" s="114"/>
      <c r="ESI13" s="114"/>
      <c r="ESJ13" s="114"/>
      <c r="ESK13" s="114"/>
      <c r="ESL13" s="114"/>
      <c r="ESM13" s="114"/>
      <c r="ESN13" s="114"/>
      <c r="ESO13" s="114"/>
      <c r="ESP13" s="114"/>
      <c r="ESQ13" s="114"/>
      <c r="ESR13" s="114"/>
      <c r="ESS13" s="114"/>
      <c r="EST13" s="114"/>
      <c r="ESU13" s="114"/>
      <c r="ESV13" s="114"/>
      <c r="ESW13" s="114"/>
      <c r="ESX13" s="114"/>
      <c r="ESY13" s="114"/>
      <c r="ESZ13" s="114"/>
      <c r="ETA13" s="114"/>
      <c r="ETB13" s="114"/>
      <c r="ETC13" s="114"/>
      <c r="ETD13" s="114"/>
      <c r="ETE13" s="114"/>
      <c r="ETF13" s="114"/>
      <c r="ETG13" s="114"/>
      <c r="ETH13" s="114"/>
      <c r="ETI13" s="114"/>
      <c r="ETJ13" s="114"/>
      <c r="ETK13" s="114"/>
      <c r="ETL13" s="114"/>
      <c r="ETM13" s="114"/>
      <c r="ETN13" s="114"/>
      <c r="ETO13" s="114"/>
      <c r="ETP13" s="114"/>
      <c r="ETQ13" s="114"/>
      <c r="ETR13" s="114"/>
      <c r="ETS13" s="114"/>
      <c r="ETT13" s="114"/>
      <c r="ETU13" s="114"/>
      <c r="ETV13" s="114"/>
      <c r="ETW13" s="114"/>
      <c r="ETX13" s="114"/>
      <c r="ETY13" s="114"/>
      <c r="ETZ13" s="114"/>
      <c r="EUA13" s="114"/>
      <c r="EUB13" s="114"/>
      <c r="EUC13" s="114"/>
      <c r="EUD13" s="114"/>
      <c r="EUE13" s="114"/>
      <c r="EUF13" s="114"/>
      <c r="EUG13" s="114"/>
      <c r="EUH13" s="114"/>
      <c r="EUI13" s="114"/>
      <c r="EUJ13" s="114"/>
      <c r="EUK13" s="114"/>
      <c r="EUL13" s="114"/>
      <c r="EUM13" s="114"/>
      <c r="EUN13" s="114"/>
      <c r="EUO13" s="114"/>
      <c r="EUP13" s="114"/>
      <c r="EUQ13" s="114"/>
      <c r="EUR13" s="114"/>
      <c r="EUS13" s="114"/>
      <c r="EUT13" s="114"/>
      <c r="EUU13" s="114"/>
      <c r="EUV13" s="114"/>
      <c r="EUW13" s="114"/>
      <c r="EUX13" s="114"/>
      <c r="EUY13" s="114"/>
      <c r="EUZ13" s="114"/>
      <c r="EVA13" s="114"/>
      <c r="EVB13" s="114"/>
      <c r="EVC13" s="114"/>
      <c r="EVD13" s="114"/>
      <c r="EVE13" s="114"/>
      <c r="EVF13" s="114"/>
      <c r="EVG13" s="114"/>
      <c r="EVH13" s="114"/>
      <c r="EVI13" s="114"/>
      <c r="EVJ13" s="114"/>
      <c r="EVK13" s="114"/>
      <c r="EVL13" s="114"/>
      <c r="EVM13" s="114"/>
      <c r="EVN13" s="114"/>
      <c r="EVO13" s="114"/>
      <c r="EVP13" s="114"/>
      <c r="EVQ13" s="114"/>
      <c r="EVR13" s="114"/>
      <c r="EVS13" s="114"/>
      <c r="EVT13" s="114"/>
      <c r="EVU13" s="114"/>
      <c r="EVV13" s="114"/>
      <c r="EVW13" s="114"/>
      <c r="EVX13" s="114"/>
      <c r="EVY13" s="114"/>
      <c r="EVZ13" s="114"/>
      <c r="EWA13" s="114"/>
      <c r="EWB13" s="114"/>
      <c r="EWC13" s="114"/>
      <c r="EWD13" s="114"/>
      <c r="EWE13" s="114"/>
      <c r="EWF13" s="114"/>
      <c r="EWG13" s="114"/>
      <c r="EWH13" s="114"/>
      <c r="EWI13" s="114"/>
      <c r="EWJ13" s="114"/>
      <c r="EWK13" s="114"/>
      <c r="EWL13" s="114"/>
      <c r="EWM13" s="114"/>
      <c r="EWN13" s="114"/>
      <c r="EWO13" s="114"/>
      <c r="EWP13" s="114"/>
      <c r="EWQ13" s="114"/>
      <c r="EWR13" s="114"/>
      <c r="EWS13" s="114"/>
      <c r="EWT13" s="114"/>
      <c r="EWU13" s="114"/>
      <c r="EWV13" s="114"/>
      <c r="EWW13" s="114"/>
      <c r="EWX13" s="114"/>
      <c r="EWY13" s="114"/>
      <c r="EWZ13" s="114"/>
      <c r="EXA13" s="114"/>
      <c r="EXB13" s="114"/>
      <c r="EXC13" s="114"/>
      <c r="EXD13" s="114"/>
      <c r="EXE13" s="114"/>
      <c r="EXF13" s="114"/>
      <c r="EXG13" s="114"/>
      <c r="EXH13" s="114"/>
      <c r="EXI13" s="114"/>
      <c r="EXJ13" s="114"/>
      <c r="EXK13" s="114"/>
      <c r="EXL13" s="114"/>
      <c r="EXM13" s="114"/>
      <c r="EXN13" s="114"/>
      <c r="EXO13" s="114"/>
      <c r="EXP13" s="114"/>
      <c r="EXQ13" s="114"/>
      <c r="EXR13" s="114"/>
      <c r="EXS13" s="114"/>
      <c r="EXT13" s="114"/>
      <c r="EXU13" s="114"/>
      <c r="EXV13" s="114"/>
      <c r="EXW13" s="114"/>
      <c r="EXX13" s="114"/>
      <c r="EXY13" s="114"/>
      <c r="EXZ13" s="114"/>
      <c r="EYA13" s="114"/>
      <c r="EYB13" s="114"/>
      <c r="EYC13" s="114"/>
      <c r="EYD13" s="114"/>
      <c r="EYE13" s="114"/>
      <c r="EYF13" s="114"/>
      <c r="EYG13" s="114"/>
      <c r="EYH13" s="114"/>
      <c r="EYI13" s="114"/>
      <c r="EYJ13" s="114"/>
      <c r="EYK13" s="114"/>
      <c r="EYL13" s="114"/>
      <c r="EYM13" s="114"/>
      <c r="EYN13" s="114"/>
      <c r="EYO13" s="114"/>
      <c r="EYP13" s="114"/>
      <c r="EYQ13" s="114"/>
      <c r="EYR13" s="114"/>
      <c r="EYS13" s="114"/>
      <c r="EYT13" s="114"/>
      <c r="EYU13" s="114"/>
      <c r="EYV13" s="114"/>
      <c r="EYW13" s="114"/>
      <c r="EYX13" s="114"/>
      <c r="EYY13" s="114"/>
      <c r="EYZ13" s="114"/>
      <c r="EZA13" s="114"/>
      <c r="EZB13" s="114"/>
      <c r="EZC13" s="114"/>
      <c r="EZD13" s="114"/>
      <c r="EZE13" s="114"/>
      <c r="EZF13" s="114"/>
      <c r="EZG13" s="114"/>
      <c r="EZH13" s="114"/>
      <c r="EZI13" s="114"/>
      <c r="EZJ13" s="114"/>
      <c r="EZK13" s="114"/>
      <c r="EZL13" s="114"/>
      <c r="EZM13" s="114"/>
      <c r="EZN13" s="114"/>
      <c r="EZO13" s="114"/>
      <c r="EZP13" s="114"/>
      <c r="EZQ13" s="114"/>
      <c r="EZR13" s="114"/>
      <c r="EZS13" s="114"/>
      <c r="EZT13" s="114"/>
      <c r="EZU13" s="114"/>
      <c r="EZV13" s="114"/>
      <c r="EZW13" s="114"/>
      <c r="EZX13" s="114"/>
      <c r="EZY13" s="114"/>
      <c r="EZZ13" s="114"/>
      <c r="FAA13" s="114"/>
      <c r="FAB13" s="114"/>
      <c r="FAC13" s="114"/>
      <c r="FAD13" s="114"/>
      <c r="FAE13" s="114"/>
      <c r="FAF13" s="114"/>
      <c r="FAG13" s="114"/>
      <c r="FAH13" s="114"/>
      <c r="FAI13" s="114"/>
      <c r="FAJ13" s="114"/>
      <c r="FAK13" s="114"/>
      <c r="FAL13" s="114"/>
      <c r="FAM13" s="114"/>
      <c r="FAN13" s="114"/>
      <c r="FAO13" s="114"/>
      <c r="FAP13" s="114"/>
      <c r="FAQ13" s="114"/>
      <c r="FAR13" s="114"/>
      <c r="FAS13" s="114"/>
      <c r="FAT13" s="114"/>
      <c r="FAU13" s="114"/>
      <c r="FAV13" s="114"/>
      <c r="FAW13" s="114"/>
      <c r="FAX13" s="114"/>
      <c r="FAY13" s="114"/>
      <c r="FAZ13" s="114"/>
      <c r="FBA13" s="114"/>
      <c r="FBB13" s="114"/>
      <c r="FBC13" s="114"/>
      <c r="FBD13" s="114"/>
      <c r="FBE13" s="114"/>
      <c r="FBF13" s="114"/>
      <c r="FBG13" s="114"/>
      <c r="FBH13" s="114"/>
      <c r="FBI13" s="114"/>
      <c r="FBJ13" s="114"/>
      <c r="FBK13" s="114"/>
      <c r="FBL13" s="114"/>
      <c r="FBM13" s="114"/>
      <c r="FBN13" s="114"/>
      <c r="FBO13" s="114"/>
      <c r="FBP13" s="114"/>
      <c r="FBQ13" s="114"/>
      <c r="FBR13" s="114"/>
      <c r="FBS13" s="114"/>
      <c r="FBT13" s="114"/>
      <c r="FBU13" s="114"/>
      <c r="FBV13" s="114"/>
      <c r="FBW13" s="114"/>
      <c r="FBX13" s="114"/>
      <c r="FBY13" s="114"/>
      <c r="FBZ13" s="114"/>
      <c r="FCA13" s="114"/>
      <c r="FCB13" s="114"/>
      <c r="FCC13" s="114"/>
      <c r="FCD13" s="114"/>
      <c r="FCE13" s="114"/>
      <c r="FCF13" s="114"/>
      <c r="FCG13" s="114"/>
      <c r="FCH13" s="114"/>
      <c r="FCI13" s="114"/>
      <c r="FCJ13" s="114"/>
      <c r="FCK13" s="114"/>
      <c r="FCL13" s="114"/>
      <c r="FCM13" s="114"/>
      <c r="FCN13" s="114"/>
      <c r="FCO13" s="114"/>
      <c r="FCP13" s="114"/>
      <c r="FCQ13" s="114"/>
      <c r="FCR13" s="114"/>
      <c r="FCS13" s="114"/>
      <c r="FCT13" s="114"/>
      <c r="FCU13" s="114"/>
      <c r="FCV13" s="114"/>
      <c r="FCW13" s="114"/>
      <c r="FCX13" s="114"/>
      <c r="FCY13" s="114"/>
      <c r="FCZ13" s="114"/>
      <c r="FDA13" s="114"/>
      <c r="FDB13" s="114"/>
      <c r="FDC13" s="114"/>
      <c r="FDD13" s="114"/>
      <c r="FDE13" s="114"/>
      <c r="FDF13" s="114"/>
      <c r="FDG13" s="114"/>
      <c r="FDH13" s="114"/>
      <c r="FDI13" s="114"/>
      <c r="FDJ13" s="114"/>
      <c r="FDK13" s="114"/>
      <c r="FDL13" s="114"/>
      <c r="FDM13" s="114"/>
      <c r="FDN13" s="114"/>
      <c r="FDO13" s="114"/>
      <c r="FDP13" s="114"/>
      <c r="FDQ13" s="114"/>
      <c r="FDR13" s="114"/>
      <c r="FDS13" s="114"/>
      <c r="FDT13" s="114"/>
      <c r="FDU13" s="114"/>
      <c r="FDV13" s="114"/>
      <c r="FDW13" s="114"/>
      <c r="FDX13" s="114"/>
      <c r="FDY13" s="114"/>
      <c r="FDZ13" s="114"/>
      <c r="FEA13" s="114"/>
      <c r="FEB13" s="114"/>
      <c r="FEC13" s="114"/>
      <c r="FED13" s="114"/>
      <c r="FEE13" s="114"/>
      <c r="FEF13" s="114"/>
      <c r="FEG13" s="114"/>
      <c r="FEH13" s="114"/>
      <c r="FEI13" s="114"/>
      <c r="FEJ13" s="114"/>
      <c r="FEK13" s="114"/>
      <c r="FEL13" s="114"/>
      <c r="FEM13" s="114"/>
      <c r="FEN13" s="114"/>
      <c r="FEO13" s="114"/>
      <c r="FEP13" s="114"/>
      <c r="FEQ13" s="114"/>
      <c r="FER13" s="114"/>
      <c r="FES13" s="114"/>
      <c r="FET13" s="114"/>
      <c r="FEU13" s="114"/>
      <c r="FEV13" s="114"/>
      <c r="FEW13" s="114"/>
      <c r="FEX13" s="114"/>
      <c r="FEY13" s="114"/>
      <c r="FEZ13" s="114"/>
      <c r="FFA13" s="114"/>
      <c r="FFB13" s="114"/>
      <c r="FFC13" s="114"/>
      <c r="FFD13" s="114"/>
      <c r="FFE13" s="114"/>
      <c r="FFF13" s="114"/>
      <c r="FFG13" s="114"/>
      <c r="FFH13" s="114"/>
      <c r="FFI13" s="114"/>
      <c r="FFJ13" s="114"/>
      <c r="FFK13" s="114"/>
      <c r="FFL13" s="114"/>
      <c r="FFM13" s="114"/>
      <c r="FFN13" s="114"/>
      <c r="FFO13" s="114"/>
      <c r="FFP13" s="114"/>
      <c r="FFQ13" s="114"/>
      <c r="FFR13" s="114"/>
      <c r="FFS13" s="114"/>
      <c r="FFT13" s="114"/>
      <c r="FFU13" s="114"/>
      <c r="FFV13" s="114"/>
      <c r="FFW13" s="114"/>
      <c r="FFX13" s="114"/>
      <c r="FFY13" s="114"/>
      <c r="FFZ13" s="114"/>
      <c r="FGA13" s="114"/>
      <c r="FGB13" s="114"/>
      <c r="FGC13" s="114"/>
      <c r="FGD13" s="114"/>
      <c r="FGE13" s="114"/>
      <c r="FGF13" s="114"/>
      <c r="FGG13" s="114"/>
      <c r="FGH13" s="114"/>
      <c r="FGI13" s="114"/>
      <c r="FGJ13" s="114"/>
      <c r="FGK13" s="114"/>
      <c r="FGL13" s="114"/>
      <c r="FGM13" s="114"/>
      <c r="FGN13" s="114"/>
      <c r="FGO13" s="114"/>
      <c r="FGP13" s="114"/>
      <c r="FGQ13" s="114"/>
      <c r="FGR13" s="114"/>
      <c r="FGS13" s="114"/>
      <c r="FGT13" s="114"/>
      <c r="FGU13" s="114"/>
      <c r="FGV13" s="114"/>
      <c r="FGW13" s="114"/>
      <c r="FGX13" s="114"/>
      <c r="FGY13" s="114"/>
      <c r="FGZ13" s="114"/>
      <c r="FHA13" s="114"/>
      <c r="FHB13" s="114"/>
      <c r="FHC13" s="114"/>
      <c r="FHD13" s="114"/>
      <c r="FHE13" s="114"/>
      <c r="FHF13" s="114"/>
      <c r="FHG13" s="114"/>
      <c r="FHH13" s="114"/>
      <c r="FHI13" s="114"/>
      <c r="FHJ13" s="114"/>
      <c r="FHK13" s="114"/>
      <c r="FHL13" s="114"/>
      <c r="FHM13" s="114"/>
      <c r="FHN13" s="114"/>
      <c r="FHO13" s="114"/>
      <c r="FHP13" s="114"/>
      <c r="FHQ13" s="114"/>
      <c r="FHR13" s="114"/>
      <c r="FHS13" s="114"/>
      <c r="FHT13" s="114"/>
      <c r="FHU13" s="114"/>
      <c r="FHV13" s="114"/>
      <c r="FHW13" s="114"/>
      <c r="FHX13" s="114"/>
      <c r="FHY13" s="114"/>
      <c r="FHZ13" s="114"/>
      <c r="FIA13" s="114"/>
      <c r="FIB13" s="114"/>
      <c r="FIC13" s="114"/>
      <c r="FID13" s="114"/>
      <c r="FIE13" s="114"/>
      <c r="FIF13" s="114"/>
      <c r="FIG13" s="114"/>
      <c r="FIH13" s="114"/>
      <c r="FII13" s="114"/>
      <c r="FIJ13" s="114"/>
      <c r="FIK13" s="114"/>
      <c r="FIL13" s="114"/>
      <c r="FIM13" s="114"/>
      <c r="FIN13" s="114"/>
      <c r="FIO13" s="114"/>
      <c r="FIP13" s="114"/>
      <c r="FIQ13" s="114"/>
      <c r="FIR13" s="114"/>
      <c r="FIS13" s="114"/>
      <c r="FIT13" s="114"/>
      <c r="FIU13" s="114"/>
      <c r="FIV13" s="114"/>
      <c r="FIW13" s="114"/>
      <c r="FIX13" s="114"/>
      <c r="FIY13" s="114"/>
      <c r="FIZ13" s="114"/>
      <c r="FJA13" s="114"/>
      <c r="FJB13" s="114"/>
      <c r="FJC13" s="114"/>
      <c r="FJD13" s="114"/>
      <c r="FJE13" s="114"/>
      <c r="FJF13" s="114"/>
      <c r="FJG13" s="114"/>
      <c r="FJH13" s="114"/>
      <c r="FJI13" s="114"/>
      <c r="FJJ13" s="114"/>
      <c r="FJK13" s="114"/>
      <c r="FJL13" s="114"/>
      <c r="FJM13" s="114"/>
      <c r="FJN13" s="114"/>
      <c r="FJO13" s="114"/>
      <c r="FJP13" s="114"/>
      <c r="FJQ13" s="114"/>
      <c r="FJR13" s="114"/>
      <c r="FJS13" s="114"/>
      <c r="FJT13" s="114"/>
      <c r="FJU13" s="114"/>
      <c r="FJV13" s="114"/>
      <c r="FJW13" s="114"/>
      <c r="FJX13" s="114"/>
      <c r="FJY13" s="114"/>
      <c r="FJZ13" s="114"/>
      <c r="FKA13" s="114"/>
      <c r="FKB13" s="114"/>
      <c r="FKC13" s="114"/>
      <c r="FKD13" s="114"/>
      <c r="FKE13" s="114"/>
      <c r="FKF13" s="114"/>
      <c r="FKG13" s="114"/>
      <c r="FKH13" s="114"/>
      <c r="FKI13" s="114"/>
      <c r="FKJ13" s="114"/>
      <c r="FKK13" s="114"/>
      <c r="FKL13" s="114"/>
      <c r="FKM13" s="114"/>
      <c r="FKN13" s="114"/>
      <c r="FKO13" s="114"/>
      <c r="FKP13" s="114"/>
      <c r="FKQ13" s="114"/>
      <c r="FKR13" s="114"/>
      <c r="FKS13" s="114"/>
      <c r="FKT13" s="114"/>
      <c r="FKU13" s="114"/>
      <c r="FKV13" s="114"/>
      <c r="FKW13" s="114"/>
      <c r="FKX13" s="114"/>
      <c r="FKY13" s="114"/>
      <c r="FKZ13" s="114"/>
      <c r="FLA13" s="114"/>
      <c r="FLB13" s="114"/>
      <c r="FLC13" s="114"/>
      <c r="FLD13" s="114"/>
      <c r="FLE13" s="114"/>
      <c r="FLF13" s="114"/>
      <c r="FLG13" s="114"/>
      <c r="FLH13" s="114"/>
      <c r="FLI13" s="114"/>
      <c r="FLJ13" s="114"/>
      <c r="FLK13" s="114"/>
      <c r="FLL13" s="114"/>
      <c r="FLM13" s="114"/>
      <c r="FLN13" s="114"/>
      <c r="FLO13" s="114"/>
      <c r="FLP13" s="114"/>
      <c r="FLQ13" s="114"/>
      <c r="FLR13" s="114"/>
      <c r="FLS13" s="114"/>
      <c r="FLT13" s="114"/>
      <c r="FLU13" s="114"/>
      <c r="FLV13" s="114"/>
      <c r="FLW13" s="114"/>
      <c r="FLX13" s="114"/>
      <c r="FLY13" s="114"/>
      <c r="FLZ13" s="114"/>
      <c r="FMA13" s="114"/>
      <c r="FMB13" s="114"/>
      <c r="FMC13" s="114"/>
      <c r="FMD13" s="114"/>
      <c r="FME13" s="114"/>
      <c r="FMF13" s="114"/>
      <c r="FMG13" s="114"/>
      <c r="FMH13" s="114"/>
      <c r="FMI13" s="114"/>
      <c r="FMJ13" s="114"/>
      <c r="FMK13" s="114"/>
      <c r="FML13" s="114"/>
      <c r="FMM13" s="114"/>
      <c r="FMN13" s="114"/>
      <c r="FMO13" s="114"/>
      <c r="FMP13" s="114"/>
      <c r="FMQ13" s="114"/>
      <c r="FMR13" s="114"/>
      <c r="FMS13" s="114"/>
      <c r="FMT13" s="114"/>
      <c r="FMU13" s="114"/>
      <c r="FMV13" s="114"/>
      <c r="FMW13" s="114"/>
      <c r="FMX13" s="114"/>
      <c r="FMY13" s="114"/>
      <c r="FMZ13" s="114"/>
      <c r="FNA13" s="114"/>
      <c r="FNB13" s="114"/>
      <c r="FNC13" s="114"/>
      <c r="FND13" s="114"/>
      <c r="FNE13" s="114"/>
      <c r="FNF13" s="114"/>
      <c r="FNG13" s="114"/>
      <c r="FNH13" s="114"/>
      <c r="FNI13" s="114"/>
      <c r="FNJ13" s="114"/>
      <c r="FNK13" s="114"/>
      <c r="FNL13" s="114"/>
      <c r="FNM13" s="114"/>
      <c r="FNN13" s="114"/>
      <c r="FNO13" s="114"/>
      <c r="FNP13" s="114"/>
      <c r="FNQ13" s="114"/>
      <c r="FNR13" s="114"/>
      <c r="FNS13" s="114"/>
      <c r="FNT13" s="114"/>
      <c r="FNU13" s="114"/>
      <c r="FNV13" s="114"/>
      <c r="FNW13" s="114"/>
      <c r="FNX13" s="114"/>
      <c r="FNY13" s="114"/>
      <c r="FNZ13" s="114"/>
      <c r="FOA13" s="114"/>
      <c r="FOB13" s="114"/>
      <c r="FOC13" s="114"/>
      <c r="FOD13" s="114"/>
      <c r="FOE13" s="114"/>
      <c r="FOF13" s="114"/>
      <c r="FOG13" s="114"/>
      <c r="FOH13" s="114"/>
      <c r="FOI13" s="114"/>
      <c r="FOJ13" s="114"/>
      <c r="FOK13" s="114"/>
      <c r="FOL13" s="114"/>
      <c r="FOM13" s="114"/>
      <c r="FON13" s="114"/>
      <c r="FOO13" s="114"/>
      <c r="FOP13" s="114"/>
      <c r="FOQ13" s="114"/>
      <c r="FOR13" s="114"/>
      <c r="FOS13" s="114"/>
      <c r="FOT13" s="114"/>
      <c r="FOU13" s="114"/>
      <c r="FOV13" s="114"/>
      <c r="FOW13" s="114"/>
      <c r="FOX13" s="114"/>
      <c r="FOY13" s="114"/>
      <c r="FOZ13" s="114"/>
      <c r="FPA13" s="114"/>
      <c r="FPB13" s="114"/>
      <c r="FPC13" s="114"/>
      <c r="FPD13" s="114"/>
      <c r="FPE13" s="114"/>
      <c r="FPF13" s="114"/>
      <c r="FPG13" s="114"/>
      <c r="FPH13" s="114"/>
      <c r="FPI13" s="114"/>
      <c r="FPJ13" s="114"/>
      <c r="FPK13" s="114"/>
      <c r="FPL13" s="114"/>
      <c r="FPM13" s="114"/>
      <c r="FPN13" s="114"/>
      <c r="FPO13" s="114"/>
      <c r="FPP13" s="114"/>
      <c r="FPQ13" s="114"/>
      <c r="FPR13" s="114"/>
      <c r="FPS13" s="114"/>
      <c r="FPT13" s="114"/>
      <c r="FPU13" s="114"/>
      <c r="FPV13" s="114"/>
      <c r="FPW13" s="114"/>
      <c r="FPX13" s="114"/>
      <c r="FPY13" s="114"/>
      <c r="FPZ13" s="114"/>
      <c r="FQA13" s="114"/>
      <c r="FQB13" s="114"/>
      <c r="FQC13" s="114"/>
      <c r="FQD13" s="114"/>
      <c r="FQE13" s="114"/>
      <c r="FQF13" s="114"/>
      <c r="FQG13" s="114"/>
      <c r="FQH13" s="114"/>
      <c r="FQI13" s="114"/>
      <c r="FQJ13" s="114"/>
      <c r="FQK13" s="114"/>
      <c r="FQL13" s="114"/>
      <c r="FQM13" s="114"/>
      <c r="FQN13" s="114"/>
      <c r="FQO13" s="114"/>
      <c r="FQP13" s="114"/>
      <c r="FQQ13" s="114"/>
      <c r="FQR13" s="114"/>
      <c r="FQS13" s="114"/>
      <c r="FQT13" s="114"/>
      <c r="FQU13" s="114"/>
      <c r="FQV13" s="114"/>
      <c r="FQW13" s="114"/>
      <c r="FQX13" s="114"/>
      <c r="FQY13" s="114"/>
      <c r="FQZ13" s="114"/>
      <c r="FRA13" s="114"/>
      <c r="FRB13" s="114"/>
      <c r="FRC13" s="114"/>
      <c r="FRD13" s="114"/>
      <c r="FRE13" s="114"/>
      <c r="FRF13" s="114"/>
      <c r="FRG13" s="114"/>
      <c r="FRH13" s="114"/>
      <c r="FRI13" s="114"/>
      <c r="FRJ13" s="114"/>
      <c r="FRK13" s="114"/>
      <c r="FRL13" s="114"/>
      <c r="FRM13" s="114"/>
      <c r="FRN13" s="114"/>
      <c r="FRO13" s="114"/>
      <c r="FRP13" s="114"/>
      <c r="FRQ13" s="114"/>
      <c r="FRR13" s="114"/>
      <c r="FRS13" s="114"/>
      <c r="FRT13" s="114"/>
      <c r="FRU13" s="114"/>
      <c r="FRV13" s="114"/>
      <c r="FRW13" s="114"/>
      <c r="FRX13" s="114"/>
      <c r="FRY13" s="114"/>
      <c r="FRZ13" s="114"/>
      <c r="FSA13" s="114"/>
      <c r="FSB13" s="114"/>
      <c r="FSC13" s="114"/>
      <c r="FSD13" s="114"/>
      <c r="FSE13" s="114"/>
      <c r="FSF13" s="114"/>
      <c r="FSG13" s="114"/>
      <c r="FSH13" s="114"/>
      <c r="FSI13" s="114"/>
      <c r="FSJ13" s="114"/>
      <c r="FSK13" s="114"/>
      <c r="FSL13" s="114"/>
      <c r="FSM13" s="114"/>
      <c r="FSN13" s="114"/>
      <c r="FSO13" s="114"/>
      <c r="FSP13" s="114"/>
      <c r="FSQ13" s="114"/>
      <c r="FSR13" s="114"/>
      <c r="FSS13" s="114"/>
      <c r="FST13" s="114"/>
      <c r="FSU13" s="114"/>
      <c r="FSV13" s="114"/>
      <c r="FSW13" s="114"/>
      <c r="FSX13" s="114"/>
      <c r="FSY13" s="114"/>
      <c r="FSZ13" s="114"/>
      <c r="FTA13" s="114"/>
      <c r="FTB13" s="114"/>
      <c r="FTC13" s="114"/>
      <c r="FTD13" s="114"/>
      <c r="FTE13" s="114"/>
      <c r="FTF13" s="114"/>
      <c r="FTG13" s="114"/>
      <c r="FTH13" s="114"/>
      <c r="FTI13" s="114"/>
      <c r="FTJ13" s="114"/>
      <c r="FTK13" s="114"/>
      <c r="FTL13" s="114"/>
      <c r="FTM13" s="114"/>
      <c r="FTN13" s="114"/>
      <c r="FTO13" s="114"/>
      <c r="FTP13" s="114"/>
      <c r="FTQ13" s="114"/>
      <c r="FTR13" s="114"/>
      <c r="FTS13" s="114"/>
      <c r="FTT13" s="114"/>
      <c r="FTU13" s="114"/>
      <c r="FTV13" s="114"/>
      <c r="FTW13" s="114"/>
      <c r="FTX13" s="114"/>
      <c r="FTY13" s="114"/>
      <c r="FTZ13" s="114"/>
      <c r="FUA13" s="114"/>
      <c r="FUB13" s="114"/>
      <c r="FUC13" s="114"/>
      <c r="FUD13" s="114"/>
      <c r="FUE13" s="114"/>
      <c r="FUF13" s="114"/>
      <c r="FUG13" s="114"/>
      <c r="FUH13" s="114"/>
      <c r="FUI13" s="114"/>
      <c r="FUJ13" s="114"/>
      <c r="FUK13" s="114"/>
      <c r="FUL13" s="114"/>
      <c r="FUM13" s="114"/>
      <c r="FUN13" s="114"/>
      <c r="FUO13" s="114"/>
      <c r="FUP13" s="114"/>
      <c r="FUQ13" s="114"/>
      <c r="FUR13" s="114"/>
      <c r="FUS13" s="114"/>
      <c r="FUT13" s="114"/>
      <c r="FUU13" s="114"/>
      <c r="FUV13" s="114"/>
      <c r="FUW13" s="114"/>
      <c r="FUX13" s="114"/>
      <c r="FUY13" s="114"/>
      <c r="FUZ13" s="114"/>
      <c r="FVA13" s="114"/>
      <c r="FVB13" s="114"/>
      <c r="FVC13" s="114"/>
      <c r="FVD13" s="114"/>
      <c r="FVE13" s="114"/>
      <c r="FVF13" s="114"/>
      <c r="FVG13" s="114"/>
      <c r="FVH13" s="114"/>
      <c r="FVI13" s="114"/>
      <c r="FVJ13" s="114"/>
      <c r="FVK13" s="114"/>
      <c r="FVL13" s="114"/>
      <c r="FVM13" s="114"/>
      <c r="FVN13" s="114"/>
      <c r="FVO13" s="114"/>
      <c r="FVP13" s="114"/>
      <c r="FVQ13" s="114"/>
      <c r="FVR13" s="114"/>
      <c r="FVS13" s="114"/>
      <c r="FVT13" s="114"/>
      <c r="FVU13" s="114"/>
      <c r="FVV13" s="114"/>
      <c r="FVW13" s="114"/>
      <c r="FVX13" s="114"/>
      <c r="FVY13" s="114"/>
      <c r="FVZ13" s="114"/>
      <c r="FWA13" s="114"/>
      <c r="FWB13" s="114"/>
      <c r="FWC13" s="114"/>
      <c r="FWD13" s="114"/>
      <c r="FWE13" s="114"/>
      <c r="FWF13" s="114"/>
      <c r="FWG13" s="114"/>
      <c r="FWH13" s="114"/>
      <c r="FWI13" s="114"/>
      <c r="FWJ13" s="114"/>
      <c r="FWK13" s="114"/>
      <c r="FWL13" s="114"/>
      <c r="FWM13" s="114"/>
      <c r="FWN13" s="114"/>
      <c r="FWO13" s="114"/>
      <c r="FWP13" s="114"/>
      <c r="FWQ13" s="114"/>
      <c r="FWR13" s="114"/>
      <c r="FWS13" s="114"/>
      <c r="FWT13" s="114"/>
      <c r="FWU13" s="114"/>
      <c r="FWV13" s="114"/>
      <c r="FWW13" s="114"/>
      <c r="FWX13" s="114"/>
      <c r="FWY13" s="114"/>
      <c r="FWZ13" s="114"/>
      <c r="FXA13" s="114"/>
      <c r="FXB13" s="114"/>
      <c r="FXC13" s="114"/>
      <c r="FXD13" s="114"/>
      <c r="FXE13" s="114"/>
      <c r="FXF13" s="114"/>
      <c r="FXG13" s="114"/>
      <c r="FXH13" s="114"/>
      <c r="FXI13" s="114"/>
      <c r="FXJ13" s="114"/>
      <c r="FXK13" s="114"/>
      <c r="FXL13" s="114"/>
      <c r="FXM13" s="114"/>
      <c r="FXN13" s="114"/>
      <c r="FXO13" s="114"/>
      <c r="FXP13" s="114"/>
      <c r="FXQ13" s="114"/>
      <c r="FXR13" s="114"/>
      <c r="FXS13" s="114"/>
      <c r="FXT13" s="114"/>
      <c r="FXU13" s="114"/>
      <c r="FXV13" s="114"/>
      <c r="FXW13" s="114"/>
      <c r="FXX13" s="114"/>
      <c r="FXY13" s="114"/>
      <c r="FXZ13" s="114"/>
      <c r="FYA13" s="114"/>
      <c r="FYB13" s="114"/>
      <c r="FYC13" s="114"/>
      <c r="FYD13" s="114"/>
      <c r="FYE13" s="114"/>
      <c r="FYF13" s="114"/>
      <c r="FYG13" s="114"/>
      <c r="FYH13" s="114"/>
      <c r="FYI13" s="114"/>
      <c r="FYJ13" s="114"/>
      <c r="FYK13" s="114"/>
      <c r="FYL13" s="114"/>
      <c r="FYM13" s="114"/>
      <c r="FYN13" s="114"/>
      <c r="FYO13" s="114"/>
      <c r="FYP13" s="114"/>
      <c r="FYQ13" s="114"/>
      <c r="FYR13" s="114"/>
      <c r="FYS13" s="114"/>
      <c r="FYT13" s="114"/>
      <c r="FYU13" s="114"/>
      <c r="FYV13" s="114"/>
      <c r="FYW13" s="114"/>
      <c r="FYX13" s="114"/>
      <c r="FYY13" s="114"/>
      <c r="FYZ13" s="114"/>
      <c r="FZA13" s="114"/>
      <c r="FZB13" s="114"/>
      <c r="FZC13" s="114"/>
      <c r="FZD13" s="114"/>
      <c r="FZE13" s="114"/>
      <c r="FZF13" s="114"/>
      <c r="FZG13" s="114"/>
      <c r="FZH13" s="114"/>
      <c r="FZI13" s="114"/>
      <c r="FZJ13" s="114"/>
      <c r="FZK13" s="114"/>
      <c r="FZL13" s="114"/>
      <c r="FZM13" s="114"/>
      <c r="FZN13" s="114"/>
      <c r="FZO13" s="114"/>
      <c r="FZP13" s="114"/>
      <c r="FZQ13" s="114"/>
      <c r="FZR13" s="114"/>
      <c r="FZS13" s="114"/>
      <c r="FZT13" s="114"/>
      <c r="FZU13" s="114"/>
      <c r="FZV13" s="114"/>
      <c r="FZW13" s="114"/>
      <c r="FZX13" s="114"/>
      <c r="FZY13" s="114"/>
      <c r="FZZ13" s="114"/>
      <c r="GAA13" s="114"/>
      <c r="GAB13" s="114"/>
      <c r="GAC13" s="114"/>
      <c r="GAD13" s="114"/>
      <c r="GAE13" s="114"/>
      <c r="GAF13" s="114"/>
      <c r="GAG13" s="114"/>
      <c r="GAH13" s="114"/>
      <c r="GAI13" s="114"/>
      <c r="GAJ13" s="114"/>
      <c r="GAK13" s="114"/>
      <c r="GAL13" s="114"/>
      <c r="GAM13" s="114"/>
      <c r="GAN13" s="114"/>
      <c r="GAO13" s="114"/>
      <c r="GAP13" s="114"/>
      <c r="GAQ13" s="114"/>
      <c r="GAR13" s="114"/>
      <c r="GAS13" s="114"/>
      <c r="GAT13" s="114"/>
      <c r="GAU13" s="114"/>
      <c r="GAV13" s="114"/>
      <c r="GAW13" s="114"/>
      <c r="GAX13" s="114"/>
      <c r="GAY13" s="114"/>
      <c r="GAZ13" s="114"/>
      <c r="GBA13" s="114"/>
      <c r="GBB13" s="114"/>
      <c r="GBC13" s="114"/>
      <c r="GBD13" s="114"/>
      <c r="GBE13" s="114"/>
      <c r="GBF13" s="114"/>
      <c r="GBG13" s="114"/>
      <c r="GBH13" s="114"/>
      <c r="GBI13" s="114"/>
      <c r="GBJ13" s="114"/>
      <c r="GBK13" s="114"/>
      <c r="GBL13" s="114"/>
      <c r="GBM13" s="114"/>
      <c r="GBN13" s="114"/>
      <c r="GBO13" s="114"/>
      <c r="GBP13" s="114"/>
      <c r="GBQ13" s="114"/>
      <c r="GBR13" s="114"/>
      <c r="GBS13" s="114"/>
      <c r="GBT13" s="114"/>
      <c r="GBU13" s="114"/>
      <c r="GBV13" s="114"/>
      <c r="GBW13" s="114"/>
      <c r="GBX13" s="114"/>
      <c r="GBY13" s="114"/>
      <c r="GBZ13" s="114"/>
      <c r="GCA13" s="114"/>
      <c r="GCB13" s="114"/>
      <c r="GCC13" s="114"/>
      <c r="GCD13" s="114"/>
      <c r="GCE13" s="114"/>
      <c r="GCF13" s="114"/>
      <c r="GCG13" s="114"/>
      <c r="GCH13" s="114"/>
      <c r="GCI13" s="114"/>
      <c r="GCJ13" s="114"/>
      <c r="GCK13" s="114"/>
      <c r="GCL13" s="114"/>
      <c r="GCM13" s="114"/>
      <c r="GCN13" s="114"/>
      <c r="GCO13" s="114"/>
      <c r="GCP13" s="114"/>
      <c r="GCQ13" s="114"/>
      <c r="GCR13" s="114"/>
      <c r="GCS13" s="114"/>
      <c r="GCT13" s="114"/>
      <c r="GCU13" s="114"/>
      <c r="GCV13" s="114"/>
      <c r="GCW13" s="114"/>
      <c r="GCX13" s="114"/>
      <c r="GCY13" s="114"/>
      <c r="GCZ13" s="114"/>
      <c r="GDA13" s="114"/>
      <c r="GDB13" s="114"/>
      <c r="GDC13" s="114"/>
      <c r="GDD13" s="114"/>
      <c r="GDE13" s="114"/>
      <c r="GDF13" s="114"/>
      <c r="GDG13" s="114"/>
      <c r="GDH13" s="114"/>
      <c r="GDI13" s="114"/>
      <c r="GDJ13" s="114"/>
      <c r="GDK13" s="114"/>
      <c r="GDL13" s="114"/>
      <c r="GDM13" s="114"/>
      <c r="GDN13" s="114"/>
      <c r="GDO13" s="114"/>
      <c r="GDP13" s="114"/>
      <c r="GDQ13" s="114"/>
      <c r="GDR13" s="114"/>
      <c r="GDS13" s="114"/>
      <c r="GDT13" s="114"/>
      <c r="GDU13" s="114"/>
      <c r="GDV13" s="114"/>
      <c r="GDW13" s="114"/>
      <c r="GDX13" s="114"/>
      <c r="GDY13" s="114"/>
      <c r="GDZ13" s="114"/>
      <c r="GEA13" s="114"/>
      <c r="GEB13" s="114"/>
      <c r="GEC13" s="114"/>
      <c r="GED13" s="114"/>
      <c r="GEE13" s="114"/>
      <c r="GEF13" s="114"/>
      <c r="GEG13" s="114"/>
      <c r="GEH13" s="114"/>
      <c r="GEI13" s="114"/>
      <c r="GEJ13" s="114"/>
      <c r="GEK13" s="114"/>
      <c r="GEL13" s="114"/>
      <c r="GEM13" s="114"/>
      <c r="GEN13" s="114"/>
      <c r="GEO13" s="114"/>
      <c r="GEP13" s="114"/>
      <c r="GEQ13" s="114"/>
      <c r="GER13" s="114"/>
      <c r="GES13" s="114"/>
      <c r="GET13" s="114"/>
      <c r="GEU13" s="114"/>
      <c r="GEV13" s="114"/>
      <c r="GEW13" s="114"/>
      <c r="GEX13" s="114"/>
      <c r="GEY13" s="114"/>
      <c r="GEZ13" s="114"/>
      <c r="GFA13" s="114"/>
      <c r="GFB13" s="114"/>
      <c r="GFC13" s="114"/>
      <c r="GFD13" s="114"/>
      <c r="GFE13" s="114"/>
      <c r="GFF13" s="114"/>
      <c r="GFG13" s="114"/>
      <c r="GFH13" s="114"/>
      <c r="GFI13" s="114"/>
      <c r="GFJ13" s="114"/>
      <c r="GFK13" s="114"/>
      <c r="GFL13" s="114"/>
      <c r="GFM13" s="114"/>
      <c r="GFN13" s="114"/>
      <c r="GFO13" s="114"/>
      <c r="GFP13" s="114"/>
      <c r="GFQ13" s="114"/>
      <c r="GFR13" s="114"/>
      <c r="GFS13" s="114"/>
      <c r="GFT13" s="114"/>
      <c r="GFU13" s="114"/>
      <c r="GFV13" s="114"/>
      <c r="GFW13" s="114"/>
      <c r="GFX13" s="114"/>
      <c r="GFY13" s="114"/>
      <c r="GFZ13" s="114"/>
      <c r="GGA13" s="114"/>
      <c r="GGB13" s="114"/>
      <c r="GGC13" s="114"/>
      <c r="GGD13" s="114"/>
      <c r="GGE13" s="114"/>
      <c r="GGF13" s="114"/>
      <c r="GGG13" s="114"/>
      <c r="GGH13" s="114"/>
      <c r="GGI13" s="114"/>
      <c r="GGJ13" s="114"/>
      <c r="GGK13" s="114"/>
      <c r="GGL13" s="114"/>
      <c r="GGM13" s="114"/>
      <c r="GGN13" s="114"/>
      <c r="GGO13" s="114"/>
      <c r="GGP13" s="114"/>
      <c r="GGQ13" s="114"/>
      <c r="GGR13" s="114"/>
      <c r="GGS13" s="114"/>
      <c r="GGT13" s="114"/>
      <c r="GGU13" s="114"/>
      <c r="GGV13" s="114"/>
      <c r="GGW13" s="114"/>
      <c r="GGX13" s="114"/>
      <c r="GGY13" s="114"/>
      <c r="GGZ13" s="114"/>
      <c r="GHA13" s="114"/>
      <c r="GHB13" s="114"/>
      <c r="GHC13" s="114"/>
      <c r="GHD13" s="114"/>
      <c r="GHE13" s="114"/>
      <c r="GHF13" s="114"/>
      <c r="GHG13" s="114"/>
      <c r="GHH13" s="114"/>
      <c r="GHI13" s="114"/>
      <c r="GHJ13" s="114"/>
      <c r="GHK13" s="114"/>
      <c r="GHL13" s="114"/>
      <c r="GHM13" s="114"/>
      <c r="GHN13" s="114"/>
      <c r="GHO13" s="114"/>
      <c r="GHP13" s="114"/>
      <c r="GHQ13" s="114"/>
      <c r="GHR13" s="114"/>
      <c r="GHS13" s="114"/>
      <c r="GHT13" s="114"/>
      <c r="GHU13" s="114"/>
      <c r="GHV13" s="114"/>
      <c r="GHW13" s="114"/>
      <c r="GHX13" s="114"/>
      <c r="GHY13" s="114"/>
      <c r="GHZ13" s="114"/>
      <c r="GIA13" s="114"/>
      <c r="GIB13" s="114"/>
      <c r="GIC13" s="114"/>
      <c r="GID13" s="114"/>
      <c r="GIE13" s="114"/>
      <c r="GIF13" s="114"/>
      <c r="GIG13" s="114"/>
      <c r="GIH13" s="114"/>
      <c r="GII13" s="114"/>
      <c r="GIJ13" s="114"/>
      <c r="GIK13" s="114"/>
      <c r="GIL13" s="114"/>
      <c r="GIM13" s="114"/>
      <c r="GIN13" s="114"/>
      <c r="GIO13" s="114"/>
      <c r="GIP13" s="114"/>
      <c r="GIQ13" s="114"/>
      <c r="GIR13" s="114"/>
      <c r="GIS13" s="114"/>
      <c r="GIT13" s="114"/>
      <c r="GIU13" s="114"/>
      <c r="GIV13" s="114"/>
      <c r="GIW13" s="114"/>
      <c r="GIX13" s="114"/>
      <c r="GIY13" s="114"/>
      <c r="GIZ13" s="114"/>
      <c r="GJA13" s="114"/>
      <c r="GJB13" s="114"/>
      <c r="GJC13" s="114"/>
      <c r="GJD13" s="114"/>
      <c r="GJE13" s="114"/>
      <c r="GJF13" s="114"/>
      <c r="GJG13" s="114"/>
      <c r="GJH13" s="114"/>
      <c r="GJI13" s="114"/>
      <c r="GJJ13" s="114"/>
      <c r="GJK13" s="114"/>
      <c r="GJL13" s="114"/>
      <c r="GJM13" s="114"/>
      <c r="GJN13" s="114"/>
      <c r="GJO13" s="114"/>
      <c r="GJP13" s="114"/>
      <c r="GJQ13" s="114"/>
      <c r="GJR13" s="114"/>
      <c r="GJS13" s="114"/>
      <c r="GJT13" s="114"/>
      <c r="GJU13" s="114"/>
      <c r="GJV13" s="114"/>
      <c r="GJW13" s="114"/>
      <c r="GJX13" s="114"/>
      <c r="GJY13" s="114"/>
      <c r="GJZ13" s="114"/>
      <c r="GKA13" s="114"/>
      <c r="GKB13" s="114"/>
      <c r="GKC13" s="114"/>
      <c r="GKD13" s="114"/>
      <c r="GKE13" s="114"/>
      <c r="GKF13" s="114"/>
      <c r="GKG13" s="114"/>
      <c r="GKH13" s="114"/>
      <c r="GKI13" s="114"/>
      <c r="GKJ13" s="114"/>
      <c r="GKK13" s="114"/>
      <c r="GKL13" s="114"/>
      <c r="GKM13" s="114"/>
      <c r="GKN13" s="114"/>
      <c r="GKO13" s="114"/>
      <c r="GKP13" s="114"/>
      <c r="GKQ13" s="114"/>
      <c r="GKR13" s="114"/>
      <c r="GKS13" s="114"/>
      <c r="GKT13" s="114"/>
      <c r="GKU13" s="114"/>
      <c r="GKV13" s="114"/>
      <c r="GKW13" s="114"/>
      <c r="GKX13" s="114"/>
      <c r="GKY13" s="114"/>
      <c r="GKZ13" s="114"/>
      <c r="GLA13" s="114"/>
      <c r="GLB13" s="114"/>
      <c r="GLC13" s="114"/>
      <c r="GLD13" s="114"/>
      <c r="GLE13" s="114"/>
      <c r="GLF13" s="114"/>
      <c r="GLG13" s="114"/>
      <c r="GLH13" s="114"/>
      <c r="GLI13" s="114"/>
      <c r="GLJ13" s="114"/>
      <c r="GLK13" s="114"/>
      <c r="GLL13" s="114"/>
      <c r="GLM13" s="114"/>
      <c r="GLN13" s="114"/>
      <c r="GLO13" s="114"/>
      <c r="GLP13" s="114"/>
      <c r="GLQ13" s="114"/>
      <c r="GLR13" s="114"/>
      <c r="GLS13" s="114"/>
      <c r="GLT13" s="114"/>
      <c r="GLU13" s="114"/>
      <c r="GLV13" s="114"/>
      <c r="GLW13" s="114"/>
      <c r="GLX13" s="114"/>
      <c r="GLY13" s="114"/>
      <c r="GLZ13" s="114"/>
      <c r="GMA13" s="114"/>
      <c r="GMB13" s="114"/>
      <c r="GMC13" s="114"/>
      <c r="GMD13" s="114"/>
      <c r="GME13" s="114"/>
      <c r="GMF13" s="114"/>
      <c r="GMG13" s="114"/>
      <c r="GMH13" s="114"/>
      <c r="GMI13" s="114"/>
      <c r="GMJ13" s="114"/>
      <c r="GMK13" s="114"/>
      <c r="GML13" s="114"/>
      <c r="GMM13" s="114"/>
      <c r="GMN13" s="114"/>
      <c r="GMO13" s="114"/>
      <c r="GMP13" s="114"/>
      <c r="GMQ13" s="114"/>
      <c r="GMR13" s="114"/>
      <c r="GMS13" s="114"/>
      <c r="GMT13" s="114"/>
      <c r="GMU13" s="114"/>
      <c r="GMV13" s="114"/>
      <c r="GMW13" s="114"/>
      <c r="GMX13" s="114"/>
      <c r="GMY13" s="114"/>
      <c r="GMZ13" s="114"/>
      <c r="GNA13" s="114"/>
      <c r="GNB13" s="114"/>
      <c r="GNC13" s="114"/>
      <c r="GND13" s="114"/>
      <c r="GNE13" s="114"/>
      <c r="GNF13" s="114"/>
      <c r="GNG13" s="114"/>
      <c r="GNH13" s="114"/>
      <c r="GNI13" s="114"/>
      <c r="GNJ13" s="114"/>
      <c r="GNK13" s="114"/>
      <c r="GNL13" s="114"/>
      <c r="GNM13" s="114"/>
      <c r="GNN13" s="114"/>
      <c r="GNO13" s="114"/>
      <c r="GNP13" s="114"/>
      <c r="GNQ13" s="114"/>
      <c r="GNR13" s="114"/>
      <c r="GNS13" s="114"/>
      <c r="GNT13" s="114"/>
      <c r="GNU13" s="114"/>
      <c r="GNV13" s="114"/>
      <c r="GNW13" s="114"/>
      <c r="GNX13" s="114"/>
      <c r="GNY13" s="114"/>
      <c r="GNZ13" s="114"/>
      <c r="GOA13" s="114"/>
      <c r="GOB13" s="114"/>
      <c r="GOC13" s="114"/>
      <c r="GOD13" s="114"/>
      <c r="GOE13" s="114"/>
      <c r="GOF13" s="114"/>
      <c r="GOG13" s="114"/>
      <c r="GOH13" s="114"/>
      <c r="GOI13" s="114"/>
      <c r="GOJ13" s="114"/>
      <c r="GOK13" s="114"/>
      <c r="GOL13" s="114"/>
      <c r="GOM13" s="114"/>
      <c r="GON13" s="114"/>
      <c r="GOO13" s="114"/>
      <c r="GOP13" s="114"/>
      <c r="GOQ13" s="114"/>
      <c r="GOR13" s="114"/>
      <c r="GOS13" s="114"/>
      <c r="GOT13" s="114"/>
      <c r="GOU13" s="114"/>
      <c r="GOV13" s="114"/>
      <c r="GOW13" s="114"/>
      <c r="GOX13" s="114"/>
      <c r="GOY13" s="114"/>
      <c r="GOZ13" s="114"/>
      <c r="GPA13" s="114"/>
      <c r="GPB13" s="114"/>
      <c r="GPC13" s="114"/>
      <c r="GPD13" s="114"/>
      <c r="GPE13" s="114"/>
      <c r="GPF13" s="114"/>
      <c r="GPG13" s="114"/>
      <c r="GPH13" s="114"/>
      <c r="GPI13" s="114"/>
      <c r="GPJ13" s="114"/>
      <c r="GPK13" s="114"/>
      <c r="GPL13" s="114"/>
      <c r="GPM13" s="114"/>
      <c r="GPN13" s="114"/>
      <c r="GPO13" s="114"/>
      <c r="GPP13" s="114"/>
      <c r="GPQ13" s="114"/>
      <c r="GPR13" s="114"/>
      <c r="GPS13" s="114"/>
      <c r="GPT13" s="114"/>
      <c r="GPU13" s="114"/>
      <c r="GPV13" s="114"/>
      <c r="GPW13" s="114"/>
      <c r="GPX13" s="114"/>
      <c r="GPY13" s="114"/>
      <c r="GPZ13" s="114"/>
      <c r="GQA13" s="114"/>
      <c r="GQB13" s="114"/>
      <c r="GQC13" s="114"/>
      <c r="GQD13" s="114"/>
      <c r="GQE13" s="114"/>
      <c r="GQF13" s="114"/>
      <c r="GQG13" s="114"/>
      <c r="GQH13" s="114"/>
      <c r="GQI13" s="114"/>
      <c r="GQJ13" s="114"/>
      <c r="GQK13" s="114"/>
      <c r="GQL13" s="114"/>
      <c r="GQM13" s="114"/>
      <c r="GQN13" s="114"/>
      <c r="GQO13" s="114"/>
      <c r="GQP13" s="114"/>
      <c r="GQQ13" s="114"/>
      <c r="GQR13" s="114"/>
      <c r="GQS13" s="114"/>
      <c r="GQT13" s="114"/>
      <c r="GQU13" s="114"/>
      <c r="GQV13" s="114"/>
      <c r="GQW13" s="114"/>
      <c r="GQX13" s="114"/>
      <c r="GQY13" s="114"/>
      <c r="GQZ13" s="114"/>
      <c r="GRA13" s="114"/>
      <c r="GRB13" s="114"/>
      <c r="GRC13" s="114"/>
      <c r="GRD13" s="114"/>
      <c r="GRE13" s="114"/>
      <c r="GRF13" s="114"/>
      <c r="GRG13" s="114"/>
      <c r="GRH13" s="114"/>
      <c r="GRI13" s="114"/>
      <c r="GRJ13" s="114"/>
      <c r="GRK13" s="114"/>
      <c r="GRL13" s="114"/>
      <c r="GRM13" s="114"/>
      <c r="GRN13" s="114"/>
      <c r="GRO13" s="114"/>
      <c r="GRP13" s="114"/>
      <c r="GRQ13" s="114"/>
      <c r="GRR13" s="114"/>
      <c r="GRS13" s="114"/>
      <c r="GRT13" s="114"/>
      <c r="GRU13" s="114"/>
      <c r="GRV13" s="114"/>
      <c r="GRW13" s="114"/>
      <c r="GRX13" s="114"/>
      <c r="GRY13" s="114"/>
      <c r="GRZ13" s="114"/>
      <c r="GSA13" s="114"/>
      <c r="GSB13" s="114"/>
      <c r="GSC13" s="114"/>
      <c r="GSD13" s="114"/>
      <c r="GSE13" s="114"/>
      <c r="GSF13" s="114"/>
      <c r="GSG13" s="114"/>
      <c r="GSH13" s="114"/>
      <c r="GSI13" s="114"/>
      <c r="GSJ13" s="114"/>
      <c r="GSK13" s="114"/>
      <c r="GSL13" s="114"/>
      <c r="GSM13" s="114"/>
      <c r="GSN13" s="114"/>
      <c r="GSO13" s="114"/>
      <c r="GSP13" s="114"/>
      <c r="GSQ13" s="114"/>
      <c r="GSR13" s="114"/>
      <c r="GSS13" s="114"/>
      <c r="GST13" s="114"/>
      <c r="GSU13" s="114"/>
      <c r="GSV13" s="114"/>
      <c r="GSW13" s="114"/>
      <c r="GSX13" s="114"/>
      <c r="GSY13" s="114"/>
      <c r="GSZ13" s="114"/>
      <c r="GTA13" s="114"/>
      <c r="GTB13" s="114"/>
      <c r="GTC13" s="114"/>
      <c r="GTD13" s="114"/>
      <c r="GTE13" s="114"/>
      <c r="GTF13" s="114"/>
      <c r="GTG13" s="114"/>
      <c r="GTH13" s="114"/>
      <c r="GTI13" s="114"/>
      <c r="GTJ13" s="114"/>
      <c r="GTK13" s="114"/>
      <c r="GTL13" s="114"/>
      <c r="GTM13" s="114"/>
      <c r="GTN13" s="114"/>
      <c r="GTO13" s="114"/>
      <c r="GTP13" s="114"/>
      <c r="GTQ13" s="114"/>
      <c r="GTR13" s="114"/>
      <c r="GTS13" s="114"/>
      <c r="GTT13" s="114"/>
      <c r="GTU13" s="114"/>
      <c r="GTV13" s="114"/>
      <c r="GTW13" s="114"/>
      <c r="GTX13" s="114"/>
      <c r="GTY13" s="114"/>
      <c r="GTZ13" s="114"/>
      <c r="GUA13" s="114"/>
      <c r="GUB13" s="114"/>
      <c r="GUC13" s="114"/>
      <c r="GUD13" s="114"/>
      <c r="GUE13" s="114"/>
      <c r="GUF13" s="114"/>
      <c r="GUG13" s="114"/>
      <c r="GUH13" s="114"/>
      <c r="GUI13" s="114"/>
      <c r="GUJ13" s="114"/>
      <c r="GUK13" s="114"/>
      <c r="GUL13" s="114"/>
      <c r="GUM13" s="114"/>
      <c r="GUN13" s="114"/>
      <c r="GUO13" s="114"/>
      <c r="GUP13" s="114"/>
      <c r="GUQ13" s="114"/>
      <c r="GUR13" s="114"/>
      <c r="GUS13" s="114"/>
      <c r="GUT13" s="114"/>
      <c r="GUU13" s="114"/>
      <c r="GUV13" s="114"/>
      <c r="GUW13" s="114"/>
      <c r="GUX13" s="114"/>
      <c r="GUY13" s="114"/>
      <c r="GUZ13" s="114"/>
      <c r="GVA13" s="114"/>
      <c r="GVB13" s="114"/>
      <c r="GVC13" s="114"/>
      <c r="GVD13" s="114"/>
      <c r="GVE13" s="114"/>
      <c r="GVF13" s="114"/>
      <c r="GVG13" s="114"/>
      <c r="GVH13" s="114"/>
      <c r="GVI13" s="114"/>
      <c r="GVJ13" s="114"/>
      <c r="GVK13" s="114"/>
      <c r="GVL13" s="114"/>
      <c r="GVM13" s="114"/>
      <c r="GVN13" s="114"/>
      <c r="GVO13" s="114"/>
      <c r="GVP13" s="114"/>
      <c r="GVQ13" s="114"/>
      <c r="GVR13" s="114"/>
      <c r="GVS13" s="114"/>
      <c r="GVT13" s="114"/>
      <c r="GVU13" s="114"/>
      <c r="GVV13" s="114"/>
      <c r="GVW13" s="114"/>
      <c r="GVX13" s="114"/>
      <c r="GVY13" s="114"/>
      <c r="GVZ13" s="114"/>
      <c r="GWA13" s="114"/>
      <c r="GWB13" s="114"/>
      <c r="GWC13" s="114"/>
      <c r="GWD13" s="114"/>
      <c r="GWE13" s="114"/>
      <c r="GWF13" s="114"/>
      <c r="GWG13" s="114"/>
      <c r="GWH13" s="114"/>
      <c r="GWI13" s="114"/>
      <c r="GWJ13" s="114"/>
      <c r="GWK13" s="114"/>
      <c r="GWL13" s="114"/>
      <c r="GWM13" s="114"/>
      <c r="GWN13" s="114"/>
      <c r="GWO13" s="114"/>
      <c r="GWP13" s="114"/>
      <c r="GWQ13" s="114"/>
      <c r="GWR13" s="114"/>
      <c r="GWS13" s="114"/>
      <c r="GWT13" s="114"/>
      <c r="GWU13" s="114"/>
      <c r="GWV13" s="114"/>
      <c r="GWW13" s="114"/>
      <c r="GWX13" s="114"/>
      <c r="GWY13" s="114"/>
      <c r="GWZ13" s="114"/>
      <c r="GXA13" s="114"/>
      <c r="GXB13" s="114"/>
      <c r="GXC13" s="114"/>
      <c r="GXD13" s="114"/>
      <c r="GXE13" s="114"/>
      <c r="GXF13" s="114"/>
      <c r="GXG13" s="114"/>
      <c r="GXH13" s="114"/>
      <c r="GXI13" s="114"/>
      <c r="GXJ13" s="114"/>
      <c r="GXK13" s="114"/>
      <c r="GXL13" s="114"/>
      <c r="GXM13" s="114"/>
      <c r="GXN13" s="114"/>
      <c r="GXO13" s="114"/>
      <c r="GXP13" s="114"/>
      <c r="GXQ13" s="114"/>
      <c r="GXR13" s="114"/>
      <c r="GXS13" s="114"/>
      <c r="GXT13" s="114"/>
      <c r="GXU13" s="114"/>
      <c r="GXV13" s="114"/>
      <c r="GXW13" s="114"/>
      <c r="GXX13" s="114"/>
      <c r="GXY13" s="114"/>
      <c r="GXZ13" s="114"/>
      <c r="GYA13" s="114"/>
      <c r="GYB13" s="114"/>
      <c r="GYC13" s="114"/>
      <c r="GYD13" s="114"/>
      <c r="GYE13" s="114"/>
      <c r="GYF13" s="114"/>
      <c r="GYG13" s="114"/>
      <c r="GYH13" s="114"/>
      <c r="GYI13" s="114"/>
      <c r="GYJ13" s="114"/>
      <c r="GYK13" s="114"/>
      <c r="GYL13" s="114"/>
      <c r="GYM13" s="114"/>
      <c r="GYN13" s="114"/>
      <c r="GYO13" s="114"/>
      <c r="GYP13" s="114"/>
      <c r="GYQ13" s="114"/>
      <c r="GYR13" s="114"/>
      <c r="GYS13" s="114"/>
      <c r="GYT13" s="114"/>
      <c r="GYU13" s="114"/>
      <c r="GYV13" s="114"/>
      <c r="GYW13" s="114"/>
      <c r="GYX13" s="114"/>
      <c r="GYY13" s="114"/>
      <c r="GYZ13" s="114"/>
      <c r="GZA13" s="114"/>
      <c r="GZB13" s="114"/>
      <c r="GZC13" s="114"/>
      <c r="GZD13" s="114"/>
      <c r="GZE13" s="114"/>
      <c r="GZF13" s="114"/>
      <c r="GZG13" s="114"/>
      <c r="GZH13" s="114"/>
      <c r="GZI13" s="114"/>
      <c r="GZJ13" s="114"/>
      <c r="GZK13" s="114"/>
      <c r="GZL13" s="114"/>
      <c r="GZM13" s="114"/>
      <c r="GZN13" s="114"/>
      <c r="GZO13" s="114"/>
      <c r="GZP13" s="114"/>
      <c r="GZQ13" s="114"/>
      <c r="GZR13" s="114"/>
      <c r="GZS13" s="114"/>
      <c r="GZT13" s="114"/>
      <c r="GZU13" s="114"/>
      <c r="GZV13" s="114"/>
      <c r="GZW13" s="114"/>
      <c r="GZX13" s="114"/>
      <c r="GZY13" s="114"/>
      <c r="GZZ13" s="114"/>
      <c r="HAA13" s="114"/>
      <c r="HAB13" s="114"/>
      <c r="HAC13" s="114"/>
      <c r="HAD13" s="114"/>
      <c r="HAE13" s="114"/>
      <c r="HAF13" s="114"/>
      <c r="HAG13" s="114"/>
      <c r="HAH13" s="114"/>
      <c r="HAI13" s="114"/>
      <c r="HAJ13" s="114"/>
      <c r="HAK13" s="114"/>
      <c r="HAL13" s="114"/>
      <c r="HAM13" s="114"/>
      <c r="HAN13" s="114"/>
      <c r="HAO13" s="114"/>
      <c r="HAP13" s="114"/>
      <c r="HAQ13" s="114"/>
      <c r="HAR13" s="114"/>
      <c r="HAS13" s="114"/>
      <c r="HAT13" s="114"/>
      <c r="HAU13" s="114"/>
      <c r="HAV13" s="114"/>
      <c r="HAW13" s="114"/>
      <c r="HAX13" s="114"/>
      <c r="HAY13" s="114"/>
      <c r="HAZ13" s="114"/>
      <c r="HBA13" s="114"/>
      <c r="HBB13" s="114"/>
      <c r="HBC13" s="114"/>
      <c r="HBD13" s="114"/>
      <c r="HBE13" s="114"/>
      <c r="HBF13" s="114"/>
      <c r="HBG13" s="114"/>
      <c r="HBH13" s="114"/>
      <c r="HBI13" s="114"/>
      <c r="HBJ13" s="114"/>
      <c r="HBK13" s="114"/>
      <c r="HBL13" s="114"/>
      <c r="HBM13" s="114"/>
      <c r="HBN13" s="114"/>
      <c r="HBO13" s="114"/>
      <c r="HBP13" s="114"/>
      <c r="HBQ13" s="114"/>
      <c r="HBR13" s="114"/>
      <c r="HBS13" s="114"/>
      <c r="HBT13" s="114"/>
      <c r="HBU13" s="114"/>
      <c r="HBV13" s="114"/>
      <c r="HBW13" s="114"/>
      <c r="HBX13" s="114"/>
      <c r="HBY13" s="114"/>
      <c r="HBZ13" s="114"/>
      <c r="HCA13" s="114"/>
      <c r="HCB13" s="114"/>
      <c r="HCC13" s="114"/>
      <c r="HCD13" s="114"/>
      <c r="HCE13" s="114"/>
      <c r="HCF13" s="114"/>
      <c r="HCG13" s="114"/>
      <c r="HCH13" s="114"/>
      <c r="HCI13" s="114"/>
      <c r="HCJ13" s="114"/>
      <c r="HCK13" s="114"/>
      <c r="HCL13" s="114"/>
      <c r="HCM13" s="114"/>
      <c r="HCN13" s="114"/>
      <c r="HCO13" s="114"/>
      <c r="HCP13" s="114"/>
      <c r="HCQ13" s="114"/>
      <c r="HCR13" s="114"/>
      <c r="HCS13" s="114"/>
      <c r="HCT13" s="114"/>
      <c r="HCU13" s="114"/>
      <c r="HCV13" s="114"/>
      <c r="HCW13" s="114"/>
      <c r="HCX13" s="114"/>
      <c r="HCY13" s="114"/>
      <c r="HCZ13" s="114"/>
      <c r="HDA13" s="114"/>
      <c r="HDB13" s="114"/>
      <c r="HDC13" s="114"/>
      <c r="HDD13" s="114"/>
      <c r="HDE13" s="114"/>
      <c r="HDF13" s="114"/>
      <c r="HDG13" s="114"/>
      <c r="HDH13" s="114"/>
      <c r="HDI13" s="114"/>
      <c r="HDJ13" s="114"/>
      <c r="HDK13" s="114"/>
      <c r="HDL13" s="114"/>
      <c r="HDM13" s="114"/>
      <c r="HDN13" s="114"/>
      <c r="HDO13" s="114"/>
      <c r="HDP13" s="114"/>
      <c r="HDQ13" s="114"/>
      <c r="HDR13" s="114"/>
      <c r="HDS13" s="114"/>
      <c r="HDT13" s="114"/>
      <c r="HDU13" s="114"/>
      <c r="HDV13" s="114"/>
      <c r="HDW13" s="114"/>
      <c r="HDX13" s="114"/>
      <c r="HDY13" s="114"/>
      <c r="HDZ13" s="114"/>
      <c r="HEA13" s="114"/>
      <c r="HEB13" s="114"/>
      <c r="HEC13" s="114"/>
      <c r="HED13" s="114"/>
      <c r="HEE13" s="114"/>
      <c r="HEF13" s="114"/>
      <c r="HEG13" s="114"/>
      <c r="HEH13" s="114"/>
      <c r="HEI13" s="114"/>
      <c r="HEJ13" s="114"/>
      <c r="HEK13" s="114"/>
      <c r="HEL13" s="114"/>
      <c r="HEM13" s="114"/>
      <c r="HEN13" s="114"/>
      <c r="HEO13" s="114"/>
      <c r="HEP13" s="114"/>
      <c r="HEQ13" s="114"/>
      <c r="HER13" s="114"/>
      <c r="HES13" s="114"/>
      <c r="HET13" s="114"/>
      <c r="HEU13" s="114"/>
      <c r="HEV13" s="114"/>
      <c r="HEW13" s="114"/>
      <c r="HEX13" s="114"/>
      <c r="HEY13" s="114"/>
      <c r="HEZ13" s="114"/>
      <c r="HFA13" s="114"/>
      <c r="HFB13" s="114"/>
      <c r="HFC13" s="114"/>
      <c r="HFD13" s="114"/>
      <c r="HFE13" s="114"/>
      <c r="HFF13" s="114"/>
      <c r="HFG13" s="114"/>
      <c r="HFH13" s="114"/>
      <c r="HFI13" s="114"/>
      <c r="HFJ13" s="114"/>
      <c r="HFK13" s="114"/>
      <c r="HFL13" s="114"/>
      <c r="HFM13" s="114"/>
      <c r="HFN13" s="114"/>
      <c r="HFO13" s="114"/>
      <c r="HFP13" s="114"/>
      <c r="HFQ13" s="114"/>
      <c r="HFR13" s="114"/>
      <c r="HFS13" s="114"/>
      <c r="HFT13" s="114"/>
      <c r="HFU13" s="114"/>
      <c r="HFV13" s="114"/>
      <c r="HFW13" s="114"/>
      <c r="HFX13" s="114"/>
      <c r="HFY13" s="114"/>
      <c r="HFZ13" s="114"/>
      <c r="HGA13" s="114"/>
      <c r="HGB13" s="114"/>
      <c r="HGC13" s="114"/>
      <c r="HGD13" s="114"/>
      <c r="HGE13" s="114"/>
      <c r="HGF13" s="114"/>
      <c r="HGG13" s="114"/>
      <c r="HGH13" s="114"/>
      <c r="HGI13" s="114"/>
      <c r="HGJ13" s="114"/>
      <c r="HGK13" s="114"/>
      <c r="HGL13" s="114"/>
      <c r="HGM13" s="114"/>
      <c r="HGN13" s="114"/>
      <c r="HGO13" s="114"/>
      <c r="HGP13" s="114"/>
      <c r="HGQ13" s="114"/>
      <c r="HGR13" s="114"/>
      <c r="HGS13" s="114"/>
      <c r="HGT13" s="114"/>
      <c r="HGU13" s="114"/>
      <c r="HGV13" s="114"/>
      <c r="HGW13" s="114"/>
      <c r="HGX13" s="114"/>
      <c r="HGY13" s="114"/>
      <c r="HGZ13" s="114"/>
      <c r="HHA13" s="114"/>
      <c r="HHB13" s="114"/>
      <c r="HHC13" s="114"/>
      <c r="HHD13" s="114"/>
      <c r="HHE13" s="114"/>
      <c r="HHF13" s="114"/>
      <c r="HHG13" s="114"/>
      <c r="HHH13" s="114"/>
      <c r="HHI13" s="114"/>
      <c r="HHJ13" s="114"/>
      <c r="HHK13" s="114"/>
      <c r="HHL13" s="114"/>
      <c r="HHM13" s="114"/>
      <c r="HHN13" s="114"/>
      <c r="HHO13" s="114"/>
      <c r="HHP13" s="114"/>
      <c r="HHQ13" s="114"/>
      <c r="HHR13" s="114"/>
      <c r="HHS13" s="114"/>
      <c r="HHT13" s="114"/>
      <c r="HHU13" s="114"/>
      <c r="HHV13" s="114"/>
      <c r="HHW13" s="114"/>
      <c r="HHX13" s="114"/>
      <c r="HHY13" s="114"/>
      <c r="HHZ13" s="114"/>
      <c r="HIA13" s="114"/>
      <c r="HIB13" s="114"/>
      <c r="HIC13" s="114"/>
      <c r="HID13" s="114"/>
      <c r="HIE13" s="114"/>
      <c r="HIF13" s="114"/>
      <c r="HIG13" s="114"/>
      <c r="HIH13" s="114"/>
      <c r="HII13" s="114"/>
      <c r="HIJ13" s="114"/>
      <c r="HIK13" s="114"/>
      <c r="HIL13" s="114"/>
      <c r="HIM13" s="114"/>
      <c r="HIN13" s="114"/>
      <c r="HIO13" s="114"/>
      <c r="HIP13" s="114"/>
      <c r="HIQ13" s="114"/>
      <c r="HIR13" s="114"/>
      <c r="HIS13" s="114"/>
      <c r="HIT13" s="114"/>
      <c r="HIU13" s="114"/>
      <c r="HIV13" s="114"/>
      <c r="HIW13" s="114"/>
      <c r="HIX13" s="114"/>
      <c r="HIY13" s="114"/>
      <c r="HIZ13" s="114"/>
      <c r="HJA13" s="114"/>
      <c r="HJB13" s="114"/>
      <c r="HJC13" s="114"/>
      <c r="HJD13" s="114"/>
      <c r="HJE13" s="114"/>
      <c r="HJF13" s="114"/>
      <c r="HJG13" s="114"/>
      <c r="HJH13" s="114"/>
      <c r="HJI13" s="114"/>
      <c r="HJJ13" s="114"/>
      <c r="HJK13" s="114"/>
      <c r="HJL13" s="114"/>
      <c r="HJM13" s="114"/>
      <c r="HJN13" s="114"/>
      <c r="HJO13" s="114"/>
      <c r="HJP13" s="114"/>
      <c r="HJQ13" s="114"/>
      <c r="HJR13" s="114"/>
      <c r="HJS13" s="114"/>
      <c r="HJT13" s="114"/>
      <c r="HJU13" s="114"/>
      <c r="HJV13" s="114"/>
      <c r="HJW13" s="114"/>
      <c r="HJX13" s="114"/>
      <c r="HJY13" s="114"/>
      <c r="HJZ13" s="114"/>
      <c r="HKA13" s="114"/>
      <c r="HKB13" s="114"/>
      <c r="HKC13" s="114"/>
      <c r="HKD13" s="114"/>
      <c r="HKE13" s="114"/>
      <c r="HKF13" s="114"/>
      <c r="HKG13" s="114"/>
      <c r="HKH13" s="114"/>
      <c r="HKI13" s="114"/>
      <c r="HKJ13" s="114"/>
      <c r="HKK13" s="114"/>
      <c r="HKL13" s="114"/>
      <c r="HKM13" s="114"/>
      <c r="HKN13" s="114"/>
      <c r="HKO13" s="114"/>
      <c r="HKP13" s="114"/>
      <c r="HKQ13" s="114"/>
      <c r="HKR13" s="114"/>
      <c r="HKS13" s="114"/>
      <c r="HKT13" s="114"/>
      <c r="HKU13" s="114"/>
      <c r="HKV13" s="114"/>
      <c r="HKW13" s="114"/>
      <c r="HKX13" s="114"/>
      <c r="HKY13" s="114"/>
      <c r="HKZ13" s="114"/>
      <c r="HLA13" s="114"/>
      <c r="HLB13" s="114"/>
      <c r="HLC13" s="114"/>
      <c r="HLD13" s="114"/>
      <c r="HLE13" s="114"/>
      <c r="HLF13" s="114"/>
      <c r="HLG13" s="114"/>
      <c r="HLH13" s="114"/>
      <c r="HLI13" s="114"/>
      <c r="HLJ13" s="114"/>
      <c r="HLK13" s="114"/>
      <c r="HLL13" s="114"/>
      <c r="HLM13" s="114"/>
      <c r="HLN13" s="114"/>
      <c r="HLO13" s="114"/>
      <c r="HLP13" s="114"/>
      <c r="HLQ13" s="114"/>
      <c r="HLR13" s="114"/>
      <c r="HLS13" s="114"/>
      <c r="HLT13" s="114"/>
      <c r="HLU13" s="114"/>
      <c r="HLV13" s="114"/>
      <c r="HLW13" s="114"/>
      <c r="HLX13" s="114"/>
      <c r="HLY13" s="114"/>
      <c r="HLZ13" s="114"/>
      <c r="HMA13" s="114"/>
      <c r="HMB13" s="114"/>
      <c r="HMC13" s="114"/>
      <c r="HMD13" s="114"/>
      <c r="HME13" s="114"/>
      <c r="HMF13" s="114"/>
      <c r="HMG13" s="114"/>
      <c r="HMH13" s="114"/>
      <c r="HMI13" s="114"/>
      <c r="HMJ13" s="114"/>
      <c r="HMK13" s="114"/>
      <c r="HML13" s="114"/>
      <c r="HMM13" s="114"/>
      <c r="HMN13" s="114"/>
      <c r="HMO13" s="114"/>
      <c r="HMP13" s="114"/>
      <c r="HMQ13" s="114"/>
      <c r="HMR13" s="114"/>
      <c r="HMS13" s="114"/>
      <c r="HMT13" s="114"/>
      <c r="HMU13" s="114"/>
      <c r="HMV13" s="114"/>
      <c r="HMW13" s="114"/>
      <c r="HMX13" s="114"/>
      <c r="HMY13" s="114"/>
      <c r="HMZ13" s="114"/>
      <c r="HNA13" s="114"/>
      <c r="HNB13" s="114"/>
      <c r="HNC13" s="114"/>
      <c r="HND13" s="114"/>
      <c r="HNE13" s="114"/>
      <c r="HNF13" s="114"/>
      <c r="HNG13" s="114"/>
      <c r="HNH13" s="114"/>
      <c r="HNI13" s="114"/>
      <c r="HNJ13" s="114"/>
      <c r="HNK13" s="114"/>
      <c r="HNL13" s="114"/>
      <c r="HNM13" s="114"/>
      <c r="HNN13" s="114"/>
      <c r="HNO13" s="114"/>
      <c r="HNP13" s="114"/>
      <c r="HNQ13" s="114"/>
      <c r="HNR13" s="114"/>
      <c r="HNS13" s="114"/>
      <c r="HNT13" s="114"/>
      <c r="HNU13" s="114"/>
      <c r="HNV13" s="114"/>
      <c r="HNW13" s="114"/>
      <c r="HNX13" s="114"/>
      <c r="HNY13" s="114"/>
      <c r="HNZ13" s="114"/>
      <c r="HOA13" s="114"/>
      <c r="HOB13" s="114"/>
      <c r="HOC13" s="114"/>
      <c r="HOD13" s="114"/>
      <c r="HOE13" s="114"/>
      <c r="HOF13" s="114"/>
      <c r="HOG13" s="114"/>
      <c r="HOH13" s="114"/>
      <c r="HOI13" s="114"/>
      <c r="HOJ13" s="114"/>
      <c r="HOK13" s="114"/>
      <c r="HOL13" s="114"/>
      <c r="HOM13" s="114"/>
      <c r="HON13" s="114"/>
      <c r="HOO13" s="114"/>
      <c r="HOP13" s="114"/>
      <c r="HOQ13" s="114"/>
      <c r="HOR13" s="114"/>
      <c r="HOS13" s="114"/>
      <c r="HOT13" s="114"/>
      <c r="HOU13" s="114"/>
      <c r="HOV13" s="114"/>
      <c r="HOW13" s="114"/>
      <c r="HOX13" s="114"/>
      <c r="HOY13" s="114"/>
      <c r="HOZ13" s="114"/>
      <c r="HPA13" s="114"/>
      <c r="HPB13" s="114"/>
      <c r="HPC13" s="114"/>
      <c r="HPD13" s="114"/>
      <c r="HPE13" s="114"/>
      <c r="HPF13" s="114"/>
      <c r="HPG13" s="114"/>
      <c r="HPH13" s="114"/>
      <c r="HPI13" s="114"/>
      <c r="HPJ13" s="114"/>
      <c r="HPK13" s="114"/>
      <c r="HPL13" s="114"/>
      <c r="HPM13" s="114"/>
      <c r="HPN13" s="114"/>
      <c r="HPO13" s="114"/>
      <c r="HPP13" s="114"/>
      <c r="HPQ13" s="114"/>
      <c r="HPR13" s="114"/>
      <c r="HPS13" s="114"/>
      <c r="HPT13" s="114"/>
      <c r="HPU13" s="114"/>
      <c r="HPV13" s="114"/>
      <c r="HPW13" s="114"/>
      <c r="HPX13" s="114"/>
      <c r="HPY13" s="114"/>
      <c r="HPZ13" s="114"/>
      <c r="HQA13" s="114"/>
      <c r="HQB13" s="114"/>
      <c r="HQC13" s="114"/>
      <c r="HQD13" s="114"/>
      <c r="HQE13" s="114"/>
      <c r="HQF13" s="114"/>
      <c r="HQG13" s="114"/>
      <c r="HQH13" s="114"/>
      <c r="HQI13" s="114"/>
      <c r="HQJ13" s="114"/>
      <c r="HQK13" s="114"/>
      <c r="HQL13" s="114"/>
      <c r="HQM13" s="114"/>
      <c r="HQN13" s="114"/>
      <c r="HQO13" s="114"/>
      <c r="HQP13" s="114"/>
      <c r="HQQ13" s="114"/>
      <c r="HQR13" s="114"/>
      <c r="HQS13" s="114"/>
      <c r="HQT13" s="114"/>
      <c r="HQU13" s="114"/>
      <c r="HQV13" s="114"/>
      <c r="HQW13" s="114"/>
      <c r="HQX13" s="114"/>
      <c r="HQY13" s="114"/>
      <c r="HQZ13" s="114"/>
      <c r="HRA13" s="114"/>
      <c r="HRB13" s="114"/>
      <c r="HRC13" s="114"/>
      <c r="HRD13" s="114"/>
      <c r="HRE13" s="114"/>
      <c r="HRF13" s="114"/>
      <c r="HRG13" s="114"/>
      <c r="HRH13" s="114"/>
      <c r="HRI13" s="114"/>
      <c r="HRJ13" s="114"/>
      <c r="HRK13" s="114"/>
      <c r="HRL13" s="114"/>
      <c r="HRM13" s="114"/>
      <c r="HRN13" s="114"/>
      <c r="HRO13" s="114"/>
      <c r="HRP13" s="114"/>
      <c r="HRQ13" s="114"/>
      <c r="HRR13" s="114"/>
      <c r="HRS13" s="114"/>
      <c r="HRT13" s="114"/>
      <c r="HRU13" s="114"/>
      <c r="HRV13" s="114"/>
      <c r="HRW13" s="114"/>
      <c r="HRX13" s="114"/>
      <c r="HRY13" s="114"/>
      <c r="HRZ13" s="114"/>
      <c r="HSA13" s="114"/>
      <c r="HSB13" s="114"/>
      <c r="HSC13" s="114"/>
      <c r="HSD13" s="114"/>
      <c r="HSE13" s="114"/>
      <c r="HSF13" s="114"/>
      <c r="HSG13" s="114"/>
      <c r="HSH13" s="114"/>
      <c r="HSI13" s="114"/>
      <c r="HSJ13" s="114"/>
      <c r="HSK13" s="114"/>
      <c r="HSL13" s="114"/>
      <c r="HSM13" s="114"/>
      <c r="HSN13" s="114"/>
      <c r="HSO13" s="114"/>
      <c r="HSP13" s="114"/>
      <c r="HSQ13" s="114"/>
      <c r="HSR13" s="114"/>
      <c r="HSS13" s="114"/>
      <c r="HST13" s="114"/>
      <c r="HSU13" s="114"/>
      <c r="HSV13" s="114"/>
      <c r="HSW13" s="114"/>
      <c r="HSX13" s="114"/>
      <c r="HSY13" s="114"/>
      <c r="HSZ13" s="114"/>
      <c r="HTA13" s="114"/>
      <c r="HTB13" s="114"/>
      <c r="HTC13" s="114"/>
      <c r="HTD13" s="114"/>
      <c r="HTE13" s="114"/>
      <c r="HTF13" s="114"/>
      <c r="HTG13" s="114"/>
      <c r="HTH13" s="114"/>
      <c r="HTI13" s="114"/>
      <c r="HTJ13" s="114"/>
      <c r="HTK13" s="114"/>
      <c r="HTL13" s="114"/>
      <c r="HTM13" s="114"/>
      <c r="HTN13" s="114"/>
      <c r="HTO13" s="114"/>
      <c r="HTP13" s="114"/>
      <c r="HTQ13" s="114"/>
      <c r="HTR13" s="114"/>
      <c r="HTS13" s="114"/>
      <c r="HTT13" s="114"/>
      <c r="HTU13" s="114"/>
      <c r="HTV13" s="114"/>
      <c r="HTW13" s="114"/>
      <c r="HTX13" s="114"/>
      <c r="HTY13" s="114"/>
      <c r="HTZ13" s="114"/>
      <c r="HUA13" s="114"/>
      <c r="HUB13" s="114"/>
      <c r="HUC13" s="114"/>
      <c r="HUD13" s="114"/>
      <c r="HUE13" s="114"/>
      <c r="HUF13" s="114"/>
      <c r="HUG13" s="114"/>
      <c r="HUH13" s="114"/>
      <c r="HUI13" s="114"/>
      <c r="HUJ13" s="114"/>
      <c r="HUK13" s="114"/>
      <c r="HUL13" s="114"/>
      <c r="HUM13" s="114"/>
      <c r="HUN13" s="114"/>
      <c r="HUO13" s="114"/>
      <c r="HUP13" s="114"/>
      <c r="HUQ13" s="114"/>
      <c r="HUR13" s="114"/>
      <c r="HUS13" s="114"/>
      <c r="HUT13" s="114"/>
      <c r="HUU13" s="114"/>
      <c r="HUV13" s="114"/>
      <c r="HUW13" s="114"/>
      <c r="HUX13" s="114"/>
      <c r="HUY13" s="114"/>
      <c r="HUZ13" s="114"/>
      <c r="HVA13" s="114"/>
      <c r="HVB13" s="114"/>
      <c r="HVC13" s="114"/>
      <c r="HVD13" s="114"/>
      <c r="HVE13" s="114"/>
      <c r="HVF13" s="114"/>
      <c r="HVG13" s="114"/>
      <c r="HVH13" s="114"/>
      <c r="HVI13" s="114"/>
      <c r="HVJ13" s="114"/>
      <c r="HVK13" s="114"/>
      <c r="HVL13" s="114"/>
      <c r="HVM13" s="114"/>
      <c r="HVN13" s="114"/>
      <c r="HVO13" s="114"/>
      <c r="HVP13" s="114"/>
      <c r="HVQ13" s="114"/>
      <c r="HVR13" s="114"/>
      <c r="HVS13" s="114"/>
      <c r="HVT13" s="114"/>
      <c r="HVU13" s="114"/>
      <c r="HVV13" s="114"/>
      <c r="HVW13" s="114"/>
      <c r="HVX13" s="114"/>
      <c r="HVY13" s="114"/>
      <c r="HVZ13" s="114"/>
      <c r="HWA13" s="114"/>
      <c r="HWB13" s="114"/>
      <c r="HWC13" s="114"/>
      <c r="HWD13" s="114"/>
      <c r="HWE13" s="114"/>
      <c r="HWF13" s="114"/>
      <c r="HWG13" s="114"/>
      <c r="HWH13" s="114"/>
      <c r="HWI13" s="114"/>
      <c r="HWJ13" s="114"/>
      <c r="HWK13" s="114"/>
      <c r="HWL13" s="114"/>
      <c r="HWM13" s="114"/>
      <c r="HWN13" s="114"/>
      <c r="HWO13" s="114"/>
      <c r="HWP13" s="114"/>
      <c r="HWQ13" s="114"/>
      <c r="HWR13" s="114"/>
      <c r="HWS13" s="114"/>
      <c r="HWT13" s="114"/>
      <c r="HWU13" s="114"/>
      <c r="HWV13" s="114"/>
      <c r="HWW13" s="114"/>
      <c r="HWX13" s="114"/>
      <c r="HWY13" s="114"/>
      <c r="HWZ13" s="114"/>
      <c r="HXA13" s="114"/>
      <c r="HXB13" s="114"/>
      <c r="HXC13" s="114"/>
      <c r="HXD13" s="114"/>
      <c r="HXE13" s="114"/>
      <c r="HXF13" s="114"/>
      <c r="HXG13" s="114"/>
      <c r="HXH13" s="114"/>
      <c r="HXI13" s="114"/>
      <c r="HXJ13" s="114"/>
      <c r="HXK13" s="114"/>
      <c r="HXL13" s="114"/>
      <c r="HXM13" s="114"/>
      <c r="HXN13" s="114"/>
      <c r="HXO13" s="114"/>
      <c r="HXP13" s="114"/>
      <c r="HXQ13" s="114"/>
      <c r="HXR13" s="114"/>
      <c r="HXS13" s="114"/>
      <c r="HXT13" s="114"/>
      <c r="HXU13" s="114"/>
      <c r="HXV13" s="114"/>
      <c r="HXW13" s="114"/>
      <c r="HXX13" s="114"/>
      <c r="HXY13" s="114"/>
      <c r="HXZ13" s="114"/>
      <c r="HYA13" s="114"/>
      <c r="HYB13" s="114"/>
      <c r="HYC13" s="114"/>
      <c r="HYD13" s="114"/>
      <c r="HYE13" s="114"/>
      <c r="HYF13" s="114"/>
      <c r="HYG13" s="114"/>
      <c r="HYH13" s="114"/>
      <c r="HYI13" s="114"/>
      <c r="HYJ13" s="114"/>
      <c r="HYK13" s="114"/>
      <c r="HYL13" s="114"/>
      <c r="HYM13" s="114"/>
      <c r="HYN13" s="114"/>
      <c r="HYO13" s="114"/>
      <c r="HYP13" s="114"/>
      <c r="HYQ13" s="114"/>
      <c r="HYR13" s="114"/>
      <c r="HYS13" s="114"/>
      <c r="HYT13" s="114"/>
      <c r="HYU13" s="114"/>
      <c r="HYV13" s="114"/>
      <c r="HYW13" s="114"/>
      <c r="HYX13" s="114"/>
      <c r="HYY13" s="114"/>
      <c r="HYZ13" s="114"/>
      <c r="HZA13" s="114"/>
      <c r="HZB13" s="114"/>
      <c r="HZC13" s="114"/>
      <c r="HZD13" s="114"/>
      <c r="HZE13" s="114"/>
      <c r="HZF13" s="114"/>
      <c r="HZG13" s="114"/>
      <c r="HZH13" s="114"/>
      <c r="HZI13" s="114"/>
      <c r="HZJ13" s="114"/>
      <c r="HZK13" s="114"/>
      <c r="HZL13" s="114"/>
      <c r="HZM13" s="114"/>
      <c r="HZN13" s="114"/>
      <c r="HZO13" s="114"/>
      <c r="HZP13" s="114"/>
      <c r="HZQ13" s="114"/>
      <c r="HZR13" s="114"/>
      <c r="HZS13" s="114"/>
      <c r="HZT13" s="114"/>
      <c r="HZU13" s="114"/>
      <c r="HZV13" s="114"/>
      <c r="HZW13" s="114"/>
      <c r="HZX13" s="114"/>
      <c r="HZY13" s="114"/>
      <c r="HZZ13" s="114"/>
      <c r="IAA13" s="114"/>
      <c r="IAB13" s="114"/>
      <c r="IAC13" s="114"/>
      <c r="IAD13" s="114"/>
      <c r="IAE13" s="114"/>
      <c r="IAF13" s="114"/>
      <c r="IAG13" s="114"/>
      <c r="IAH13" s="114"/>
      <c r="IAI13" s="114"/>
      <c r="IAJ13" s="114"/>
      <c r="IAK13" s="114"/>
      <c r="IAL13" s="114"/>
      <c r="IAM13" s="114"/>
      <c r="IAN13" s="114"/>
      <c r="IAO13" s="114"/>
      <c r="IAP13" s="114"/>
      <c r="IAQ13" s="114"/>
      <c r="IAR13" s="114"/>
      <c r="IAS13" s="114"/>
      <c r="IAT13" s="114"/>
      <c r="IAU13" s="114"/>
      <c r="IAV13" s="114"/>
      <c r="IAW13" s="114"/>
      <c r="IAX13" s="114"/>
      <c r="IAY13" s="114"/>
      <c r="IAZ13" s="114"/>
      <c r="IBA13" s="114"/>
      <c r="IBB13" s="114"/>
      <c r="IBC13" s="114"/>
      <c r="IBD13" s="114"/>
      <c r="IBE13" s="114"/>
      <c r="IBF13" s="114"/>
      <c r="IBG13" s="114"/>
      <c r="IBH13" s="114"/>
      <c r="IBI13" s="114"/>
      <c r="IBJ13" s="114"/>
      <c r="IBK13" s="114"/>
      <c r="IBL13" s="114"/>
      <c r="IBM13" s="114"/>
      <c r="IBN13" s="114"/>
      <c r="IBO13" s="114"/>
      <c r="IBP13" s="114"/>
      <c r="IBQ13" s="114"/>
      <c r="IBR13" s="114"/>
      <c r="IBS13" s="114"/>
      <c r="IBT13" s="114"/>
      <c r="IBU13" s="114"/>
      <c r="IBV13" s="114"/>
      <c r="IBW13" s="114"/>
      <c r="IBX13" s="114"/>
      <c r="IBY13" s="114"/>
      <c r="IBZ13" s="114"/>
      <c r="ICA13" s="114"/>
      <c r="ICB13" s="114"/>
      <c r="ICC13" s="114"/>
      <c r="ICD13" s="114"/>
      <c r="ICE13" s="114"/>
      <c r="ICF13" s="114"/>
      <c r="ICG13" s="114"/>
      <c r="ICH13" s="114"/>
      <c r="ICI13" s="114"/>
      <c r="ICJ13" s="114"/>
      <c r="ICK13" s="114"/>
      <c r="ICL13" s="114"/>
      <c r="ICM13" s="114"/>
      <c r="ICN13" s="114"/>
      <c r="ICO13" s="114"/>
      <c r="ICP13" s="114"/>
      <c r="ICQ13" s="114"/>
      <c r="ICR13" s="114"/>
      <c r="ICS13" s="114"/>
      <c r="ICT13" s="114"/>
      <c r="ICU13" s="114"/>
      <c r="ICV13" s="114"/>
      <c r="ICW13" s="114"/>
      <c r="ICX13" s="114"/>
      <c r="ICY13" s="114"/>
      <c r="ICZ13" s="114"/>
      <c r="IDA13" s="114"/>
      <c r="IDB13" s="114"/>
      <c r="IDC13" s="114"/>
      <c r="IDD13" s="114"/>
      <c r="IDE13" s="114"/>
      <c r="IDF13" s="114"/>
      <c r="IDG13" s="114"/>
      <c r="IDH13" s="114"/>
      <c r="IDI13" s="114"/>
      <c r="IDJ13" s="114"/>
      <c r="IDK13" s="114"/>
      <c r="IDL13" s="114"/>
      <c r="IDM13" s="114"/>
      <c r="IDN13" s="114"/>
      <c r="IDO13" s="114"/>
      <c r="IDP13" s="114"/>
      <c r="IDQ13" s="114"/>
      <c r="IDR13" s="114"/>
      <c r="IDS13" s="114"/>
      <c r="IDT13" s="114"/>
      <c r="IDU13" s="114"/>
      <c r="IDV13" s="114"/>
      <c r="IDW13" s="114"/>
      <c r="IDX13" s="114"/>
      <c r="IDY13" s="114"/>
      <c r="IDZ13" s="114"/>
      <c r="IEA13" s="114"/>
      <c r="IEB13" s="114"/>
      <c r="IEC13" s="114"/>
      <c r="IED13" s="114"/>
      <c r="IEE13" s="114"/>
      <c r="IEF13" s="114"/>
      <c r="IEG13" s="114"/>
      <c r="IEH13" s="114"/>
      <c r="IEI13" s="114"/>
      <c r="IEJ13" s="114"/>
      <c r="IEK13" s="114"/>
      <c r="IEL13" s="114"/>
      <c r="IEM13" s="114"/>
      <c r="IEN13" s="114"/>
      <c r="IEO13" s="114"/>
      <c r="IEP13" s="114"/>
      <c r="IEQ13" s="114"/>
      <c r="IER13" s="114"/>
      <c r="IES13" s="114"/>
      <c r="IET13" s="114"/>
      <c r="IEU13" s="114"/>
      <c r="IEV13" s="114"/>
      <c r="IEW13" s="114"/>
      <c r="IEX13" s="114"/>
      <c r="IEY13" s="114"/>
      <c r="IEZ13" s="114"/>
      <c r="IFA13" s="114"/>
      <c r="IFB13" s="114"/>
      <c r="IFC13" s="114"/>
      <c r="IFD13" s="114"/>
      <c r="IFE13" s="114"/>
      <c r="IFF13" s="114"/>
      <c r="IFG13" s="114"/>
      <c r="IFH13" s="114"/>
      <c r="IFI13" s="114"/>
      <c r="IFJ13" s="114"/>
      <c r="IFK13" s="114"/>
      <c r="IFL13" s="114"/>
      <c r="IFM13" s="114"/>
      <c r="IFN13" s="114"/>
      <c r="IFO13" s="114"/>
      <c r="IFP13" s="114"/>
      <c r="IFQ13" s="114"/>
      <c r="IFR13" s="114"/>
      <c r="IFS13" s="114"/>
      <c r="IFT13" s="114"/>
      <c r="IFU13" s="114"/>
      <c r="IFV13" s="114"/>
      <c r="IFW13" s="114"/>
      <c r="IFX13" s="114"/>
      <c r="IFY13" s="114"/>
      <c r="IFZ13" s="114"/>
      <c r="IGA13" s="114"/>
      <c r="IGB13" s="114"/>
      <c r="IGC13" s="114"/>
      <c r="IGD13" s="114"/>
      <c r="IGE13" s="114"/>
      <c r="IGF13" s="114"/>
      <c r="IGG13" s="114"/>
      <c r="IGH13" s="114"/>
      <c r="IGI13" s="114"/>
      <c r="IGJ13" s="114"/>
      <c r="IGK13" s="114"/>
      <c r="IGL13" s="114"/>
      <c r="IGM13" s="114"/>
      <c r="IGN13" s="114"/>
      <c r="IGO13" s="114"/>
      <c r="IGP13" s="114"/>
      <c r="IGQ13" s="114"/>
      <c r="IGR13" s="114"/>
      <c r="IGS13" s="114"/>
      <c r="IGT13" s="114"/>
      <c r="IGU13" s="114"/>
      <c r="IGV13" s="114"/>
      <c r="IGW13" s="114"/>
      <c r="IGX13" s="114"/>
      <c r="IGY13" s="114"/>
      <c r="IGZ13" s="114"/>
      <c r="IHA13" s="114"/>
      <c r="IHB13" s="114"/>
      <c r="IHC13" s="114"/>
      <c r="IHD13" s="114"/>
      <c r="IHE13" s="114"/>
      <c r="IHF13" s="114"/>
      <c r="IHG13" s="114"/>
      <c r="IHH13" s="114"/>
      <c r="IHI13" s="114"/>
      <c r="IHJ13" s="114"/>
      <c r="IHK13" s="114"/>
      <c r="IHL13" s="114"/>
      <c r="IHM13" s="114"/>
      <c r="IHN13" s="114"/>
      <c r="IHO13" s="114"/>
      <c r="IHP13" s="114"/>
      <c r="IHQ13" s="114"/>
      <c r="IHR13" s="114"/>
      <c r="IHS13" s="114"/>
      <c r="IHT13" s="114"/>
      <c r="IHU13" s="114"/>
      <c r="IHV13" s="114"/>
      <c r="IHW13" s="114"/>
      <c r="IHX13" s="114"/>
      <c r="IHY13" s="114"/>
      <c r="IHZ13" s="114"/>
      <c r="IIA13" s="114"/>
      <c r="IIB13" s="114"/>
      <c r="IIC13" s="114"/>
      <c r="IID13" s="114"/>
      <c r="IIE13" s="114"/>
      <c r="IIF13" s="114"/>
      <c r="IIG13" s="114"/>
      <c r="IIH13" s="114"/>
      <c r="III13" s="114"/>
      <c r="IIJ13" s="114"/>
      <c r="IIK13" s="114"/>
      <c r="IIL13" s="114"/>
      <c r="IIM13" s="114"/>
      <c r="IIN13" s="114"/>
      <c r="IIO13" s="114"/>
      <c r="IIP13" s="114"/>
      <c r="IIQ13" s="114"/>
      <c r="IIR13" s="114"/>
      <c r="IIS13" s="114"/>
      <c r="IIT13" s="114"/>
      <c r="IIU13" s="114"/>
      <c r="IIV13" s="114"/>
      <c r="IIW13" s="114"/>
      <c r="IIX13" s="114"/>
      <c r="IIY13" s="114"/>
      <c r="IIZ13" s="114"/>
      <c r="IJA13" s="114"/>
      <c r="IJB13" s="114"/>
      <c r="IJC13" s="114"/>
      <c r="IJD13" s="114"/>
      <c r="IJE13" s="114"/>
      <c r="IJF13" s="114"/>
      <c r="IJG13" s="114"/>
      <c r="IJH13" s="114"/>
      <c r="IJI13" s="114"/>
      <c r="IJJ13" s="114"/>
      <c r="IJK13" s="114"/>
      <c r="IJL13" s="114"/>
      <c r="IJM13" s="114"/>
      <c r="IJN13" s="114"/>
      <c r="IJO13" s="114"/>
      <c r="IJP13" s="114"/>
      <c r="IJQ13" s="114"/>
      <c r="IJR13" s="114"/>
      <c r="IJS13" s="114"/>
      <c r="IJT13" s="114"/>
      <c r="IJU13" s="114"/>
      <c r="IJV13" s="114"/>
      <c r="IJW13" s="114"/>
      <c r="IJX13" s="114"/>
      <c r="IJY13" s="114"/>
      <c r="IJZ13" s="114"/>
      <c r="IKA13" s="114"/>
      <c r="IKB13" s="114"/>
      <c r="IKC13" s="114"/>
      <c r="IKD13" s="114"/>
      <c r="IKE13" s="114"/>
      <c r="IKF13" s="114"/>
      <c r="IKG13" s="114"/>
      <c r="IKH13" s="114"/>
      <c r="IKI13" s="114"/>
      <c r="IKJ13" s="114"/>
      <c r="IKK13" s="114"/>
      <c r="IKL13" s="114"/>
      <c r="IKM13" s="114"/>
      <c r="IKN13" s="114"/>
      <c r="IKO13" s="114"/>
      <c r="IKP13" s="114"/>
      <c r="IKQ13" s="114"/>
      <c r="IKR13" s="114"/>
      <c r="IKS13" s="114"/>
      <c r="IKT13" s="114"/>
      <c r="IKU13" s="114"/>
      <c r="IKV13" s="114"/>
      <c r="IKW13" s="114"/>
      <c r="IKX13" s="114"/>
      <c r="IKY13" s="114"/>
      <c r="IKZ13" s="114"/>
      <c r="ILA13" s="114"/>
      <c r="ILB13" s="114"/>
      <c r="ILC13" s="114"/>
      <c r="ILD13" s="114"/>
      <c r="ILE13" s="114"/>
      <c r="ILF13" s="114"/>
      <c r="ILG13" s="114"/>
      <c r="ILH13" s="114"/>
      <c r="ILI13" s="114"/>
      <c r="ILJ13" s="114"/>
      <c r="ILK13" s="114"/>
      <c r="ILL13" s="114"/>
      <c r="ILM13" s="114"/>
      <c r="ILN13" s="114"/>
      <c r="ILO13" s="114"/>
      <c r="ILP13" s="114"/>
      <c r="ILQ13" s="114"/>
      <c r="ILR13" s="114"/>
      <c r="ILS13" s="114"/>
      <c r="ILT13" s="114"/>
      <c r="ILU13" s="114"/>
      <c r="ILV13" s="114"/>
      <c r="ILW13" s="114"/>
      <c r="ILX13" s="114"/>
      <c r="ILY13" s="114"/>
      <c r="ILZ13" s="114"/>
      <c r="IMA13" s="114"/>
      <c r="IMB13" s="114"/>
      <c r="IMC13" s="114"/>
      <c r="IMD13" s="114"/>
      <c r="IME13" s="114"/>
      <c r="IMF13" s="114"/>
      <c r="IMG13" s="114"/>
      <c r="IMH13" s="114"/>
      <c r="IMI13" s="114"/>
      <c r="IMJ13" s="114"/>
      <c r="IMK13" s="114"/>
      <c r="IML13" s="114"/>
      <c r="IMM13" s="114"/>
      <c r="IMN13" s="114"/>
      <c r="IMO13" s="114"/>
      <c r="IMP13" s="114"/>
      <c r="IMQ13" s="114"/>
      <c r="IMR13" s="114"/>
      <c r="IMS13" s="114"/>
      <c r="IMT13" s="114"/>
      <c r="IMU13" s="114"/>
      <c r="IMV13" s="114"/>
      <c r="IMW13" s="114"/>
      <c r="IMX13" s="114"/>
      <c r="IMY13" s="114"/>
      <c r="IMZ13" s="114"/>
      <c r="INA13" s="114"/>
      <c r="INB13" s="114"/>
      <c r="INC13" s="114"/>
      <c r="IND13" s="114"/>
      <c r="INE13" s="114"/>
      <c r="INF13" s="114"/>
      <c r="ING13" s="114"/>
      <c r="INH13" s="114"/>
      <c r="INI13" s="114"/>
      <c r="INJ13" s="114"/>
      <c r="INK13" s="114"/>
      <c r="INL13" s="114"/>
      <c r="INM13" s="114"/>
      <c r="INN13" s="114"/>
      <c r="INO13" s="114"/>
      <c r="INP13" s="114"/>
      <c r="INQ13" s="114"/>
      <c r="INR13" s="114"/>
      <c r="INS13" s="114"/>
      <c r="INT13" s="114"/>
      <c r="INU13" s="114"/>
      <c r="INV13" s="114"/>
      <c r="INW13" s="114"/>
      <c r="INX13" s="114"/>
      <c r="INY13" s="114"/>
      <c r="INZ13" s="114"/>
      <c r="IOA13" s="114"/>
      <c r="IOB13" s="114"/>
      <c r="IOC13" s="114"/>
      <c r="IOD13" s="114"/>
      <c r="IOE13" s="114"/>
      <c r="IOF13" s="114"/>
      <c r="IOG13" s="114"/>
      <c r="IOH13" s="114"/>
      <c r="IOI13" s="114"/>
      <c r="IOJ13" s="114"/>
      <c r="IOK13" s="114"/>
      <c r="IOL13" s="114"/>
      <c r="IOM13" s="114"/>
      <c r="ION13" s="114"/>
      <c r="IOO13" s="114"/>
      <c r="IOP13" s="114"/>
      <c r="IOQ13" s="114"/>
      <c r="IOR13" s="114"/>
      <c r="IOS13" s="114"/>
      <c r="IOT13" s="114"/>
      <c r="IOU13" s="114"/>
      <c r="IOV13" s="114"/>
      <c r="IOW13" s="114"/>
      <c r="IOX13" s="114"/>
      <c r="IOY13" s="114"/>
      <c r="IOZ13" s="114"/>
      <c r="IPA13" s="114"/>
      <c r="IPB13" s="114"/>
      <c r="IPC13" s="114"/>
      <c r="IPD13" s="114"/>
      <c r="IPE13" s="114"/>
      <c r="IPF13" s="114"/>
      <c r="IPG13" s="114"/>
      <c r="IPH13" s="114"/>
      <c r="IPI13" s="114"/>
      <c r="IPJ13" s="114"/>
      <c r="IPK13" s="114"/>
      <c r="IPL13" s="114"/>
      <c r="IPM13" s="114"/>
      <c r="IPN13" s="114"/>
      <c r="IPO13" s="114"/>
      <c r="IPP13" s="114"/>
      <c r="IPQ13" s="114"/>
      <c r="IPR13" s="114"/>
      <c r="IPS13" s="114"/>
      <c r="IPT13" s="114"/>
      <c r="IPU13" s="114"/>
      <c r="IPV13" s="114"/>
      <c r="IPW13" s="114"/>
      <c r="IPX13" s="114"/>
      <c r="IPY13" s="114"/>
      <c r="IPZ13" s="114"/>
      <c r="IQA13" s="114"/>
      <c r="IQB13" s="114"/>
      <c r="IQC13" s="114"/>
      <c r="IQD13" s="114"/>
      <c r="IQE13" s="114"/>
      <c r="IQF13" s="114"/>
      <c r="IQG13" s="114"/>
      <c r="IQH13" s="114"/>
      <c r="IQI13" s="114"/>
      <c r="IQJ13" s="114"/>
      <c r="IQK13" s="114"/>
      <c r="IQL13" s="114"/>
      <c r="IQM13" s="114"/>
      <c r="IQN13" s="114"/>
      <c r="IQO13" s="114"/>
      <c r="IQP13" s="114"/>
      <c r="IQQ13" s="114"/>
      <c r="IQR13" s="114"/>
      <c r="IQS13" s="114"/>
      <c r="IQT13" s="114"/>
      <c r="IQU13" s="114"/>
      <c r="IQV13" s="114"/>
      <c r="IQW13" s="114"/>
      <c r="IQX13" s="114"/>
      <c r="IQY13" s="114"/>
      <c r="IQZ13" s="114"/>
      <c r="IRA13" s="114"/>
      <c r="IRB13" s="114"/>
      <c r="IRC13" s="114"/>
      <c r="IRD13" s="114"/>
      <c r="IRE13" s="114"/>
      <c r="IRF13" s="114"/>
      <c r="IRG13" s="114"/>
      <c r="IRH13" s="114"/>
      <c r="IRI13" s="114"/>
      <c r="IRJ13" s="114"/>
      <c r="IRK13" s="114"/>
      <c r="IRL13" s="114"/>
      <c r="IRM13" s="114"/>
      <c r="IRN13" s="114"/>
      <c r="IRO13" s="114"/>
      <c r="IRP13" s="114"/>
      <c r="IRQ13" s="114"/>
      <c r="IRR13" s="114"/>
      <c r="IRS13" s="114"/>
      <c r="IRT13" s="114"/>
      <c r="IRU13" s="114"/>
      <c r="IRV13" s="114"/>
      <c r="IRW13" s="114"/>
      <c r="IRX13" s="114"/>
      <c r="IRY13" s="114"/>
      <c r="IRZ13" s="114"/>
      <c r="ISA13" s="114"/>
      <c r="ISB13" s="114"/>
      <c r="ISC13" s="114"/>
      <c r="ISD13" s="114"/>
      <c r="ISE13" s="114"/>
      <c r="ISF13" s="114"/>
      <c r="ISG13" s="114"/>
      <c r="ISH13" s="114"/>
      <c r="ISI13" s="114"/>
      <c r="ISJ13" s="114"/>
      <c r="ISK13" s="114"/>
      <c r="ISL13" s="114"/>
      <c r="ISM13" s="114"/>
      <c r="ISN13" s="114"/>
      <c r="ISO13" s="114"/>
      <c r="ISP13" s="114"/>
      <c r="ISQ13" s="114"/>
      <c r="ISR13" s="114"/>
      <c r="ISS13" s="114"/>
      <c r="IST13" s="114"/>
      <c r="ISU13" s="114"/>
      <c r="ISV13" s="114"/>
      <c r="ISW13" s="114"/>
      <c r="ISX13" s="114"/>
      <c r="ISY13" s="114"/>
      <c r="ISZ13" s="114"/>
      <c r="ITA13" s="114"/>
      <c r="ITB13" s="114"/>
      <c r="ITC13" s="114"/>
      <c r="ITD13" s="114"/>
      <c r="ITE13" s="114"/>
      <c r="ITF13" s="114"/>
      <c r="ITG13" s="114"/>
      <c r="ITH13" s="114"/>
      <c r="ITI13" s="114"/>
      <c r="ITJ13" s="114"/>
      <c r="ITK13" s="114"/>
      <c r="ITL13" s="114"/>
      <c r="ITM13" s="114"/>
      <c r="ITN13" s="114"/>
      <c r="ITO13" s="114"/>
      <c r="ITP13" s="114"/>
      <c r="ITQ13" s="114"/>
      <c r="ITR13" s="114"/>
      <c r="ITS13" s="114"/>
      <c r="ITT13" s="114"/>
      <c r="ITU13" s="114"/>
      <c r="ITV13" s="114"/>
      <c r="ITW13" s="114"/>
      <c r="ITX13" s="114"/>
      <c r="ITY13" s="114"/>
      <c r="ITZ13" s="114"/>
      <c r="IUA13" s="114"/>
      <c r="IUB13" s="114"/>
      <c r="IUC13" s="114"/>
      <c r="IUD13" s="114"/>
      <c r="IUE13" s="114"/>
      <c r="IUF13" s="114"/>
      <c r="IUG13" s="114"/>
      <c r="IUH13" s="114"/>
      <c r="IUI13" s="114"/>
      <c r="IUJ13" s="114"/>
      <c r="IUK13" s="114"/>
      <c r="IUL13" s="114"/>
      <c r="IUM13" s="114"/>
      <c r="IUN13" s="114"/>
      <c r="IUO13" s="114"/>
      <c r="IUP13" s="114"/>
      <c r="IUQ13" s="114"/>
      <c r="IUR13" s="114"/>
      <c r="IUS13" s="114"/>
      <c r="IUT13" s="114"/>
      <c r="IUU13" s="114"/>
      <c r="IUV13" s="114"/>
      <c r="IUW13" s="114"/>
      <c r="IUX13" s="114"/>
      <c r="IUY13" s="114"/>
      <c r="IUZ13" s="114"/>
      <c r="IVA13" s="114"/>
      <c r="IVB13" s="114"/>
      <c r="IVC13" s="114"/>
      <c r="IVD13" s="114"/>
      <c r="IVE13" s="114"/>
      <c r="IVF13" s="114"/>
      <c r="IVG13" s="114"/>
      <c r="IVH13" s="114"/>
      <c r="IVI13" s="114"/>
      <c r="IVJ13" s="114"/>
      <c r="IVK13" s="114"/>
      <c r="IVL13" s="114"/>
      <c r="IVM13" s="114"/>
      <c r="IVN13" s="114"/>
      <c r="IVO13" s="114"/>
      <c r="IVP13" s="114"/>
      <c r="IVQ13" s="114"/>
      <c r="IVR13" s="114"/>
      <c r="IVS13" s="114"/>
      <c r="IVT13" s="114"/>
      <c r="IVU13" s="114"/>
      <c r="IVV13" s="114"/>
      <c r="IVW13" s="114"/>
      <c r="IVX13" s="114"/>
      <c r="IVY13" s="114"/>
      <c r="IVZ13" s="114"/>
      <c r="IWA13" s="114"/>
      <c r="IWB13" s="114"/>
      <c r="IWC13" s="114"/>
      <c r="IWD13" s="114"/>
      <c r="IWE13" s="114"/>
      <c r="IWF13" s="114"/>
      <c r="IWG13" s="114"/>
      <c r="IWH13" s="114"/>
      <c r="IWI13" s="114"/>
      <c r="IWJ13" s="114"/>
      <c r="IWK13" s="114"/>
      <c r="IWL13" s="114"/>
      <c r="IWM13" s="114"/>
      <c r="IWN13" s="114"/>
      <c r="IWO13" s="114"/>
      <c r="IWP13" s="114"/>
      <c r="IWQ13" s="114"/>
      <c r="IWR13" s="114"/>
      <c r="IWS13" s="114"/>
      <c r="IWT13" s="114"/>
      <c r="IWU13" s="114"/>
      <c r="IWV13" s="114"/>
      <c r="IWW13" s="114"/>
      <c r="IWX13" s="114"/>
      <c r="IWY13" s="114"/>
      <c r="IWZ13" s="114"/>
      <c r="IXA13" s="114"/>
      <c r="IXB13" s="114"/>
      <c r="IXC13" s="114"/>
      <c r="IXD13" s="114"/>
      <c r="IXE13" s="114"/>
      <c r="IXF13" s="114"/>
      <c r="IXG13" s="114"/>
      <c r="IXH13" s="114"/>
      <c r="IXI13" s="114"/>
      <c r="IXJ13" s="114"/>
      <c r="IXK13" s="114"/>
      <c r="IXL13" s="114"/>
      <c r="IXM13" s="114"/>
      <c r="IXN13" s="114"/>
      <c r="IXO13" s="114"/>
      <c r="IXP13" s="114"/>
      <c r="IXQ13" s="114"/>
      <c r="IXR13" s="114"/>
      <c r="IXS13" s="114"/>
      <c r="IXT13" s="114"/>
      <c r="IXU13" s="114"/>
      <c r="IXV13" s="114"/>
      <c r="IXW13" s="114"/>
      <c r="IXX13" s="114"/>
      <c r="IXY13" s="114"/>
      <c r="IXZ13" s="114"/>
      <c r="IYA13" s="114"/>
      <c r="IYB13" s="114"/>
      <c r="IYC13" s="114"/>
      <c r="IYD13" s="114"/>
      <c r="IYE13" s="114"/>
      <c r="IYF13" s="114"/>
      <c r="IYG13" s="114"/>
      <c r="IYH13" s="114"/>
      <c r="IYI13" s="114"/>
      <c r="IYJ13" s="114"/>
      <c r="IYK13" s="114"/>
      <c r="IYL13" s="114"/>
      <c r="IYM13" s="114"/>
      <c r="IYN13" s="114"/>
      <c r="IYO13" s="114"/>
      <c r="IYP13" s="114"/>
      <c r="IYQ13" s="114"/>
      <c r="IYR13" s="114"/>
      <c r="IYS13" s="114"/>
      <c r="IYT13" s="114"/>
      <c r="IYU13" s="114"/>
      <c r="IYV13" s="114"/>
      <c r="IYW13" s="114"/>
      <c r="IYX13" s="114"/>
      <c r="IYY13" s="114"/>
      <c r="IYZ13" s="114"/>
      <c r="IZA13" s="114"/>
      <c r="IZB13" s="114"/>
      <c r="IZC13" s="114"/>
      <c r="IZD13" s="114"/>
      <c r="IZE13" s="114"/>
      <c r="IZF13" s="114"/>
      <c r="IZG13" s="114"/>
      <c r="IZH13" s="114"/>
      <c r="IZI13" s="114"/>
      <c r="IZJ13" s="114"/>
      <c r="IZK13" s="114"/>
      <c r="IZL13" s="114"/>
      <c r="IZM13" s="114"/>
      <c r="IZN13" s="114"/>
      <c r="IZO13" s="114"/>
      <c r="IZP13" s="114"/>
      <c r="IZQ13" s="114"/>
      <c r="IZR13" s="114"/>
      <c r="IZS13" s="114"/>
      <c r="IZT13" s="114"/>
      <c r="IZU13" s="114"/>
      <c r="IZV13" s="114"/>
      <c r="IZW13" s="114"/>
      <c r="IZX13" s="114"/>
      <c r="IZY13" s="114"/>
      <c r="IZZ13" s="114"/>
      <c r="JAA13" s="114"/>
      <c r="JAB13" s="114"/>
      <c r="JAC13" s="114"/>
      <c r="JAD13" s="114"/>
      <c r="JAE13" s="114"/>
      <c r="JAF13" s="114"/>
      <c r="JAG13" s="114"/>
      <c r="JAH13" s="114"/>
      <c r="JAI13" s="114"/>
      <c r="JAJ13" s="114"/>
      <c r="JAK13" s="114"/>
      <c r="JAL13" s="114"/>
      <c r="JAM13" s="114"/>
      <c r="JAN13" s="114"/>
      <c r="JAO13" s="114"/>
      <c r="JAP13" s="114"/>
      <c r="JAQ13" s="114"/>
      <c r="JAR13" s="114"/>
      <c r="JAS13" s="114"/>
      <c r="JAT13" s="114"/>
      <c r="JAU13" s="114"/>
      <c r="JAV13" s="114"/>
      <c r="JAW13" s="114"/>
      <c r="JAX13" s="114"/>
      <c r="JAY13" s="114"/>
      <c r="JAZ13" s="114"/>
      <c r="JBA13" s="114"/>
      <c r="JBB13" s="114"/>
      <c r="JBC13" s="114"/>
      <c r="JBD13" s="114"/>
      <c r="JBE13" s="114"/>
      <c r="JBF13" s="114"/>
      <c r="JBG13" s="114"/>
      <c r="JBH13" s="114"/>
      <c r="JBI13" s="114"/>
      <c r="JBJ13" s="114"/>
      <c r="JBK13" s="114"/>
      <c r="JBL13" s="114"/>
      <c r="JBM13" s="114"/>
      <c r="JBN13" s="114"/>
      <c r="JBO13" s="114"/>
      <c r="JBP13" s="114"/>
      <c r="JBQ13" s="114"/>
      <c r="JBR13" s="114"/>
      <c r="JBS13" s="114"/>
      <c r="JBT13" s="114"/>
      <c r="JBU13" s="114"/>
      <c r="JBV13" s="114"/>
      <c r="JBW13" s="114"/>
      <c r="JBX13" s="114"/>
      <c r="JBY13" s="114"/>
      <c r="JBZ13" s="114"/>
      <c r="JCA13" s="114"/>
      <c r="JCB13" s="114"/>
      <c r="JCC13" s="114"/>
      <c r="JCD13" s="114"/>
      <c r="JCE13" s="114"/>
      <c r="JCF13" s="114"/>
      <c r="JCG13" s="114"/>
      <c r="JCH13" s="114"/>
      <c r="JCI13" s="114"/>
      <c r="JCJ13" s="114"/>
      <c r="JCK13" s="114"/>
      <c r="JCL13" s="114"/>
      <c r="JCM13" s="114"/>
      <c r="JCN13" s="114"/>
      <c r="JCO13" s="114"/>
      <c r="JCP13" s="114"/>
      <c r="JCQ13" s="114"/>
      <c r="JCR13" s="114"/>
      <c r="JCS13" s="114"/>
      <c r="JCT13" s="114"/>
      <c r="JCU13" s="114"/>
      <c r="JCV13" s="114"/>
      <c r="JCW13" s="114"/>
      <c r="JCX13" s="114"/>
      <c r="JCY13" s="114"/>
      <c r="JCZ13" s="114"/>
      <c r="JDA13" s="114"/>
      <c r="JDB13" s="114"/>
      <c r="JDC13" s="114"/>
      <c r="JDD13" s="114"/>
      <c r="JDE13" s="114"/>
      <c r="JDF13" s="114"/>
      <c r="JDG13" s="114"/>
      <c r="JDH13" s="114"/>
      <c r="JDI13" s="114"/>
      <c r="JDJ13" s="114"/>
      <c r="JDK13" s="114"/>
      <c r="JDL13" s="114"/>
      <c r="JDM13" s="114"/>
      <c r="JDN13" s="114"/>
      <c r="JDO13" s="114"/>
      <c r="JDP13" s="114"/>
      <c r="JDQ13" s="114"/>
      <c r="JDR13" s="114"/>
      <c r="JDS13" s="114"/>
      <c r="JDT13" s="114"/>
      <c r="JDU13" s="114"/>
      <c r="JDV13" s="114"/>
      <c r="JDW13" s="114"/>
      <c r="JDX13" s="114"/>
      <c r="JDY13" s="114"/>
      <c r="JDZ13" s="114"/>
      <c r="JEA13" s="114"/>
      <c r="JEB13" s="114"/>
      <c r="JEC13" s="114"/>
      <c r="JED13" s="114"/>
      <c r="JEE13" s="114"/>
      <c r="JEF13" s="114"/>
      <c r="JEG13" s="114"/>
      <c r="JEH13" s="114"/>
      <c r="JEI13" s="114"/>
      <c r="JEJ13" s="114"/>
      <c r="JEK13" s="114"/>
      <c r="JEL13" s="114"/>
      <c r="JEM13" s="114"/>
      <c r="JEN13" s="114"/>
      <c r="JEO13" s="114"/>
      <c r="JEP13" s="114"/>
      <c r="JEQ13" s="114"/>
      <c r="JER13" s="114"/>
      <c r="JES13" s="114"/>
      <c r="JET13" s="114"/>
      <c r="JEU13" s="114"/>
      <c r="JEV13" s="114"/>
      <c r="JEW13" s="114"/>
      <c r="JEX13" s="114"/>
      <c r="JEY13" s="114"/>
      <c r="JEZ13" s="114"/>
      <c r="JFA13" s="114"/>
      <c r="JFB13" s="114"/>
      <c r="JFC13" s="114"/>
      <c r="JFD13" s="114"/>
      <c r="JFE13" s="114"/>
      <c r="JFF13" s="114"/>
      <c r="JFG13" s="114"/>
      <c r="JFH13" s="114"/>
      <c r="JFI13" s="114"/>
      <c r="JFJ13" s="114"/>
      <c r="JFK13" s="114"/>
      <c r="JFL13" s="114"/>
      <c r="JFM13" s="114"/>
      <c r="JFN13" s="114"/>
      <c r="JFO13" s="114"/>
      <c r="JFP13" s="114"/>
      <c r="JFQ13" s="114"/>
      <c r="JFR13" s="114"/>
      <c r="JFS13" s="114"/>
      <c r="JFT13" s="114"/>
      <c r="JFU13" s="114"/>
      <c r="JFV13" s="114"/>
      <c r="JFW13" s="114"/>
      <c r="JFX13" s="114"/>
      <c r="JFY13" s="114"/>
      <c r="JFZ13" s="114"/>
      <c r="JGA13" s="114"/>
      <c r="JGB13" s="114"/>
      <c r="JGC13" s="114"/>
      <c r="JGD13" s="114"/>
      <c r="JGE13" s="114"/>
      <c r="JGF13" s="114"/>
      <c r="JGG13" s="114"/>
      <c r="JGH13" s="114"/>
      <c r="JGI13" s="114"/>
      <c r="JGJ13" s="114"/>
      <c r="JGK13" s="114"/>
      <c r="JGL13" s="114"/>
      <c r="JGM13" s="114"/>
      <c r="JGN13" s="114"/>
      <c r="JGO13" s="114"/>
      <c r="JGP13" s="114"/>
      <c r="JGQ13" s="114"/>
      <c r="JGR13" s="114"/>
      <c r="JGS13" s="114"/>
      <c r="JGT13" s="114"/>
      <c r="JGU13" s="114"/>
      <c r="JGV13" s="114"/>
      <c r="JGW13" s="114"/>
      <c r="JGX13" s="114"/>
      <c r="JGY13" s="114"/>
      <c r="JGZ13" s="114"/>
      <c r="JHA13" s="114"/>
      <c r="JHB13" s="114"/>
      <c r="JHC13" s="114"/>
      <c r="JHD13" s="114"/>
      <c r="JHE13" s="114"/>
      <c r="JHF13" s="114"/>
      <c r="JHG13" s="114"/>
      <c r="JHH13" s="114"/>
      <c r="JHI13" s="114"/>
      <c r="JHJ13" s="114"/>
      <c r="JHK13" s="114"/>
      <c r="JHL13" s="114"/>
      <c r="JHM13" s="114"/>
      <c r="JHN13" s="114"/>
      <c r="JHO13" s="114"/>
      <c r="JHP13" s="114"/>
      <c r="JHQ13" s="114"/>
      <c r="JHR13" s="114"/>
      <c r="JHS13" s="114"/>
      <c r="JHT13" s="114"/>
      <c r="JHU13" s="114"/>
      <c r="JHV13" s="114"/>
      <c r="JHW13" s="114"/>
      <c r="JHX13" s="114"/>
      <c r="JHY13" s="114"/>
      <c r="JHZ13" s="114"/>
      <c r="JIA13" s="114"/>
      <c r="JIB13" s="114"/>
      <c r="JIC13" s="114"/>
      <c r="JID13" s="114"/>
      <c r="JIE13" s="114"/>
      <c r="JIF13" s="114"/>
      <c r="JIG13" s="114"/>
      <c r="JIH13" s="114"/>
      <c r="JII13" s="114"/>
      <c r="JIJ13" s="114"/>
      <c r="JIK13" s="114"/>
      <c r="JIL13" s="114"/>
      <c r="JIM13" s="114"/>
      <c r="JIN13" s="114"/>
      <c r="JIO13" s="114"/>
      <c r="JIP13" s="114"/>
      <c r="JIQ13" s="114"/>
      <c r="JIR13" s="114"/>
      <c r="JIS13" s="114"/>
      <c r="JIT13" s="114"/>
      <c r="JIU13" s="114"/>
      <c r="JIV13" s="114"/>
      <c r="JIW13" s="114"/>
      <c r="JIX13" s="114"/>
      <c r="JIY13" s="114"/>
      <c r="JIZ13" s="114"/>
      <c r="JJA13" s="114"/>
      <c r="JJB13" s="114"/>
      <c r="JJC13" s="114"/>
      <c r="JJD13" s="114"/>
      <c r="JJE13" s="114"/>
      <c r="JJF13" s="114"/>
      <c r="JJG13" s="114"/>
      <c r="JJH13" s="114"/>
      <c r="JJI13" s="114"/>
      <c r="JJJ13" s="114"/>
      <c r="JJK13" s="114"/>
      <c r="JJL13" s="114"/>
      <c r="JJM13" s="114"/>
      <c r="JJN13" s="114"/>
      <c r="JJO13" s="114"/>
      <c r="JJP13" s="114"/>
      <c r="JJQ13" s="114"/>
      <c r="JJR13" s="114"/>
      <c r="JJS13" s="114"/>
      <c r="JJT13" s="114"/>
      <c r="JJU13" s="114"/>
      <c r="JJV13" s="114"/>
      <c r="JJW13" s="114"/>
      <c r="JJX13" s="114"/>
      <c r="JJY13" s="114"/>
      <c r="JJZ13" s="114"/>
      <c r="JKA13" s="114"/>
      <c r="JKB13" s="114"/>
      <c r="JKC13" s="114"/>
      <c r="JKD13" s="114"/>
      <c r="JKE13" s="114"/>
      <c r="JKF13" s="114"/>
      <c r="JKG13" s="114"/>
      <c r="JKH13" s="114"/>
      <c r="JKI13" s="114"/>
      <c r="JKJ13" s="114"/>
      <c r="JKK13" s="114"/>
      <c r="JKL13" s="114"/>
      <c r="JKM13" s="114"/>
      <c r="JKN13" s="114"/>
      <c r="JKO13" s="114"/>
      <c r="JKP13" s="114"/>
      <c r="JKQ13" s="114"/>
      <c r="JKR13" s="114"/>
      <c r="JKS13" s="114"/>
      <c r="JKT13" s="114"/>
      <c r="JKU13" s="114"/>
      <c r="JKV13" s="114"/>
      <c r="JKW13" s="114"/>
      <c r="JKX13" s="114"/>
      <c r="JKY13" s="114"/>
      <c r="JKZ13" s="114"/>
      <c r="JLA13" s="114"/>
      <c r="JLB13" s="114"/>
      <c r="JLC13" s="114"/>
      <c r="JLD13" s="114"/>
      <c r="JLE13" s="114"/>
      <c r="JLF13" s="114"/>
      <c r="JLG13" s="114"/>
      <c r="JLH13" s="114"/>
      <c r="JLI13" s="114"/>
      <c r="JLJ13" s="114"/>
      <c r="JLK13" s="114"/>
      <c r="JLL13" s="114"/>
      <c r="JLM13" s="114"/>
      <c r="JLN13" s="114"/>
      <c r="JLO13" s="114"/>
      <c r="JLP13" s="114"/>
      <c r="JLQ13" s="114"/>
      <c r="JLR13" s="114"/>
      <c r="JLS13" s="114"/>
      <c r="JLT13" s="114"/>
      <c r="JLU13" s="114"/>
      <c r="JLV13" s="114"/>
      <c r="JLW13" s="114"/>
      <c r="JLX13" s="114"/>
      <c r="JLY13" s="114"/>
      <c r="JLZ13" s="114"/>
      <c r="JMA13" s="114"/>
      <c r="JMB13" s="114"/>
      <c r="JMC13" s="114"/>
      <c r="JMD13" s="114"/>
      <c r="JME13" s="114"/>
      <c r="JMF13" s="114"/>
      <c r="JMG13" s="114"/>
      <c r="JMH13" s="114"/>
      <c r="JMI13" s="114"/>
      <c r="JMJ13" s="114"/>
      <c r="JMK13" s="114"/>
      <c r="JML13" s="114"/>
      <c r="JMM13" s="114"/>
      <c r="JMN13" s="114"/>
      <c r="JMO13" s="114"/>
      <c r="JMP13" s="114"/>
      <c r="JMQ13" s="114"/>
      <c r="JMR13" s="114"/>
      <c r="JMS13" s="114"/>
      <c r="JMT13" s="114"/>
      <c r="JMU13" s="114"/>
      <c r="JMV13" s="114"/>
      <c r="JMW13" s="114"/>
      <c r="JMX13" s="114"/>
      <c r="JMY13" s="114"/>
      <c r="JMZ13" s="114"/>
      <c r="JNA13" s="114"/>
      <c r="JNB13" s="114"/>
      <c r="JNC13" s="114"/>
      <c r="JND13" s="114"/>
      <c r="JNE13" s="114"/>
      <c r="JNF13" s="114"/>
      <c r="JNG13" s="114"/>
      <c r="JNH13" s="114"/>
      <c r="JNI13" s="114"/>
      <c r="JNJ13" s="114"/>
      <c r="JNK13" s="114"/>
      <c r="JNL13" s="114"/>
      <c r="JNM13" s="114"/>
      <c r="JNN13" s="114"/>
      <c r="JNO13" s="114"/>
      <c r="JNP13" s="114"/>
      <c r="JNQ13" s="114"/>
      <c r="JNR13" s="114"/>
      <c r="JNS13" s="114"/>
      <c r="JNT13" s="114"/>
      <c r="JNU13" s="114"/>
      <c r="JNV13" s="114"/>
      <c r="JNW13" s="114"/>
      <c r="JNX13" s="114"/>
      <c r="JNY13" s="114"/>
      <c r="JNZ13" s="114"/>
      <c r="JOA13" s="114"/>
      <c r="JOB13" s="114"/>
      <c r="JOC13" s="114"/>
      <c r="JOD13" s="114"/>
      <c r="JOE13" s="114"/>
      <c r="JOF13" s="114"/>
      <c r="JOG13" s="114"/>
      <c r="JOH13" s="114"/>
      <c r="JOI13" s="114"/>
      <c r="JOJ13" s="114"/>
      <c r="JOK13" s="114"/>
      <c r="JOL13" s="114"/>
      <c r="JOM13" s="114"/>
      <c r="JON13" s="114"/>
      <c r="JOO13" s="114"/>
      <c r="JOP13" s="114"/>
      <c r="JOQ13" s="114"/>
      <c r="JOR13" s="114"/>
      <c r="JOS13" s="114"/>
      <c r="JOT13" s="114"/>
      <c r="JOU13" s="114"/>
      <c r="JOV13" s="114"/>
      <c r="JOW13" s="114"/>
      <c r="JOX13" s="114"/>
      <c r="JOY13" s="114"/>
      <c r="JOZ13" s="114"/>
      <c r="JPA13" s="114"/>
      <c r="JPB13" s="114"/>
      <c r="JPC13" s="114"/>
      <c r="JPD13" s="114"/>
      <c r="JPE13" s="114"/>
      <c r="JPF13" s="114"/>
      <c r="JPG13" s="114"/>
      <c r="JPH13" s="114"/>
      <c r="JPI13" s="114"/>
      <c r="JPJ13" s="114"/>
      <c r="JPK13" s="114"/>
      <c r="JPL13" s="114"/>
      <c r="JPM13" s="114"/>
      <c r="JPN13" s="114"/>
      <c r="JPO13" s="114"/>
      <c r="JPP13" s="114"/>
      <c r="JPQ13" s="114"/>
      <c r="JPR13" s="114"/>
      <c r="JPS13" s="114"/>
      <c r="JPT13" s="114"/>
      <c r="JPU13" s="114"/>
      <c r="JPV13" s="114"/>
      <c r="JPW13" s="114"/>
      <c r="JPX13" s="114"/>
      <c r="JPY13" s="114"/>
      <c r="JPZ13" s="114"/>
      <c r="JQA13" s="114"/>
      <c r="JQB13" s="114"/>
      <c r="JQC13" s="114"/>
      <c r="JQD13" s="114"/>
      <c r="JQE13" s="114"/>
      <c r="JQF13" s="114"/>
      <c r="JQG13" s="114"/>
      <c r="JQH13" s="114"/>
      <c r="JQI13" s="114"/>
      <c r="JQJ13" s="114"/>
      <c r="JQK13" s="114"/>
      <c r="JQL13" s="114"/>
      <c r="JQM13" s="114"/>
      <c r="JQN13" s="114"/>
      <c r="JQO13" s="114"/>
      <c r="JQP13" s="114"/>
      <c r="JQQ13" s="114"/>
      <c r="JQR13" s="114"/>
      <c r="JQS13" s="114"/>
      <c r="JQT13" s="114"/>
      <c r="JQU13" s="114"/>
      <c r="JQV13" s="114"/>
      <c r="JQW13" s="114"/>
      <c r="JQX13" s="114"/>
      <c r="JQY13" s="114"/>
      <c r="JQZ13" s="114"/>
      <c r="JRA13" s="114"/>
      <c r="JRB13" s="114"/>
      <c r="JRC13" s="114"/>
      <c r="JRD13" s="114"/>
      <c r="JRE13" s="114"/>
      <c r="JRF13" s="114"/>
      <c r="JRG13" s="114"/>
      <c r="JRH13" s="114"/>
      <c r="JRI13" s="114"/>
      <c r="JRJ13" s="114"/>
      <c r="JRK13" s="114"/>
      <c r="JRL13" s="114"/>
      <c r="JRM13" s="114"/>
      <c r="JRN13" s="114"/>
      <c r="JRO13" s="114"/>
      <c r="JRP13" s="114"/>
      <c r="JRQ13" s="114"/>
      <c r="JRR13" s="114"/>
      <c r="JRS13" s="114"/>
      <c r="JRT13" s="114"/>
      <c r="JRU13" s="114"/>
      <c r="JRV13" s="114"/>
      <c r="JRW13" s="114"/>
      <c r="JRX13" s="114"/>
      <c r="JRY13" s="114"/>
      <c r="JRZ13" s="114"/>
      <c r="JSA13" s="114"/>
      <c r="JSB13" s="114"/>
      <c r="JSC13" s="114"/>
      <c r="JSD13" s="114"/>
      <c r="JSE13" s="114"/>
      <c r="JSF13" s="114"/>
      <c r="JSG13" s="114"/>
      <c r="JSH13" s="114"/>
      <c r="JSI13" s="114"/>
      <c r="JSJ13" s="114"/>
      <c r="JSK13" s="114"/>
      <c r="JSL13" s="114"/>
      <c r="JSM13" s="114"/>
      <c r="JSN13" s="114"/>
      <c r="JSO13" s="114"/>
      <c r="JSP13" s="114"/>
      <c r="JSQ13" s="114"/>
      <c r="JSR13" s="114"/>
      <c r="JSS13" s="114"/>
      <c r="JST13" s="114"/>
      <c r="JSU13" s="114"/>
      <c r="JSV13" s="114"/>
      <c r="JSW13" s="114"/>
      <c r="JSX13" s="114"/>
      <c r="JSY13" s="114"/>
      <c r="JSZ13" s="114"/>
      <c r="JTA13" s="114"/>
      <c r="JTB13" s="114"/>
      <c r="JTC13" s="114"/>
      <c r="JTD13" s="114"/>
      <c r="JTE13" s="114"/>
      <c r="JTF13" s="114"/>
      <c r="JTG13" s="114"/>
      <c r="JTH13" s="114"/>
      <c r="JTI13" s="114"/>
      <c r="JTJ13" s="114"/>
      <c r="JTK13" s="114"/>
      <c r="JTL13" s="114"/>
      <c r="JTM13" s="114"/>
      <c r="JTN13" s="114"/>
      <c r="JTO13" s="114"/>
      <c r="JTP13" s="114"/>
      <c r="JTQ13" s="114"/>
      <c r="JTR13" s="114"/>
      <c r="JTS13" s="114"/>
      <c r="JTT13" s="114"/>
      <c r="JTU13" s="114"/>
      <c r="JTV13" s="114"/>
      <c r="JTW13" s="114"/>
      <c r="JTX13" s="114"/>
      <c r="JTY13" s="114"/>
      <c r="JTZ13" s="114"/>
      <c r="JUA13" s="114"/>
      <c r="JUB13" s="114"/>
      <c r="JUC13" s="114"/>
      <c r="JUD13" s="114"/>
      <c r="JUE13" s="114"/>
      <c r="JUF13" s="114"/>
      <c r="JUG13" s="114"/>
      <c r="JUH13" s="114"/>
      <c r="JUI13" s="114"/>
      <c r="JUJ13" s="114"/>
      <c r="JUK13" s="114"/>
      <c r="JUL13" s="114"/>
      <c r="JUM13" s="114"/>
      <c r="JUN13" s="114"/>
      <c r="JUO13" s="114"/>
      <c r="JUP13" s="114"/>
      <c r="JUQ13" s="114"/>
      <c r="JUR13" s="114"/>
      <c r="JUS13" s="114"/>
      <c r="JUT13" s="114"/>
      <c r="JUU13" s="114"/>
      <c r="JUV13" s="114"/>
      <c r="JUW13" s="114"/>
      <c r="JUX13" s="114"/>
      <c r="JUY13" s="114"/>
      <c r="JUZ13" s="114"/>
      <c r="JVA13" s="114"/>
      <c r="JVB13" s="114"/>
      <c r="JVC13" s="114"/>
      <c r="JVD13" s="114"/>
      <c r="JVE13" s="114"/>
      <c r="JVF13" s="114"/>
      <c r="JVG13" s="114"/>
      <c r="JVH13" s="114"/>
      <c r="JVI13" s="114"/>
      <c r="JVJ13" s="114"/>
      <c r="JVK13" s="114"/>
      <c r="JVL13" s="114"/>
      <c r="JVM13" s="114"/>
      <c r="JVN13" s="114"/>
      <c r="JVO13" s="114"/>
      <c r="JVP13" s="114"/>
      <c r="JVQ13" s="114"/>
      <c r="JVR13" s="114"/>
      <c r="JVS13" s="114"/>
      <c r="JVT13" s="114"/>
      <c r="JVU13" s="114"/>
      <c r="JVV13" s="114"/>
      <c r="JVW13" s="114"/>
      <c r="JVX13" s="114"/>
      <c r="JVY13" s="114"/>
      <c r="JVZ13" s="114"/>
      <c r="JWA13" s="114"/>
      <c r="JWB13" s="114"/>
      <c r="JWC13" s="114"/>
      <c r="JWD13" s="114"/>
      <c r="JWE13" s="114"/>
      <c r="JWF13" s="114"/>
      <c r="JWG13" s="114"/>
      <c r="JWH13" s="114"/>
      <c r="JWI13" s="114"/>
      <c r="JWJ13" s="114"/>
      <c r="JWK13" s="114"/>
      <c r="JWL13" s="114"/>
      <c r="JWM13" s="114"/>
      <c r="JWN13" s="114"/>
      <c r="JWO13" s="114"/>
      <c r="JWP13" s="114"/>
      <c r="JWQ13" s="114"/>
      <c r="JWR13" s="114"/>
      <c r="JWS13" s="114"/>
      <c r="JWT13" s="114"/>
      <c r="JWU13" s="114"/>
      <c r="JWV13" s="114"/>
      <c r="JWW13" s="114"/>
      <c r="JWX13" s="114"/>
      <c r="JWY13" s="114"/>
      <c r="JWZ13" s="114"/>
      <c r="JXA13" s="114"/>
      <c r="JXB13" s="114"/>
      <c r="JXC13" s="114"/>
      <c r="JXD13" s="114"/>
      <c r="JXE13" s="114"/>
      <c r="JXF13" s="114"/>
      <c r="JXG13" s="114"/>
      <c r="JXH13" s="114"/>
      <c r="JXI13" s="114"/>
      <c r="JXJ13" s="114"/>
      <c r="JXK13" s="114"/>
      <c r="JXL13" s="114"/>
      <c r="JXM13" s="114"/>
      <c r="JXN13" s="114"/>
      <c r="JXO13" s="114"/>
      <c r="JXP13" s="114"/>
      <c r="JXQ13" s="114"/>
      <c r="JXR13" s="114"/>
      <c r="JXS13" s="114"/>
      <c r="JXT13" s="114"/>
      <c r="JXU13" s="114"/>
      <c r="JXV13" s="114"/>
      <c r="JXW13" s="114"/>
      <c r="JXX13" s="114"/>
      <c r="JXY13" s="114"/>
      <c r="JXZ13" s="114"/>
      <c r="JYA13" s="114"/>
      <c r="JYB13" s="114"/>
      <c r="JYC13" s="114"/>
      <c r="JYD13" s="114"/>
      <c r="JYE13" s="114"/>
      <c r="JYF13" s="114"/>
      <c r="JYG13" s="114"/>
      <c r="JYH13" s="114"/>
      <c r="JYI13" s="114"/>
      <c r="JYJ13" s="114"/>
      <c r="JYK13" s="114"/>
      <c r="JYL13" s="114"/>
      <c r="JYM13" s="114"/>
      <c r="JYN13" s="114"/>
      <c r="JYO13" s="114"/>
      <c r="JYP13" s="114"/>
      <c r="JYQ13" s="114"/>
      <c r="JYR13" s="114"/>
      <c r="JYS13" s="114"/>
      <c r="JYT13" s="114"/>
      <c r="JYU13" s="114"/>
      <c r="JYV13" s="114"/>
      <c r="JYW13" s="114"/>
      <c r="JYX13" s="114"/>
      <c r="JYY13" s="114"/>
      <c r="JYZ13" s="114"/>
      <c r="JZA13" s="114"/>
      <c r="JZB13" s="114"/>
      <c r="JZC13" s="114"/>
      <c r="JZD13" s="114"/>
      <c r="JZE13" s="114"/>
      <c r="JZF13" s="114"/>
      <c r="JZG13" s="114"/>
      <c r="JZH13" s="114"/>
      <c r="JZI13" s="114"/>
      <c r="JZJ13" s="114"/>
      <c r="JZK13" s="114"/>
      <c r="JZL13" s="114"/>
      <c r="JZM13" s="114"/>
      <c r="JZN13" s="114"/>
      <c r="JZO13" s="114"/>
      <c r="JZP13" s="114"/>
      <c r="JZQ13" s="114"/>
      <c r="JZR13" s="114"/>
      <c r="JZS13" s="114"/>
      <c r="JZT13" s="114"/>
      <c r="JZU13" s="114"/>
      <c r="JZV13" s="114"/>
      <c r="JZW13" s="114"/>
      <c r="JZX13" s="114"/>
      <c r="JZY13" s="114"/>
      <c r="JZZ13" s="114"/>
      <c r="KAA13" s="114"/>
      <c r="KAB13" s="114"/>
      <c r="KAC13" s="114"/>
      <c r="KAD13" s="114"/>
      <c r="KAE13" s="114"/>
      <c r="KAF13" s="114"/>
      <c r="KAG13" s="114"/>
      <c r="KAH13" s="114"/>
      <c r="KAI13" s="114"/>
      <c r="KAJ13" s="114"/>
      <c r="KAK13" s="114"/>
      <c r="KAL13" s="114"/>
      <c r="KAM13" s="114"/>
      <c r="KAN13" s="114"/>
      <c r="KAO13" s="114"/>
      <c r="KAP13" s="114"/>
      <c r="KAQ13" s="114"/>
      <c r="KAR13" s="114"/>
      <c r="KAS13" s="114"/>
      <c r="KAT13" s="114"/>
      <c r="KAU13" s="114"/>
      <c r="KAV13" s="114"/>
      <c r="KAW13" s="114"/>
      <c r="KAX13" s="114"/>
      <c r="KAY13" s="114"/>
      <c r="KAZ13" s="114"/>
      <c r="KBA13" s="114"/>
      <c r="KBB13" s="114"/>
      <c r="KBC13" s="114"/>
      <c r="KBD13" s="114"/>
      <c r="KBE13" s="114"/>
      <c r="KBF13" s="114"/>
      <c r="KBG13" s="114"/>
      <c r="KBH13" s="114"/>
      <c r="KBI13" s="114"/>
      <c r="KBJ13" s="114"/>
      <c r="KBK13" s="114"/>
      <c r="KBL13" s="114"/>
      <c r="KBM13" s="114"/>
      <c r="KBN13" s="114"/>
      <c r="KBO13" s="114"/>
      <c r="KBP13" s="114"/>
      <c r="KBQ13" s="114"/>
      <c r="KBR13" s="114"/>
      <c r="KBS13" s="114"/>
      <c r="KBT13" s="114"/>
      <c r="KBU13" s="114"/>
      <c r="KBV13" s="114"/>
      <c r="KBW13" s="114"/>
      <c r="KBX13" s="114"/>
      <c r="KBY13" s="114"/>
      <c r="KBZ13" s="114"/>
      <c r="KCA13" s="114"/>
      <c r="KCB13" s="114"/>
      <c r="KCC13" s="114"/>
      <c r="KCD13" s="114"/>
      <c r="KCE13" s="114"/>
      <c r="KCF13" s="114"/>
      <c r="KCG13" s="114"/>
      <c r="KCH13" s="114"/>
      <c r="KCI13" s="114"/>
      <c r="KCJ13" s="114"/>
      <c r="KCK13" s="114"/>
      <c r="KCL13" s="114"/>
      <c r="KCM13" s="114"/>
      <c r="KCN13" s="114"/>
      <c r="KCO13" s="114"/>
      <c r="KCP13" s="114"/>
      <c r="KCQ13" s="114"/>
      <c r="KCR13" s="114"/>
      <c r="KCS13" s="114"/>
      <c r="KCT13" s="114"/>
      <c r="KCU13" s="114"/>
      <c r="KCV13" s="114"/>
      <c r="KCW13" s="114"/>
      <c r="KCX13" s="114"/>
      <c r="KCY13" s="114"/>
      <c r="KCZ13" s="114"/>
      <c r="KDA13" s="114"/>
      <c r="KDB13" s="114"/>
      <c r="KDC13" s="114"/>
      <c r="KDD13" s="114"/>
      <c r="KDE13" s="114"/>
      <c r="KDF13" s="114"/>
      <c r="KDG13" s="114"/>
      <c r="KDH13" s="114"/>
      <c r="KDI13" s="114"/>
      <c r="KDJ13" s="114"/>
      <c r="KDK13" s="114"/>
      <c r="KDL13" s="114"/>
      <c r="KDM13" s="114"/>
      <c r="KDN13" s="114"/>
      <c r="KDO13" s="114"/>
      <c r="KDP13" s="114"/>
      <c r="KDQ13" s="114"/>
      <c r="KDR13" s="114"/>
      <c r="KDS13" s="114"/>
      <c r="KDT13" s="114"/>
      <c r="KDU13" s="114"/>
      <c r="KDV13" s="114"/>
      <c r="KDW13" s="114"/>
      <c r="KDX13" s="114"/>
      <c r="KDY13" s="114"/>
      <c r="KDZ13" s="114"/>
      <c r="KEA13" s="114"/>
      <c r="KEB13" s="114"/>
      <c r="KEC13" s="114"/>
      <c r="KED13" s="114"/>
      <c r="KEE13" s="114"/>
      <c r="KEF13" s="114"/>
      <c r="KEG13" s="114"/>
      <c r="KEH13" s="114"/>
      <c r="KEI13" s="114"/>
      <c r="KEJ13" s="114"/>
      <c r="KEK13" s="114"/>
      <c r="KEL13" s="114"/>
      <c r="KEM13" s="114"/>
      <c r="KEN13" s="114"/>
      <c r="KEO13" s="114"/>
      <c r="KEP13" s="114"/>
      <c r="KEQ13" s="114"/>
      <c r="KER13" s="114"/>
      <c r="KES13" s="114"/>
      <c r="KET13" s="114"/>
      <c r="KEU13" s="114"/>
      <c r="KEV13" s="114"/>
      <c r="KEW13" s="114"/>
      <c r="KEX13" s="114"/>
      <c r="KEY13" s="114"/>
      <c r="KEZ13" s="114"/>
      <c r="KFA13" s="114"/>
      <c r="KFB13" s="114"/>
      <c r="KFC13" s="114"/>
      <c r="KFD13" s="114"/>
      <c r="KFE13" s="114"/>
      <c r="KFF13" s="114"/>
      <c r="KFG13" s="114"/>
      <c r="KFH13" s="114"/>
      <c r="KFI13" s="114"/>
      <c r="KFJ13" s="114"/>
      <c r="KFK13" s="114"/>
      <c r="KFL13" s="114"/>
      <c r="KFM13" s="114"/>
      <c r="KFN13" s="114"/>
      <c r="KFO13" s="114"/>
      <c r="KFP13" s="114"/>
      <c r="KFQ13" s="114"/>
      <c r="KFR13" s="114"/>
      <c r="KFS13" s="114"/>
      <c r="KFT13" s="114"/>
      <c r="KFU13" s="114"/>
      <c r="KFV13" s="114"/>
      <c r="KFW13" s="114"/>
      <c r="KFX13" s="114"/>
      <c r="KFY13" s="114"/>
      <c r="KFZ13" s="114"/>
      <c r="KGA13" s="114"/>
      <c r="KGB13" s="114"/>
      <c r="KGC13" s="114"/>
      <c r="KGD13" s="114"/>
      <c r="KGE13" s="114"/>
      <c r="KGF13" s="114"/>
      <c r="KGG13" s="114"/>
      <c r="KGH13" s="114"/>
      <c r="KGI13" s="114"/>
      <c r="KGJ13" s="114"/>
      <c r="KGK13" s="114"/>
      <c r="KGL13" s="114"/>
      <c r="KGM13" s="114"/>
      <c r="KGN13" s="114"/>
      <c r="KGO13" s="114"/>
      <c r="KGP13" s="114"/>
      <c r="KGQ13" s="114"/>
      <c r="KGR13" s="114"/>
      <c r="KGS13" s="114"/>
      <c r="KGT13" s="114"/>
      <c r="KGU13" s="114"/>
      <c r="KGV13" s="114"/>
      <c r="KGW13" s="114"/>
      <c r="KGX13" s="114"/>
      <c r="KGY13" s="114"/>
      <c r="KGZ13" s="114"/>
      <c r="KHA13" s="114"/>
      <c r="KHB13" s="114"/>
      <c r="KHC13" s="114"/>
      <c r="KHD13" s="114"/>
      <c r="KHE13" s="114"/>
      <c r="KHF13" s="114"/>
      <c r="KHG13" s="114"/>
      <c r="KHH13" s="114"/>
      <c r="KHI13" s="114"/>
      <c r="KHJ13" s="114"/>
      <c r="KHK13" s="114"/>
      <c r="KHL13" s="114"/>
      <c r="KHM13" s="114"/>
      <c r="KHN13" s="114"/>
      <c r="KHO13" s="114"/>
      <c r="KHP13" s="114"/>
      <c r="KHQ13" s="114"/>
      <c r="KHR13" s="114"/>
      <c r="KHS13" s="114"/>
      <c r="KHT13" s="114"/>
      <c r="KHU13" s="114"/>
      <c r="KHV13" s="114"/>
      <c r="KHW13" s="114"/>
      <c r="KHX13" s="114"/>
      <c r="KHY13" s="114"/>
      <c r="KHZ13" s="114"/>
      <c r="KIA13" s="114"/>
      <c r="KIB13" s="114"/>
      <c r="KIC13" s="114"/>
      <c r="KID13" s="114"/>
      <c r="KIE13" s="114"/>
      <c r="KIF13" s="114"/>
      <c r="KIG13" s="114"/>
      <c r="KIH13" s="114"/>
      <c r="KII13" s="114"/>
      <c r="KIJ13" s="114"/>
      <c r="KIK13" s="114"/>
      <c r="KIL13" s="114"/>
      <c r="KIM13" s="114"/>
      <c r="KIN13" s="114"/>
      <c r="KIO13" s="114"/>
      <c r="KIP13" s="114"/>
      <c r="KIQ13" s="114"/>
      <c r="KIR13" s="114"/>
      <c r="KIS13" s="114"/>
      <c r="KIT13" s="114"/>
      <c r="KIU13" s="114"/>
      <c r="KIV13" s="114"/>
      <c r="KIW13" s="114"/>
      <c r="KIX13" s="114"/>
      <c r="KIY13" s="114"/>
      <c r="KIZ13" s="114"/>
      <c r="KJA13" s="114"/>
      <c r="KJB13" s="114"/>
      <c r="KJC13" s="114"/>
      <c r="KJD13" s="114"/>
      <c r="KJE13" s="114"/>
      <c r="KJF13" s="114"/>
      <c r="KJG13" s="114"/>
      <c r="KJH13" s="114"/>
      <c r="KJI13" s="114"/>
      <c r="KJJ13" s="114"/>
      <c r="KJK13" s="114"/>
      <c r="KJL13" s="114"/>
      <c r="KJM13" s="114"/>
      <c r="KJN13" s="114"/>
      <c r="KJO13" s="114"/>
      <c r="KJP13" s="114"/>
      <c r="KJQ13" s="114"/>
      <c r="KJR13" s="114"/>
      <c r="KJS13" s="114"/>
      <c r="KJT13" s="114"/>
      <c r="KJU13" s="114"/>
      <c r="KJV13" s="114"/>
      <c r="KJW13" s="114"/>
      <c r="KJX13" s="114"/>
      <c r="KJY13" s="114"/>
      <c r="KJZ13" s="114"/>
      <c r="KKA13" s="114"/>
      <c r="KKB13" s="114"/>
      <c r="KKC13" s="114"/>
      <c r="KKD13" s="114"/>
      <c r="KKE13" s="114"/>
      <c r="KKF13" s="114"/>
      <c r="KKG13" s="114"/>
      <c r="KKH13" s="114"/>
      <c r="KKI13" s="114"/>
      <c r="KKJ13" s="114"/>
      <c r="KKK13" s="114"/>
      <c r="KKL13" s="114"/>
      <c r="KKM13" s="114"/>
      <c r="KKN13" s="114"/>
      <c r="KKO13" s="114"/>
      <c r="KKP13" s="114"/>
      <c r="KKQ13" s="114"/>
      <c r="KKR13" s="114"/>
      <c r="KKS13" s="114"/>
      <c r="KKT13" s="114"/>
      <c r="KKU13" s="114"/>
      <c r="KKV13" s="114"/>
      <c r="KKW13" s="114"/>
      <c r="KKX13" s="114"/>
      <c r="KKY13" s="114"/>
      <c r="KKZ13" s="114"/>
      <c r="KLA13" s="114"/>
      <c r="KLB13" s="114"/>
      <c r="KLC13" s="114"/>
      <c r="KLD13" s="114"/>
      <c r="KLE13" s="114"/>
      <c r="KLF13" s="114"/>
      <c r="KLG13" s="114"/>
      <c r="KLH13" s="114"/>
      <c r="KLI13" s="114"/>
      <c r="KLJ13" s="114"/>
      <c r="KLK13" s="114"/>
      <c r="KLL13" s="114"/>
      <c r="KLM13" s="114"/>
      <c r="KLN13" s="114"/>
      <c r="KLO13" s="114"/>
      <c r="KLP13" s="114"/>
      <c r="KLQ13" s="114"/>
      <c r="KLR13" s="114"/>
      <c r="KLS13" s="114"/>
      <c r="KLT13" s="114"/>
      <c r="KLU13" s="114"/>
      <c r="KLV13" s="114"/>
      <c r="KLW13" s="114"/>
      <c r="KLX13" s="114"/>
      <c r="KLY13" s="114"/>
      <c r="KLZ13" s="114"/>
      <c r="KMA13" s="114"/>
      <c r="KMB13" s="114"/>
      <c r="KMC13" s="114"/>
      <c r="KMD13" s="114"/>
      <c r="KME13" s="114"/>
      <c r="KMF13" s="114"/>
      <c r="KMG13" s="114"/>
      <c r="KMH13" s="114"/>
      <c r="KMI13" s="114"/>
      <c r="KMJ13" s="114"/>
      <c r="KMK13" s="114"/>
      <c r="KML13" s="114"/>
      <c r="KMM13" s="114"/>
      <c r="KMN13" s="114"/>
      <c r="KMO13" s="114"/>
      <c r="KMP13" s="114"/>
      <c r="KMQ13" s="114"/>
      <c r="KMR13" s="114"/>
      <c r="KMS13" s="114"/>
      <c r="KMT13" s="114"/>
      <c r="KMU13" s="114"/>
      <c r="KMV13" s="114"/>
      <c r="KMW13" s="114"/>
      <c r="KMX13" s="114"/>
      <c r="KMY13" s="114"/>
      <c r="KMZ13" s="114"/>
      <c r="KNA13" s="114"/>
      <c r="KNB13" s="114"/>
      <c r="KNC13" s="114"/>
      <c r="KND13" s="114"/>
      <c r="KNE13" s="114"/>
      <c r="KNF13" s="114"/>
      <c r="KNG13" s="114"/>
      <c r="KNH13" s="114"/>
      <c r="KNI13" s="114"/>
      <c r="KNJ13" s="114"/>
      <c r="KNK13" s="114"/>
      <c r="KNL13" s="114"/>
      <c r="KNM13" s="114"/>
      <c r="KNN13" s="114"/>
      <c r="KNO13" s="114"/>
      <c r="KNP13" s="114"/>
      <c r="KNQ13" s="114"/>
      <c r="KNR13" s="114"/>
      <c r="KNS13" s="114"/>
      <c r="KNT13" s="114"/>
      <c r="KNU13" s="114"/>
      <c r="KNV13" s="114"/>
      <c r="KNW13" s="114"/>
      <c r="KNX13" s="114"/>
      <c r="KNY13" s="114"/>
      <c r="KNZ13" s="114"/>
      <c r="KOA13" s="114"/>
      <c r="KOB13" s="114"/>
      <c r="KOC13" s="114"/>
      <c r="KOD13" s="114"/>
      <c r="KOE13" s="114"/>
      <c r="KOF13" s="114"/>
      <c r="KOG13" s="114"/>
      <c r="KOH13" s="114"/>
      <c r="KOI13" s="114"/>
      <c r="KOJ13" s="114"/>
      <c r="KOK13" s="114"/>
      <c r="KOL13" s="114"/>
      <c r="KOM13" s="114"/>
      <c r="KON13" s="114"/>
      <c r="KOO13" s="114"/>
      <c r="KOP13" s="114"/>
      <c r="KOQ13" s="114"/>
      <c r="KOR13" s="114"/>
      <c r="KOS13" s="114"/>
      <c r="KOT13" s="114"/>
      <c r="KOU13" s="114"/>
      <c r="KOV13" s="114"/>
      <c r="KOW13" s="114"/>
      <c r="KOX13" s="114"/>
      <c r="KOY13" s="114"/>
      <c r="KOZ13" s="114"/>
      <c r="KPA13" s="114"/>
      <c r="KPB13" s="114"/>
      <c r="KPC13" s="114"/>
      <c r="KPD13" s="114"/>
      <c r="KPE13" s="114"/>
      <c r="KPF13" s="114"/>
      <c r="KPG13" s="114"/>
      <c r="KPH13" s="114"/>
      <c r="KPI13" s="114"/>
      <c r="KPJ13" s="114"/>
      <c r="KPK13" s="114"/>
      <c r="KPL13" s="114"/>
      <c r="KPM13" s="114"/>
      <c r="KPN13" s="114"/>
      <c r="KPO13" s="114"/>
      <c r="KPP13" s="114"/>
      <c r="KPQ13" s="114"/>
      <c r="KPR13" s="114"/>
      <c r="KPS13" s="114"/>
      <c r="KPT13" s="114"/>
      <c r="KPU13" s="114"/>
      <c r="KPV13" s="114"/>
      <c r="KPW13" s="114"/>
      <c r="KPX13" s="114"/>
      <c r="KPY13" s="114"/>
      <c r="KPZ13" s="114"/>
      <c r="KQA13" s="114"/>
      <c r="KQB13" s="114"/>
      <c r="KQC13" s="114"/>
      <c r="KQD13" s="114"/>
      <c r="KQE13" s="114"/>
      <c r="KQF13" s="114"/>
      <c r="KQG13" s="114"/>
      <c r="KQH13" s="114"/>
      <c r="KQI13" s="114"/>
      <c r="KQJ13" s="114"/>
      <c r="KQK13" s="114"/>
      <c r="KQL13" s="114"/>
      <c r="KQM13" s="114"/>
      <c r="KQN13" s="114"/>
      <c r="KQO13" s="114"/>
      <c r="KQP13" s="114"/>
      <c r="KQQ13" s="114"/>
      <c r="KQR13" s="114"/>
      <c r="KQS13" s="114"/>
      <c r="KQT13" s="114"/>
      <c r="KQU13" s="114"/>
      <c r="KQV13" s="114"/>
      <c r="KQW13" s="114"/>
      <c r="KQX13" s="114"/>
      <c r="KQY13" s="114"/>
      <c r="KQZ13" s="114"/>
      <c r="KRA13" s="114"/>
      <c r="KRB13" s="114"/>
      <c r="KRC13" s="114"/>
      <c r="KRD13" s="114"/>
      <c r="KRE13" s="114"/>
      <c r="KRF13" s="114"/>
      <c r="KRG13" s="114"/>
      <c r="KRH13" s="114"/>
      <c r="KRI13" s="114"/>
      <c r="KRJ13" s="114"/>
      <c r="KRK13" s="114"/>
      <c r="KRL13" s="114"/>
      <c r="KRM13" s="114"/>
      <c r="KRN13" s="114"/>
      <c r="KRO13" s="114"/>
      <c r="KRP13" s="114"/>
      <c r="KRQ13" s="114"/>
      <c r="KRR13" s="114"/>
      <c r="KRS13" s="114"/>
      <c r="KRT13" s="114"/>
      <c r="KRU13" s="114"/>
      <c r="KRV13" s="114"/>
      <c r="KRW13" s="114"/>
      <c r="KRX13" s="114"/>
      <c r="KRY13" s="114"/>
      <c r="KRZ13" s="114"/>
      <c r="KSA13" s="114"/>
      <c r="KSB13" s="114"/>
      <c r="KSC13" s="114"/>
      <c r="KSD13" s="114"/>
      <c r="KSE13" s="114"/>
      <c r="KSF13" s="114"/>
      <c r="KSG13" s="114"/>
      <c r="KSH13" s="114"/>
      <c r="KSI13" s="114"/>
      <c r="KSJ13" s="114"/>
      <c r="KSK13" s="114"/>
      <c r="KSL13" s="114"/>
      <c r="KSM13" s="114"/>
      <c r="KSN13" s="114"/>
      <c r="KSO13" s="114"/>
      <c r="KSP13" s="114"/>
      <c r="KSQ13" s="114"/>
      <c r="KSR13" s="114"/>
      <c r="KSS13" s="114"/>
      <c r="KST13" s="114"/>
      <c r="KSU13" s="114"/>
      <c r="KSV13" s="114"/>
      <c r="KSW13" s="114"/>
      <c r="KSX13" s="114"/>
      <c r="KSY13" s="114"/>
      <c r="KSZ13" s="114"/>
      <c r="KTA13" s="114"/>
      <c r="KTB13" s="114"/>
      <c r="KTC13" s="114"/>
      <c r="KTD13" s="114"/>
      <c r="KTE13" s="114"/>
      <c r="KTF13" s="114"/>
      <c r="KTG13" s="114"/>
      <c r="KTH13" s="114"/>
      <c r="KTI13" s="114"/>
      <c r="KTJ13" s="114"/>
      <c r="KTK13" s="114"/>
      <c r="KTL13" s="114"/>
      <c r="KTM13" s="114"/>
      <c r="KTN13" s="114"/>
      <c r="KTO13" s="114"/>
      <c r="KTP13" s="114"/>
      <c r="KTQ13" s="114"/>
      <c r="KTR13" s="114"/>
      <c r="KTS13" s="114"/>
      <c r="KTT13" s="114"/>
      <c r="KTU13" s="114"/>
      <c r="KTV13" s="114"/>
      <c r="KTW13" s="114"/>
      <c r="KTX13" s="114"/>
      <c r="KTY13" s="114"/>
      <c r="KTZ13" s="114"/>
      <c r="KUA13" s="114"/>
      <c r="KUB13" s="114"/>
      <c r="KUC13" s="114"/>
      <c r="KUD13" s="114"/>
      <c r="KUE13" s="114"/>
      <c r="KUF13" s="114"/>
      <c r="KUG13" s="114"/>
      <c r="KUH13" s="114"/>
      <c r="KUI13" s="114"/>
      <c r="KUJ13" s="114"/>
      <c r="KUK13" s="114"/>
      <c r="KUL13" s="114"/>
      <c r="KUM13" s="114"/>
      <c r="KUN13" s="114"/>
      <c r="KUO13" s="114"/>
      <c r="KUP13" s="114"/>
      <c r="KUQ13" s="114"/>
      <c r="KUR13" s="114"/>
      <c r="KUS13" s="114"/>
      <c r="KUT13" s="114"/>
      <c r="KUU13" s="114"/>
      <c r="KUV13" s="114"/>
      <c r="KUW13" s="114"/>
      <c r="KUX13" s="114"/>
      <c r="KUY13" s="114"/>
      <c r="KUZ13" s="114"/>
      <c r="KVA13" s="114"/>
      <c r="KVB13" s="114"/>
      <c r="KVC13" s="114"/>
      <c r="KVD13" s="114"/>
      <c r="KVE13" s="114"/>
      <c r="KVF13" s="114"/>
      <c r="KVG13" s="114"/>
      <c r="KVH13" s="114"/>
      <c r="KVI13" s="114"/>
      <c r="KVJ13" s="114"/>
      <c r="KVK13" s="114"/>
      <c r="KVL13" s="114"/>
      <c r="KVM13" s="114"/>
      <c r="KVN13" s="114"/>
      <c r="KVO13" s="114"/>
      <c r="KVP13" s="114"/>
      <c r="KVQ13" s="114"/>
      <c r="KVR13" s="114"/>
      <c r="KVS13" s="114"/>
      <c r="KVT13" s="114"/>
      <c r="KVU13" s="114"/>
      <c r="KVV13" s="114"/>
      <c r="KVW13" s="114"/>
      <c r="KVX13" s="114"/>
      <c r="KVY13" s="114"/>
      <c r="KVZ13" s="114"/>
      <c r="KWA13" s="114"/>
      <c r="KWB13" s="114"/>
      <c r="KWC13" s="114"/>
      <c r="KWD13" s="114"/>
      <c r="KWE13" s="114"/>
      <c r="KWF13" s="114"/>
      <c r="KWG13" s="114"/>
      <c r="KWH13" s="114"/>
      <c r="KWI13" s="114"/>
      <c r="KWJ13" s="114"/>
      <c r="KWK13" s="114"/>
      <c r="KWL13" s="114"/>
      <c r="KWM13" s="114"/>
      <c r="KWN13" s="114"/>
      <c r="KWO13" s="114"/>
      <c r="KWP13" s="114"/>
      <c r="KWQ13" s="114"/>
      <c r="KWR13" s="114"/>
      <c r="KWS13" s="114"/>
      <c r="KWT13" s="114"/>
      <c r="KWU13" s="114"/>
      <c r="KWV13" s="114"/>
      <c r="KWW13" s="114"/>
      <c r="KWX13" s="114"/>
      <c r="KWY13" s="114"/>
      <c r="KWZ13" s="114"/>
      <c r="KXA13" s="114"/>
      <c r="KXB13" s="114"/>
      <c r="KXC13" s="114"/>
      <c r="KXD13" s="114"/>
      <c r="KXE13" s="114"/>
      <c r="KXF13" s="114"/>
      <c r="KXG13" s="114"/>
      <c r="KXH13" s="114"/>
      <c r="KXI13" s="114"/>
      <c r="KXJ13" s="114"/>
      <c r="KXK13" s="114"/>
      <c r="KXL13" s="114"/>
      <c r="KXM13" s="114"/>
      <c r="KXN13" s="114"/>
      <c r="KXO13" s="114"/>
      <c r="KXP13" s="114"/>
      <c r="KXQ13" s="114"/>
      <c r="KXR13" s="114"/>
      <c r="KXS13" s="114"/>
      <c r="KXT13" s="114"/>
      <c r="KXU13" s="114"/>
      <c r="KXV13" s="114"/>
      <c r="KXW13" s="114"/>
      <c r="KXX13" s="114"/>
      <c r="KXY13" s="114"/>
      <c r="KXZ13" s="114"/>
      <c r="KYA13" s="114"/>
      <c r="KYB13" s="114"/>
      <c r="KYC13" s="114"/>
      <c r="KYD13" s="114"/>
      <c r="KYE13" s="114"/>
      <c r="KYF13" s="114"/>
      <c r="KYG13" s="114"/>
      <c r="KYH13" s="114"/>
      <c r="KYI13" s="114"/>
      <c r="KYJ13" s="114"/>
      <c r="KYK13" s="114"/>
      <c r="KYL13" s="114"/>
      <c r="KYM13" s="114"/>
      <c r="KYN13" s="114"/>
      <c r="KYO13" s="114"/>
      <c r="KYP13" s="114"/>
      <c r="KYQ13" s="114"/>
      <c r="KYR13" s="114"/>
      <c r="KYS13" s="114"/>
      <c r="KYT13" s="114"/>
      <c r="KYU13" s="114"/>
      <c r="KYV13" s="114"/>
      <c r="KYW13" s="114"/>
      <c r="KYX13" s="114"/>
      <c r="KYY13" s="114"/>
      <c r="KYZ13" s="114"/>
      <c r="KZA13" s="114"/>
      <c r="KZB13" s="114"/>
      <c r="KZC13" s="114"/>
      <c r="KZD13" s="114"/>
      <c r="KZE13" s="114"/>
      <c r="KZF13" s="114"/>
      <c r="KZG13" s="114"/>
      <c r="KZH13" s="114"/>
      <c r="KZI13" s="114"/>
      <c r="KZJ13" s="114"/>
      <c r="KZK13" s="114"/>
      <c r="KZL13" s="114"/>
      <c r="KZM13" s="114"/>
      <c r="KZN13" s="114"/>
      <c r="KZO13" s="114"/>
      <c r="KZP13" s="114"/>
      <c r="KZQ13" s="114"/>
      <c r="KZR13" s="114"/>
      <c r="KZS13" s="114"/>
      <c r="KZT13" s="114"/>
      <c r="KZU13" s="114"/>
      <c r="KZV13" s="114"/>
      <c r="KZW13" s="114"/>
      <c r="KZX13" s="114"/>
      <c r="KZY13" s="114"/>
      <c r="KZZ13" s="114"/>
      <c r="LAA13" s="114"/>
      <c r="LAB13" s="114"/>
      <c r="LAC13" s="114"/>
      <c r="LAD13" s="114"/>
      <c r="LAE13" s="114"/>
      <c r="LAF13" s="114"/>
      <c r="LAG13" s="114"/>
      <c r="LAH13" s="114"/>
      <c r="LAI13" s="114"/>
      <c r="LAJ13" s="114"/>
      <c r="LAK13" s="114"/>
      <c r="LAL13" s="114"/>
      <c r="LAM13" s="114"/>
      <c r="LAN13" s="114"/>
      <c r="LAO13" s="114"/>
      <c r="LAP13" s="114"/>
      <c r="LAQ13" s="114"/>
      <c r="LAR13" s="114"/>
      <c r="LAS13" s="114"/>
      <c r="LAT13" s="114"/>
      <c r="LAU13" s="114"/>
      <c r="LAV13" s="114"/>
      <c r="LAW13" s="114"/>
      <c r="LAX13" s="114"/>
      <c r="LAY13" s="114"/>
      <c r="LAZ13" s="114"/>
      <c r="LBA13" s="114"/>
      <c r="LBB13" s="114"/>
      <c r="LBC13" s="114"/>
      <c r="LBD13" s="114"/>
      <c r="LBE13" s="114"/>
      <c r="LBF13" s="114"/>
      <c r="LBG13" s="114"/>
      <c r="LBH13" s="114"/>
      <c r="LBI13" s="114"/>
      <c r="LBJ13" s="114"/>
      <c r="LBK13" s="114"/>
      <c r="LBL13" s="114"/>
      <c r="LBM13" s="114"/>
      <c r="LBN13" s="114"/>
      <c r="LBO13" s="114"/>
      <c r="LBP13" s="114"/>
      <c r="LBQ13" s="114"/>
      <c r="LBR13" s="114"/>
      <c r="LBS13" s="114"/>
      <c r="LBT13" s="114"/>
      <c r="LBU13" s="114"/>
      <c r="LBV13" s="114"/>
      <c r="LBW13" s="114"/>
      <c r="LBX13" s="114"/>
      <c r="LBY13" s="114"/>
      <c r="LBZ13" s="114"/>
      <c r="LCA13" s="114"/>
      <c r="LCB13" s="114"/>
      <c r="LCC13" s="114"/>
      <c r="LCD13" s="114"/>
      <c r="LCE13" s="114"/>
      <c r="LCF13" s="114"/>
      <c r="LCG13" s="114"/>
      <c r="LCH13" s="114"/>
      <c r="LCI13" s="114"/>
      <c r="LCJ13" s="114"/>
      <c r="LCK13" s="114"/>
      <c r="LCL13" s="114"/>
      <c r="LCM13" s="114"/>
      <c r="LCN13" s="114"/>
      <c r="LCO13" s="114"/>
      <c r="LCP13" s="114"/>
      <c r="LCQ13" s="114"/>
      <c r="LCR13" s="114"/>
      <c r="LCS13" s="114"/>
      <c r="LCT13" s="114"/>
      <c r="LCU13" s="114"/>
      <c r="LCV13" s="114"/>
      <c r="LCW13" s="114"/>
      <c r="LCX13" s="114"/>
      <c r="LCY13" s="114"/>
      <c r="LCZ13" s="114"/>
      <c r="LDA13" s="114"/>
      <c r="LDB13" s="114"/>
      <c r="LDC13" s="114"/>
      <c r="LDD13" s="114"/>
      <c r="LDE13" s="114"/>
      <c r="LDF13" s="114"/>
      <c r="LDG13" s="114"/>
      <c r="LDH13" s="114"/>
      <c r="LDI13" s="114"/>
      <c r="LDJ13" s="114"/>
      <c r="LDK13" s="114"/>
      <c r="LDL13" s="114"/>
      <c r="LDM13" s="114"/>
      <c r="LDN13" s="114"/>
      <c r="LDO13" s="114"/>
      <c r="LDP13" s="114"/>
      <c r="LDQ13" s="114"/>
      <c r="LDR13" s="114"/>
      <c r="LDS13" s="114"/>
      <c r="LDT13" s="114"/>
      <c r="LDU13" s="114"/>
      <c r="LDV13" s="114"/>
      <c r="LDW13" s="114"/>
      <c r="LDX13" s="114"/>
      <c r="LDY13" s="114"/>
      <c r="LDZ13" s="114"/>
      <c r="LEA13" s="114"/>
      <c r="LEB13" s="114"/>
      <c r="LEC13" s="114"/>
      <c r="LED13" s="114"/>
      <c r="LEE13" s="114"/>
      <c r="LEF13" s="114"/>
      <c r="LEG13" s="114"/>
      <c r="LEH13" s="114"/>
      <c r="LEI13" s="114"/>
      <c r="LEJ13" s="114"/>
      <c r="LEK13" s="114"/>
      <c r="LEL13" s="114"/>
      <c r="LEM13" s="114"/>
      <c r="LEN13" s="114"/>
      <c r="LEO13" s="114"/>
      <c r="LEP13" s="114"/>
      <c r="LEQ13" s="114"/>
      <c r="LER13" s="114"/>
      <c r="LES13" s="114"/>
      <c r="LET13" s="114"/>
      <c r="LEU13" s="114"/>
      <c r="LEV13" s="114"/>
      <c r="LEW13" s="114"/>
      <c r="LEX13" s="114"/>
      <c r="LEY13" s="114"/>
      <c r="LEZ13" s="114"/>
      <c r="LFA13" s="114"/>
      <c r="LFB13" s="114"/>
      <c r="LFC13" s="114"/>
      <c r="LFD13" s="114"/>
      <c r="LFE13" s="114"/>
      <c r="LFF13" s="114"/>
      <c r="LFG13" s="114"/>
      <c r="LFH13" s="114"/>
      <c r="LFI13" s="114"/>
      <c r="LFJ13" s="114"/>
      <c r="LFK13" s="114"/>
      <c r="LFL13" s="114"/>
      <c r="LFM13" s="114"/>
      <c r="LFN13" s="114"/>
      <c r="LFO13" s="114"/>
      <c r="LFP13" s="114"/>
      <c r="LFQ13" s="114"/>
      <c r="LFR13" s="114"/>
      <c r="LFS13" s="114"/>
      <c r="LFT13" s="114"/>
      <c r="LFU13" s="114"/>
      <c r="LFV13" s="114"/>
      <c r="LFW13" s="114"/>
      <c r="LFX13" s="114"/>
      <c r="LFY13" s="114"/>
      <c r="LFZ13" s="114"/>
      <c r="LGA13" s="114"/>
      <c r="LGB13" s="114"/>
      <c r="LGC13" s="114"/>
      <c r="LGD13" s="114"/>
      <c r="LGE13" s="114"/>
      <c r="LGF13" s="114"/>
      <c r="LGG13" s="114"/>
      <c r="LGH13" s="114"/>
      <c r="LGI13" s="114"/>
      <c r="LGJ13" s="114"/>
      <c r="LGK13" s="114"/>
      <c r="LGL13" s="114"/>
      <c r="LGM13" s="114"/>
      <c r="LGN13" s="114"/>
      <c r="LGO13" s="114"/>
      <c r="LGP13" s="114"/>
      <c r="LGQ13" s="114"/>
      <c r="LGR13" s="114"/>
      <c r="LGS13" s="114"/>
      <c r="LGT13" s="114"/>
      <c r="LGU13" s="114"/>
      <c r="LGV13" s="114"/>
      <c r="LGW13" s="114"/>
      <c r="LGX13" s="114"/>
      <c r="LGY13" s="114"/>
      <c r="LGZ13" s="114"/>
      <c r="LHA13" s="114"/>
      <c r="LHB13" s="114"/>
      <c r="LHC13" s="114"/>
      <c r="LHD13" s="114"/>
      <c r="LHE13" s="114"/>
      <c r="LHF13" s="114"/>
      <c r="LHG13" s="114"/>
      <c r="LHH13" s="114"/>
      <c r="LHI13" s="114"/>
      <c r="LHJ13" s="114"/>
      <c r="LHK13" s="114"/>
      <c r="LHL13" s="114"/>
      <c r="LHM13" s="114"/>
      <c r="LHN13" s="114"/>
      <c r="LHO13" s="114"/>
      <c r="LHP13" s="114"/>
      <c r="LHQ13" s="114"/>
      <c r="LHR13" s="114"/>
      <c r="LHS13" s="114"/>
      <c r="LHT13" s="114"/>
      <c r="LHU13" s="114"/>
      <c r="LHV13" s="114"/>
      <c r="LHW13" s="114"/>
      <c r="LHX13" s="114"/>
      <c r="LHY13" s="114"/>
      <c r="LHZ13" s="114"/>
      <c r="LIA13" s="114"/>
      <c r="LIB13" s="114"/>
      <c r="LIC13" s="114"/>
      <c r="LID13" s="114"/>
      <c r="LIE13" s="114"/>
      <c r="LIF13" s="114"/>
      <c r="LIG13" s="114"/>
      <c r="LIH13" s="114"/>
      <c r="LII13" s="114"/>
      <c r="LIJ13" s="114"/>
      <c r="LIK13" s="114"/>
      <c r="LIL13" s="114"/>
      <c r="LIM13" s="114"/>
      <c r="LIN13" s="114"/>
      <c r="LIO13" s="114"/>
      <c r="LIP13" s="114"/>
      <c r="LIQ13" s="114"/>
      <c r="LIR13" s="114"/>
      <c r="LIS13" s="114"/>
      <c r="LIT13" s="114"/>
      <c r="LIU13" s="114"/>
      <c r="LIV13" s="114"/>
      <c r="LIW13" s="114"/>
      <c r="LIX13" s="114"/>
      <c r="LIY13" s="114"/>
      <c r="LIZ13" s="114"/>
      <c r="LJA13" s="114"/>
      <c r="LJB13" s="114"/>
      <c r="LJC13" s="114"/>
      <c r="LJD13" s="114"/>
      <c r="LJE13" s="114"/>
      <c r="LJF13" s="114"/>
      <c r="LJG13" s="114"/>
      <c r="LJH13" s="114"/>
      <c r="LJI13" s="114"/>
      <c r="LJJ13" s="114"/>
      <c r="LJK13" s="114"/>
      <c r="LJL13" s="114"/>
      <c r="LJM13" s="114"/>
      <c r="LJN13" s="114"/>
      <c r="LJO13" s="114"/>
      <c r="LJP13" s="114"/>
      <c r="LJQ13" s="114"/>
      <c r="LJR13" s="114"/>
      <c r="LJS13" s="114"/>
      <c r="LJT13" s="114"/>
      <c r="LJU13" s="114"/>
      <c r="LJV13" s="114"/>
      <c r="LJW13" s="114"/>
      <c r="LJX13" s="114"/>
      <c r="LJY13" s="114"/>
      <c r="LJZ13" s="114"/>
      <c r="LKA13" s="114"/>
      <c r="LKB13" s="114"/>
      <c r="LKC13" s="114"/>
      <c r="LKD13" s="114"/>
      <c r="LKE13" s="114"/>
      <c r="LKF13" s="114"/>
      <c r="LKG13" s="114"/>
      <c r="LKH13" s="114"/>
      <c r="LKI13" s="114"/>
      <c r="LKJ13" s="114"/>
      <c r="LKK13" s="114"/>
      <c r="LKL13" s="114"/>
      <c r="LKM13" s="114"/>
      <c r="LKN13" s="114"/>
      <c r="LKO13" s="114"/>
      <c r="LKP13" s="114"/>
      <c r="LKQ13" s="114"/>
      <c r="LKR13" s="114"/>
      <c r="LKS13" s="114"/>
      <c r="LKT13" s="114"/>
      <c r="LKU13" s="114"/>
      <c r="LKV13" s="114"/>
      <c r="LKW13" s="114"/>
      <c r="LKX13" s="114"/>
      <c r="LKY13" s="114"/>
      <c r="LKZ13" s="114"/>
      <c r="LLA13" s="114"/>
      <c r="LLB13" s="114"/>
      <c r="LLC13" s="114"/>
      <c r="LLD13" s="114"/>
      <c r="LLE13" s="114"/>
      <c r="LLF13" s="114"/>
      <c r="LLG13" s="114"/>
      <c r="LLH13" s="114"/>
      <c r="LLI13" s="114"/>
      <c r="LLJ13" s="114"/>
      <c r="LLK13" s="114"/>
      <c r="LLL13" s="114"/>
      <c r="LLM13" s="114"/>
      <c r="LLN13" s="114"/>
      <c r="LLO13" s="114"/>
      <c r="LLP13" s="114"/>
      <c r="LLQ13" s="114"/>
      <c r="LLR13" s="114"/>
      <c r="LLS13" s="114"/>
      <c r="LLT13" s="114"/>
      <c r="LLU13" s="114"/>
      <c r="LLV13" s="114"/>
      <c r="LLW13" s="114"/>
      <c r="LLX13" s="114"/>
      <c r="LLY13" s="114"/>
      <c r="LLZ13" s="114"/>
      <c r="LMA13" s="114"/>
      <c r="LMB13" s="114"/>
      <c r="LMC13" s="114"/>
      <c r="LMD13" s="114"/>
      <c r="LME13" s="114"/>
      <c r="LMF13" s="114"/>
      <c r="LMG13" s="114"/>
      <c r="LMH13" s="114"/>
      <c r="LMI13" s="114"/>
      <c r="LMJ13" s="114"/>
      <c r="LMK13" s="114"/>
      <c r="LML13" s="114"/>
      <c r="LMM13" s="114"/>
      <c r="LMN13" s="114"/>
      <c r="LMO13" s="114"/>
      <c r="LMP13" s="114"/>
      <c r="LMQ13" s="114"/>
      <c r="LMR13" s="114"/>
      <c r="LMS13" s="114"/>
      <c r="LMT13" s="114"/>
      <c r="LMU13" s="114"/>
      <c r="LMV13" s="114"/>
      <c r="LMW13" s="114"/>
      <c r="LMX13" s="114"/>
      <c r="LMY13" s="114"/>
      <c r="LMZ13" s="114"/>
      <c r="LNA13" s="114"/>
      <c r="LNB13" s="114"/>
      <c r="LNC13" s="114"/>
      <c r="LND13" s="114"/>
      <c r="LNE13" s="114"/>
      <c r="LNF13" s="114"/>
      <c r="LNG13" s="114"/>
      <c r="LNH13" s="114"/>
      <c r="LNI13" s="114"/>
      <c r="LNJ13" s="114"/>
      <c r="LNK13" s="114"/>
      <c r="LNL13" s="114"/>
      <c r="LNM13" s="114"/>
      <c r="LNN13" s="114"/>
      <c r="LNO13" s="114"/>
      <c r="LNP13" s="114"/>
      <c r="LNQ13" s="114"/>
      <c r="LNR13" s="114"/>
      <c r="LNS13" s="114"/>
      <c r="LNT13" s="114"/>
      <c r="LNU13" s="114"/>
      <c r="LNV13" s="114"/>
      <c r="LNW13" s="114"/>
      <c r="LNX13" s="114"/>
      <c r="LNY13" s="114"/>
      <c r="LNZ13" s="114"/>
      <c r="LOA13" s="114"/>
      <c r="LOB13" s="114"/>
      <c r="LOC13" s="114"/>
      <c r="LOD13" s="114"/>
      <c r="LOE13" s="114"/>
      <c r="LOF13" s="114"/>
      <c r="LOG13" s="114"/>
      <c r="LOH13" s="114"/>
      <c r="LOI13" s="114"/>
      <c r="LOJ13" s="114"/>
      <c r="LOK13" s="114"/>
      <c r="LOL13" s="114"/>
      <c r="LOM13" s="114"/>
      <c r="LON13" s="114"/>
      <c r="LOO13" s="114"/>
      <c r="LOP13" s="114"/>
      <c r="LOQ13" s="114"/>
      <c r="LOR13" s="114"/>
      <c r="LOS13" s="114"/>
      <c r="LOT13" s="114"/>
      <c r="LOU13" s="114"/>
      <c r="LOV13" s="114"/>
      <c r="LOW13" s="114"/>
      <c r="LOX13" s="114"/>
      <c r="LOY13" s="114"/>
      <c r="LOZ13" s="114"/>
      <c r="LPA13" s="114"/>
      <c r="LPB13" s="114"/>
      <c r="LPC13" s="114"/>
      <c r="LPD13" s="114"/>
      <c r="LPE13" s="114"/>
      <c r="LPF13" s="114"/>
      <c r="LPG13" s="114"/>
      <c r="LPH13" s="114"/>
      <c r="LPI13" s="114"/>
      <c r="LPJ13" s="114"/>
      <c r="LPK13" s="114"/>
      <c r="LPL13" s="114"/>
      <c r="LPM13" s="114"/>
      <c r="LPN13" s="114"/>
      <c r="LPO13" s="114"/>
      <c r="LPP13" s="114"/>
      <c r="LPQ13" s="114"/>
      <c r="LPR13" s="114"/>
      <c r="LPS13" s="114"/>
      <c r="LPT13" s="114"/>
      <c r="LPU13" s="114"/>
      <c r="LPV13" s="114"/>
      <c r="LPW13" s="114"/>
      <c r="LPX13" s="114"/>
      <c r="LPY13" s="114"/>
      <c r="LPZ13" s="114"/>
      <c r="LQA13" s="114"/>
      <c r="LQB13" s="114"/>
      <c r="LQC13" s="114"/>
      <c r="LQD13" s="114"/>
      <c r="LQE13" s="114"/>
      <c r="LQF13" s="114"/>
      <c r="LQG13" s="114"/>
      <c r="LQH13" s="114"/>
      <c r="LQI13" s="114"/>
      <c r="LQJ13" s="114"/>
      <c r="LQK13" s="114"/>
      <c r="LQL13" s="114"/>
      <c r="LQM13" s="114"/>
      <c r="LQN13" s="114"/>
      <c r="LQO13" s="114"/>
      <c r="LQP13" s="114"/>
      <c r="LQQ13" s="114"/>
      <c r="LQR13" s="114"/>
      <c r="LQS13" s="114"/>
      <c r="LQT13" s="114"/>
      <c r="LQU13" s="114"/>
      <c r="LQV13" s="114"/>
      <c r="LQW13" s="114"/>
      <c r="LQX13" s="114"/>
      <c r="LQY13" s="114"/>
      <c r="LQZ13" s="114"/>
      <c r="LRA13" s="114"/>
      <c r="LRB13" s="114"/>
      <c r="LRC13" s="114"/>
      <c r="LRD13" s="114"/>
      <c r="LRE13" s="114"/>
      <c r="LRF13" s="114"/>
      <c r="LRG13" s="114"/>
      <c r="LRH13" s="114"/>
      <c r="LRI13" s="114"/>
      <c r="LRJ13" s="114"/>
      <c r="LRK13" s="114"/>
      <c r="LRL13" s="114"/>
      <c r="LRM13" s="114"/>
      <c r="LRN13" s="114"/>
      <c r="LRO13" s="114"/>
      <c r="LRP13" s="114"/>
      <c r="LRQ13" s="114"/>
      <c r="LRR13" s="114"/>
      <c r="LRS13" s="114"/>
      <c r="LRT13" s="114"/>
      <c r="LRU13" s="114"/>
      <c r="LRV13" s="114"/>
      <c r="LRW13" s="114"/>
      <c r="LRX13" s="114"/>
      <c r="LRY13" s="114"/>
      <c r="LRZ13" s="114"/>
      <c r="LSA13" s="114"/>
      <c r="LSB13" s="114"/>
      <c r="LSC13" s="114"/>
      <c r="LSD13" s="114"/>
      <c r="LSE13" s="114"/>
      <c r="LSF13" s="114"/>
      <c r="LSG13" s="114"/>
      <c r="LSH13" s="114"/>
      <c r="LSI13" s="114"/>
      <c r="LSJ13" s="114"/>
      <c r="LSK13" s="114"/>
      <c r="LSL13" s="114"/>
      <c r="LSM13" s="114"/>
      <c r="LSN13" s="114"/>
      <c r="LSO13" s="114"/>
      <c r="LSP13" s="114"/>
      <c r="LSQ13" s="114"/>
      <c r="LSR13" s="114"/>
      <c r="LSS13" s="114"/>
      <c r="LST13" s="114"/>
      <c r="LSU13" s="114"/>
      <c r="LSV13" s="114"/>
      <c r="LSW13" s="114"/>
      <c r="LSX13" s="114"/>
      <c r="LSY13" s="114"/>
      <c r="LSZ13" s="114"/>
      <c r="LTA13" s="114"/>
      <c r="LTB13" s="114"/>
      <c r="LTC13" s="114"/>
      <c r="LTD13" s="114"/>
      <c r="LTE13" s="114"/>
      <c r="LTF13" s="114"/>
      <c r="LTG13" s="114"/>
      <c r="LTH13" s="114"/>
      <c r="LTI13" s="114"/>
      <c r="LTJ13" s="114"/>
      <c r="LTK13" s="114"/>
      <c r="LTL13" s="114"/>
      <c r="LTM13" s="114"/>
      <c r="LTN13" s="114"/>
      <c r="LTO13" s="114"/>
      <c r="LTP13" s="114"/>
      <c r="LTQ13" s="114"/>
      <c r="LTR13" s="114"/>
      <c r="LTS13" s="114"/>
      <c r="LTT13" s="114"/>
      <c r="LTU13" s="114"/>
      <c r="LTV13" s="114"/>
      <c r="LTW13" s="114"/>
      <c r="LTX13" s="114"/>
      <c r="LTY13" s="114"/>
      <c r="LTZ13" s="114"/>
      <c r="LUA13" s="114"/>
      <c r="LUB13" s="114"/>
      <c r="LUC13" s="114"/>
      <c r="LUD13" s="114"/>
      <c r="LUE13" s="114"/>
      <c r="LUF13" s="114"/>
      <c r="LUG13" s="114"/>
      <c r="LUH13" s="114"/>
      <c r="LUI13" s="114"/>
      <c r="LUJ13" s="114"/>
      <c r="LUK13" s="114"/>
      <c r="LUL13" s="114"/>
      <c r="LUM13" s="114"/>
      <c r="LUN13" s="114"/>
      <c r="LUO13" s="114"/>
      <c r="LUP13" s="114"/>
      <c r="LUQ13" s="114"/>
      <c r="LUR13" s="114"/>
      <c r="LUS13" s="114"/>
      <c r="LUT13" s="114"/>
      <c r="LUU13" s="114"/>
      <c r="LUV13" s="114"/>
      <c r="LUW13" s="114"/>
      <c r="LUX13" s="114"/>
      <c r="LUY13" s="114"/>
      <c r="LUZ13" s="114"/>
      <c r="LVA13" s="114"/>
      <c r="LVB13" s="114"/>
      <c r="LVC13" s="114"/>
      <c r="LVD13" s="114"/>
      <c r="LVE13" s="114"/>
      <c r="LVF13" s="114"/>
      <c r="LVG13" s="114"/>
      <c r="LVH13" s="114"/>
      <c r="LVI13" s="114"/>
      <c r="LVJ13" s="114"/>
      <c r="LVK13" s="114"/>
      <c r="LVL13" s="114"/>
      <c r="LVM13" s="114"/>
      <c r="LVN13" s="114"/>
      <c r="LVO13" s="114"/>
      <c r="LVP13" s="114"/>
      <c r="LVQ13" s="114"/>
      <c r="LVR13" s="114"/>
      <c r="LVS13" s="114"/>
      <c r="LVT13" s="114"/>
      <c r="LVU13" s="114"/>
      <c r="LVV13" s="114"/>
      <c r="LVW13" s="114"/>
      <c r="LVX13" s="114"/>
      <c r="LVY13" s="114"/>
      <c r="LVZ13" s="114"/>
      <c r="LWA13" s="114"/>
      <c r="LWB13" s="114"/>
      <c r="LWC13" s="114"/>
      <c r="LWD13" s="114"/>
      <c r="LWE13" s="114"/>
      <c r="LWF13" s="114"/>
      <c r="LWG13" s="114"/>
      <c r="LWH13" s="114"/>
      <c r="LWI13" s="114"/>
      <c r="LWJ13" s="114"/>
      <c r="LWK13" s="114"/>
      <c r="LWL13" s="114"/>
      <c r="LWM13" s="114"/>
      <c r="LWN13" s="114"/>
      <c r="LWO13" s="114"/>
      <c r="LWP13" s="114"/>
      <c r="LWQ13" s="114"/>
      <c r="LWR13" s="114"/>
      <c r="LWS13" s="114"/>
      <c r="LWT13" s="114"/>
      <c r="LWU13" s="114"/>
      <c r="LWV13" s="114"/>
      <c r="LWW13" s="114"/>
      <c r="LWX13" s="114"/>
      <c r="LWY13" s="114"/>
      <c r="LWZ13" s="114"/>
      <c r="LXA13" s="114"/>
      <c r="LXB13" s="114"/>
      <c r="LXC13" s="114"/>
      <c r="LXD13" s="114"/>
      <c r="LXE13" s="114"/>
      <c r="LXF13" s="114"/>
      <c r="LXG13" s="114"/>
      <c r="LXH13" s="114"/>
      <c r="LXI13" s="114"/>
      <c r="LXJ13" s="114"/>
      <c r="LXK13" s="114"/>
      <c r="LXL13" s="114"/>
      <c r="LXM13" s="114"/>
      <c r="LXN13" s="114"/>
      <c r="LXO13" s="114"/>
      <c r="LXP13" s="114"/>
      <c r="LXQ13" s="114"/>
      <c r="LXR13" s="114"/>
      <c r="LXS13" s="114"/>
      <c r="LXT13" s="114"/>
      <c r="LXU13" s="114"/>
      <c r="LXV13" s="114"/>
      <c r="LXW13" s="114"/>
      <c r="LXX13" s="114"/>
      <c r="LXY13" s="114"/>
      <c r="LXZ13" s="114"/>
      <c r="LYA13" s="114"/>
      <c r="LYB13" s="114"/>
      <c r="LYC13" s="114"/>
      <c r="LYD13" s="114"/>
      <c r="LYE13" s="114"/>
      <c r="LYF13" s="114"/>
      <c r="LYG13" s="114"/>
      <c r="LYH13" s="114"/>
      <c r="LYI13" s="114"/>
      <c r="LYJ13" s="114"/>
      <c r="LYK13" s="114"/>
      <c r="LYL13" s="114"/>
      <c r="LYM13" s="114"/>
      <c r="LYN13" s="114"/>
      <c r="LYO13" s="114"/>
      <c r="LYP13" s="114"/>
      <c r="LYQ13" s="114"/>
      <c r="LYR13" s="114"/>
      <c r="LYS13" s="114"/>
      <c r="LYT13" s="114"/>
      <c r="LYU13" s="114"/>
      <c r="LYV13" s="114"/>
      <c r="LYW13" s="114"/>
      <c r="LYX13" s="114"/>
      <c r="LYY13" s="114"/>
      <c r="LYZ13" s="114"/>
      <c r="LZA13" s="114"/>
      <c r="LZB13" s="114"/>
      <c r="LZC13" s="114"/>
      <c r="LZD13" s="114"/>
      <c r="LZE13" s="114"/>
      <c r="LZF13" s="114"/>
      <c r="LZG13" s="114"/>
      <c r="LZH13" s="114"/>
      <c r="LZI13" s="114"/>
      <c r="LZJ13" s="114"/>
      <c r="LZK13" s="114"/>
      <c r="LZL13" s="114"/>
      <c r="LZM13" s="114"/>
      <c r="LZN13" s="114"/>
      <c r="LZO13" s="114"/>
      <c r="LZP13" s="114"/>
      <c r="LZQ13" s="114"/>
      <c r="LZR13" s="114"/>
      <c r="LZS13" s="114"/>
      <c r="LZT13" s="114"/>
      <c r="LZU13" s="114"/>
      <c r="LZV13" s="114"/>
      <c r="LZW13" s="114"/>
      <c r="LZX13" s="114"/>
      <c r="LZY13" s="114"/>
      <c r="LZZ13" s="114"/>
      <c r="MAA13" s="114"/>
      <c r="MAB13" s="114"/>
      <c r="MAC13" s="114"/>
      <c r="MAD13" s="114"/>
      <c r="MAE13" s="114"/>
      <c r="MAF13" s="114"/>
      <c r="MAG13" s="114"/>
      <c r="MAH13" s="114"/>
      <c r="MAI13" s="114"/>
      <c r="MAJ13" s="114"/>
      <c r="MAK13" s="114"/>
      <c r="MAL13" s="114"/>
      <c r="MAM13" s="114"/>
      <c r="MAN13" s="114"/>
      <c r="MAO13" s="114"/>
      <c r="MAP13" s="114"/>
      <c r="MAQ13" s="114"/>
      <c r="MAR13" s="114"/>
      <c r="MAS13" s="114"/>
      <c r="MAT13" s="114"/>
      <c r="MAU13" s="114"/>
      <c r="MAV13" s="114"/>
      <c r="MAW13" s="114"/>
      <c r="MAX13" s="114"/>
      <c r="MAY13" s="114"/>
      <c r="MAZ13" s="114"/>
      <c r="MBA13" s="114"/>
      <c r="MBB13" s="114"/>
      <c r="MBC13" s="114"/>
      <c r="MBD13" s="114"/>
      <c r="MBE13" s="114"/>
      <c r="MBF13" s="114"/>
      <c r="MBG13" s="114"/>
      <c r="MBH13" s="114"/>
      <c r="MBI13" s="114"/>
      <c r="MBJ13" s="114"/>
      <c r="MBK13" s="114"/>
      <c r="MBL13" s="114"/>
      <c r="MBM13" s="114"/>
      <c r="MBN13" s="114"/>
      <c r="MBO13" s="114"/>
      <c r="MBP13" s="114"/>
      <c r="MBQ13" s="114"/>
      <c r="MBR13" s="114"/>
      <c r="MBS13" s="114"/>
      <c r="MBT13" s="114"/>
      <c r="MBU13" s="114"/>
      <c r="MBV13" s="114"/>
      <c r="MBW13" s="114"/>
      <c r="MBX13" s="114"/>
      <c r="MBY13" s="114"/>
      <c r="MBZ13" s="114"/>
      <c r="MCA13" s="114"/>
      <c r="MCB13" s="114"/>
      <c r="MCC13" s="114"/>
      <c r="MCD13" s="114"/>
      <c r="MCE13" s="114"/>
      <c r="MCF13" s="114"/>
      <c r="MCG13" s="114"/>
      <c r="MCH13" s="114"/>
      <c r="MCI13" s="114"/>
      <c r="MCJ13" s="114"/>
      <c r="MCK13" s="114"/>
      <c r="MCL13" s="114"/>
      <c r="MCM13" s="114"/>
      <c r="MCN13" s="114"/>
      <c r="MCO13" s="114"/>
      <c r="MCP13" s="114"/>
      <c r="MCQ13" s="114"/>
      <c r="MCR13" s="114"/>
      <c r="MCS13" s="114"/>
      <c r="MCT13" s="114"/>
      <c r="MCU13" s="114"/>
      <c r="MCV13" s="114"/>
      <c r="MCW13" s="114"/>
      <c r="MCX13" s="114"/>
      <c r="MCY13" s="114"/>
      <c r="MCZ13" s="114"/>
      <c r="MDA13" s="114"/>
      <c r="MDB13" s="114"/>
      <c r="MDC13" s="114"/>
      <c r="MDD13" s="114"/>
      <c r="MDE13" s="114"/>
      <c r="MDF13" s="114"/>
      <c r="MDG13" s="114"/>
      <c r="MDH13" s="114"/>
      <c r="MDI13" s="114"/>
      <c r="MDJ13" s="114"/>
      <c r="MDK13" s="114"/>
      <c r="MDL13" s="114"/>
      <c r="MDM13" s="114"/>
      <c r="MDN13" s="114"/>
      <c r="MDO13" s="114"/>
      <c r="MDP13" s="114"/>
      <c r="MDQ13" s="114"/>
      <c r="MDR13" s="114"/>
      <c r="MDS13" s="114"/>
      <c r="MDT13" s="114"/>
      <c r="MDU13" s="114"/>
      <c r="MDV13" s="114"/>
      <c r="MDW13" s="114"/>
      <c r="MDX13" s="114"/>
      <c r="MDY13" s="114"/>
      <c r="MDZ13" s="114"/>
      <c r="MEA13" s="114"/>
      <c r="MEB13" s="114"/>
      <c r="MEC13" s="114"/>
      <c r="MED13" s="114"/>
      <c r="MEE13" s="114"/>
      <c r="MEF13" s="114"/>
      <c r="MEG13" s="114"/>
      <c r="MEH13" s="114"/>
      <c r="MEI13" s="114"/>
      <c r="MEJ13" s="114"/>
      <c r="MEK13" s="114"/>
      <c r="MEL13" s="114"/>
      <c r="MEM13" s="114"/>
      <c r="MEN13" s="114"/>
      <c r="MEO13" s="114"/>
      <c r="MEP13" s="114"/>
      <c r="MEQ13" s="114"/>
      <c r="MER13" s="114"/>
      <c r="MES13" s="114"/>
      <c r="MET13" s="114"/>
      <c r="MEU13" s="114"/>
      <c r="MEV13" s="114"/>
      <c r="MEW13" s="114"/>
      <c r="MEX13" s="114"/>
      <c r="MEY13" s="114"/>
      <c r="MEZ13" s="114"/>
      <c r="MFA13" s="114"/>
      <c r="MFB13" s="114"/>
      <c r="MFC13" s="114"/>
      <c r="MFD13" s="114"/>
      <c r="MFE13" s="114"/>
      <c r="MFF13" s="114"/>
      <c r="MFG13" s="114"/>
      <c r="MFH13" s="114"/>
      <c r="MFI13" s="114"/>
      <c r="MFJ13" s="114"/>
      <c r="MFK13" s="114"/>
      <c r="MFL13" s="114"/>
      <c r="MFM13" s="114"/>
      <c r="MFN13" s="114"/>
      <c r="MFO13" s="114"/>
      <c r="MFP13" s="114"/>
      <c r="MFQ13" s="114"/>
      <c r="MFR13" s="114"/>
      <c r="MFS13" s="114"/>
      <c r="MFT13" s="114"/>
      <c r="MFU13" s="114"/>
      <c r="MFV13" s="114"/>
      <c r="MFW13" s="114"/>
      <c r="MFX13" s="114"/>
      <c r="MFY13" s="114"/>
      <c r="MFZ13" s="114"/>
      <c r="MGA13" s="114"/>
      <c r="MGB13" s="114"/>
      <c r="MGC13" s="114"/>
      <c r="MGD13" s="114"/>
      <c r="MGE13" s="114"/>
      <c r="MGF13" s="114"/>
      <c r="MGG13" s="114"/>
      <c r="MGH13" s="114"/>
      <c r="MGI13" s="114"/>
      <c r="MGJ13" s="114"/>
      <c r="MGK13" s="114"/>
      <c r="MGL13" s="114"/>
      <c r="MGM13" s="114"/>
      <c r="MGN13" s="114"/>
      <c r="MGO13" s="114"/>
      <c r="MGP13" s="114"/>
      <c r="MGQ13" s="114"/>
      <c r="MGR13" s="114"/>
      <c r="MGS13" s="114"/>
      <c r="MGT13" s="114"/>
      <c r="MGU13" s="114"/>
      <c r="MGV13" s="114"/>
      <c r="MGW13" s="114"/>
      <c r="MGX13" s="114"/>
      <c r="MGY13" s="114"/>
      <c r="MGZ13" s="114"/>
      <c r="MHA13" s="114"/>
      <c r="MHB13" s="114"/>
      <c r="MHC13" s="114"/>
      <c r="MHD13" s="114"/>
      <c r="MHE13" s="114"/>
      <c r="MHF13" s="114"/>
      <c r="MHG13" s="114"/>
      <c r="MHH13" s="114"/>
      <c r="MHI13" s="114"/>
      <c r="MHJ13" s="114"/>
      <c r="MHK13" s="114"/>
      <c r="MHL13" s="114"/>
      <c r="MHM13" s="114"/>
      <c r="MHN13" s="114"/>
      <c r="MHO13" s="114"/>
      <c r="MHP13" s="114"/>
      <c r="MHQ13" s="114"/>
      <c r="MHR13" s="114"/>
      <c r="MHS13" s="114"/>
      <c r="MHT13" s="114"/>
      <c r="MHU13" s="114"/>
      <c r="MHV13" s="114"/>
      <c r="MHW13" s="114"/>
      <c r="MHX13" s="114"/>
      <c r="MHY13" s="114"/>
      <c r="MHZ13" s="114"/>
      <c r="MIA13" s="114"/>
      <c r="MIB13" s="114"/>
      <c r="MIC13" s="114"/>
      <c r="MID13" s="114"/>
      <c r="MIE13" s="114"/>
      <c r="MIF13" s="114"/>
      <c r="MIG13" s="114"/>
      <c r="MIH13" s="114"/>
      <c r="MII13" s="114"/>
      <c r="MIJ13" s="114"/>
      <c r="MIK13" s="114"/>
      <c r="MIL13" s="114"/>
      <c r="MIM13" s="114"/>
      <c r="MIN13" s="114"/>
      <c r="MIO13" s="114"/>
      <c r="MIP13" s="114"/>
      <c r="MIQ13" s="114"/>
      <c r="MIR13" s="114"/>
      <c r="MIS13" s="114"/>
      <c r="MIT13" s="114"/>
      <c r="MIU13" s="114"/>
      <c r="MIV13" s="114"/>
      <c r="MIW13" s="114"/>
      <c r="MIX13" s="114"/>
      <c r="MIY13" s="114"/>
      <c r="MIZ13" s="114"/>
      <c r="MJA13" s="114"/>
      <c r="MJB13" s="114"/>
      <c r="MJC13" s="114"/>
      <c r="MJD13" s="114"/>
      <c r="MJE13" s="114"/>
      <c r="MJF13" s="114"/>
      <c r="MJG13" s="114"/>
      <c r="MJH13" s="114"/>
      <c r="MJI13" s="114"/>
      <c r="MJJ13" s="114"/>
      <c r="MJK13" s="114"/>
      <c r="MJL13" s="114"/>
      <c r="MJM13" s="114"/>
      <c r="MJN13" s="114"/>
      <c r="MJO13" s="114"/>
      <c r="MJP13" s="114"/>
      <c r="MJQ13" s="114"/>
      <c r="MJR13" s="114"/>
      <c r="MJS13" s="114"/>
      <c r="MJT13" s="114"/>
      <c r="MJU13" s="114"/>
      <c r="MJV13" s="114"/>
      <c r="MJW13" s="114"/>
      <c r="MJX13" s="114"/>
      <c r="MJY13" s="114"/>
      <c r="MJZ13" s="114"/>
      <c r="MKA13" s="114"/>
      <c r="MKB13" s="114"/>
      <c r="MKC13" s="114"/>
      <c r="MKD13" s="114"/>
      <c r="MKE13" s="114"/>
      <c r="MKF13" s="114"/>
      <c r="MKG13" s="114"/>
      <c r="MKH13" s="114"/>
      <c r="MKI13" s="114"/>
      <c r="MKJ13" s="114"/>
      <c r="MKK13" s="114"/>
      <c r="MKL13" s="114"/>
      <c r="MKM13" s="114"/>
      <c r="MKN13" s="114"/>
      <c r="MKO13" s="114"/>
      <c r="MKP13" s="114"/>
      <c r="MKQ13" s="114"/>
      <c r="MKR13" s="114"/>
      <c r="MKS13" s="114"/>
      <c r="MKT13" s="114"/>
      <c r="MKU13" s="114"/>
      <c r="MKV13" s="114"/>
      <c r="MKW13" s="114"/>
      <c r="MKX13" s="114"/>
      <c r="MKY13" s="114"/>
      <c r="MKZ13" s="114"/>
      <c r="MLA13" s="114"/>
      <c r="MLB13" s="114"/>
      <c r="MLC13" s="114"/>
      <c r="MLD13" s="114"/>
      <c r="MLE13" s="114"/>
      <c r="MLF13" s="114"/>
      <c r="MLG13" s="114"/>
      <c r="MLH13" s="114"/>
      <c r="MLI13" s="114"/>
      <c r="MLJ13" s="114"/>
      <c r="MLK13" s="114"/>
      <c r="MLL13" s="114"/>
      <c r="MLM13" s="114"/>
      <c r="MLN13" s="114"/>
      <c r="MLO13" s="114"/>
      <c r="MLP13" s="114"/>
      <c r="MLQ13" s="114"/>
      <c r="MLR13" s="114"/>
      <c r="MLS13" s="114"/>
      <c r="MLT13" s="114"/>
      <c r="MLU13" s="114"/>
      <c r="MLV13" s="114"/>
      <c r="MLW13" s="114"/>
      <c r="MLX13" s="114"/>
      <c r="MLY13" s="114"/>
      <c r="MLZ13" s="114"/>
      <c r="MMA13" s="114"/>
      <c r="MMB13" s="114"/>
      <c r="MMC13" s="114"/>
      <c r="MMD13" s="114"/>
      <c r="MME13" s="114"/>
      <c r="MMF13" s="114"/>
      <c r="MMG13" s="114"/>
      <c r="MMH13" s="114"/>
      <c r="MMI13" s="114"/>
      <c r="MMJ13" s="114"/>
      <c r="MMK13" s="114"/>
      <c r="MML13" s="114"/>
      <c r="MMM13" s="114"/>
      <c r="MMN13" s="114"/>
      <c r="MMO13" s="114"/>
      <c r="MMP13" s="114"/>
      <c r="MMQ13" s="114"/>
      <c r="MMR13" s="114"/>
      <c r="MMS13" s="114"/>
      <c r="MMT13" s="114"/>
      <c r="MMU13" s="114"/>
      <c r="MMV13" s="114"/>
      <c r="MMW13" s="114"/>
      <c r="MMX13" s="114"/>
      <c r="MMY13" s="114"/>
      <c r="MMZ13" s="114"/>
      <c r="MNA13" s="114"/>
      <c r="MNB13" s="114"/>
      <c r="MNC13" s="114"/>
      <c r="MND13" s="114"/>
      <c r="MNE13" s="114"/>
      <c r="MNF13" s="114"/>
      <c r="MNG13" s="114"/>
      <c r="MNH13" s="114"/>
      <c r="MNI13" s="114"/>
      <c r="MNJ13" s="114"/>
      <c r="MNK13" s="114"/>
      <c r="MNL13" s="114"/>
      <c r="MNM13" s="114"/>
      <c r="MNN13" s="114"/>
      <c r="MNO13" s="114"/>
      <c r="MNP13" s="114"/>
      <c r="MNQ13" s="114"/>
      <c r="MNR13" s="114"/>
      <c r="MNS13" s="114"/>
      <c r="MNT13" s="114"/>
      <c r="MNU13" s="114"/>
      <c r="MNV13" s="114"/>
      <c r="MNW13" s="114"/>
      <c r="MNX13" s="114"/>
      <c r="MNY13" s="114"/>
      <c r="MNZ13" s="114"/>
      <c r="MOA13" s="114"/>
      <c r="MOB13" s="114"/>
      <c r="MOC13" s="114"/>
      <c r="MOD13" s="114"/>
      <c r="MOE13" s="114"/>
      <c r="MOF13" s="114"/>
      <c r="MOG13" s="114"/>
      <c r="MOH13" s="114"/>
      <c r="MOI13" s="114"/>
      <c r="MOJ13" s="114"/>
      <c r="MOK13" s="114"/>
      <c r="MOL13" s="114"/>
      <c r="MOM13" s="114"/>
      <c r="MON13" s="114"/>
      <c r="MOO13" s="114"/>
      <c r="MOP13" s="114"/>
      <c r="MOQ13" s="114"/>
      <c r="MOR13" s="114"/>
      <c r="MOS13" s="114"/>
      <c r="MOT13" s="114"/>
      <c r="MOU13" s="114"/>
      <c r="MOV13" s="114"/>
      <c r="MOW13" s="114"/>
      <c r="MOX13" s="114"/>
      <c r="MOY13" s="114"/>
      <c r="MOZ13" s="114"/>
      <c r="MPA13" s="114"/>
      <c r="MPB13" s="114"/>
      <c r="MPC13" s="114"/>
      <c r="MPD13" s="114"/>
      <c r="MPE13" s="114"/>
      <c r="MPF13" s="114"/>
      <c r="MPG13" s="114"/>
      <c r="MPH13" s="114"/>
      <c r="MPI13" s="114"/>
      <c r="MPJ13" s="114"/>
      <c r="MPK13" s="114"/>
      <c r="MPL13" s="114"/>
      <c r="MPM13" s="114"/>
      <c r="MPN13" s="114"/>
      <c r="MPO13" s="114"/>
      <c r="MPP13" s="114"/>
      <c r="MPQ13" s="114"/>
      <c r="MPR13" s="114"/>
      <c r="MPS13" s="114"/>
      <c r="MPT13" s="114"/>
      <c r="MPU13" s="114"/>
      <c r="MPV13" s="114"/>
      <c r="MPW13" s="114"/>
      <c r="MPX13" s="114"/>
      <c r="MPY13" s="114"/>
      <c r="MPZ13" s="114"/>
      <c r="MQA13" s="114"/>
      <c r="MQB13" s="114"/>
      <c r="MQC13" s="114"/>
      <c r="MQD13" s="114"/>
      <c r="MQE13" s="114"/>
      <c r="MQF13" s="114"/>
      <c r="MQG13" s="114"/>
      <c r="MQH13" s="114"/>
      <c r="MQI13" s="114"/>
      <c r="MQJ13" s="114"/>
      <c r="MQK13" s="114"/>
      <c r="MQL13" s="114"/>
      <c r="MQM13" s="114"/>
      <c r="MQN13" s="114"/>
      <c r="MQO13" s="114"/>
      <c r="MQP13" s="114"/>
      <c r="MQQ13" s="114"/>
      <c r="MQR13" s="114"/>
      <c r="MQS13" s="114"/>
      <c r="MQT13" s="114"/>
      <c r="MQU13" s="114"/>
      <c r="MQV13" s="114"/>
      <c r="MQW13" s="114"/>
      <c r="MQX13" s="114"/>
      <c r="MQY13" s="114"/>
      <c r="MQZ13" s="114"/>
      <c r="MRA13" s="114"/>
      <c r="MRB13" s="114"/>
      <c r="MRC13" s="114"/>
      <c r="MRD13" s="114"/>
      <c r="MRE13" s="114"/>
      <c r="MRF13" s="114"/>
      <c r="MRG13" s="114"/>
      <c r="MRH13" s="114"/>
      <c r="MRI13" s="114"/>
      <c r="MRJ13" s="114"/>
      <c r="MRK13" s="114"/>
      <c r="MRL13" s="114"/>
      <c r="MRM13" s="114"/>
      <c r="MRN13" s="114"/>
      <c r="MRO13" s="114"/>
      <c r="MRP13" s="114"/>
      <c r="MRQ13" s="114"/>
      <c r="MRR13" s="114"/>
      <c r="MRS13" s="114"/>
      <c r="MRT13" s="114"/>
      <c r="MRU13" s="114"/>
      <c r="MRV13" s="114"/>
      <c r="MRW13" s="114"/>
      <c r="MRX13" s="114"/>
      <c r="MRY13" s="114"/>
      <c r="MRZ13" s="114"/>
      <c r="MSA13" s="114"/>
      <c r="MSB13" s="114"/>
      <c r="MSC13" s="114"/>
      <c r="MSD13" s="114"/>
      <c r="MSE13" s="114"/>
      <c r="MSF13" s="114"/>
      <c r="MSG13" s="114"/>
      <c r="MSH13" s="114"/>
      <c r="MSI13" s="114"/>
      <c r="MSJ13" s="114"/>
      <c r="MSK13" s="114"/>
      <c r="MSL13" s="114"/>
      <c r="MSM13" s="114"/>
      <c r="MSN13" s="114"/>
      <c r="MSO13" s="114"/>
      <c r="MSP13" s="114"/>
      <c r="MSQ13" s="114"/>
      <c r="MSR13" s="114"/>
      <c r="MSS13" s="114"/>
      <c r="MST13" s="114"/>
      <c r="MSU13" s="114"/>
      <c r="MSV13" s="114"/>
      <c r="MSW13" s="114"/>
      <c r="MSX13" s="114"/>
      <c r="MSY13" s="114"/>
      <c r="MSZ13" s="114"/>
      <c r="MTA13" s="114"/>
      <c r="MTB13" s="114"/>
      <c r="MTC13" s="114"/>
      <c r="MTD13" s="114"/>
      <c r="MTE13" s="114"/>
      <c r="MTF13" s="114"/>
      <c r="MTG13" s="114"/>
      <c r="MTH13" s="114"/>
      <c r="MTI13" s="114"/>
      <c r="MTJ13" s="114"/>
      <c r="MTK13" s="114"/>
      <c r="MTL13" s="114"/>
      <c r="MTM13" s="114"/>
      <c r="MTN13" s="114"/>
      <c r="MTO13" s="114"/>
      <c r="MTP13" s="114"/>
      <c r="MTQ13" s="114"/>
      <c r="MTR13" s="114"/>
      <c r="MTS13" s="114"/>
      <c r="MTT13" s="114"/>
      <c r="MTU13" s="114"/>
      <c r="MTV13" s="114"/>
      <c r="MTW13" s="114"/>
      <c r="MTX13" s="114"/>
      <c r="MTY13" s="114"/>
      <c r="MTZ13" s="114"/>
      <c r="MUA13" s="114"/>
      <c r="MUB13" s="114"/>
      <c r="MUC13" s="114"/>
      <c r="MUD13" s="114"/>
      <c r="MUE13" s="114"/>
      <c r="MUF13" s="114"/>
      <c r="MUG13" s="114"/>
      <c r="MUH13" s="114"/>
      <c r="MUI13" s="114"/>
      <c r="MUJ13" s="114"/>
      <c r="MUK13" s="114"/>
      <c r="MUL13" s="114"/>
      <c r="MUM13" s="114"/>
      <c r="MUN13" s="114"/>
      <c r="MUO13" s="114"/>
      <c r="MUP13" s="114"/>
      <c r="MUQ13" s="114"/>
      <c r="MUR13" s="114"/>
      <c r="MUS13" s="114"/>
      <c r="MUT13" s="114"/>
      <c r="MUU13" s="114"/>
      <c r="MUV13" s="114"/>
      <c r="MUW13" s="114"/>
      <c r="MUX13" s="114"/>
      <c r="MUY13" s="114"/>
      <c r="MUZ13" s="114"/>
      <c r="MVA13" s="114"/>
      <c r="MVB13" s="114"/>
      <c r="MVC13" s="114"/>
      <c r="MVD13" s="114"/>
      <c r="MVE13" s="114"/>
      <c r="MVF13" s="114"/>
      <c r="MVG13" s="114"/>
      <c r="MVH13" s="114"/>
      <c r="MVI13" s="114"/>
      <c r="MVJ13" s="114"/>
      <c r="MVK13" s="114"/>
      <c r="MVL13" s="114"/>
      <c r="MVM13" s="114"/>
      <c r="MVN13" s="114"/>
      <c r="MVO13" s="114"/>
      <c r="MVP13" s="114"/>
      <c r="MVQ13" s="114"/>
      <c r="MVR13" s="114"/>
      <c r="MVS13" s="114"/>
      <c r="MVT13" s="114"/>
      <c r="MVU13" s="114"/>
      <c r="MVV13" s="114"/>
      <c r="MVW13" s="114"/>
      <c r="MVX13" s="114"/>
      <c r="MVY13" s="114"/>
      <c r="MVZ13" s="114"/>
      <c r="MWA13" s="114"/>
      <c r="MWB13" s="114"/>
      <c r="MWC13" s="114"/>
      <c r="MWD13" s="114"/>
      <c r="MWE13" s="114"/>
      <c r="MWF13" s="114"/>
      <c r="MWG13" s="114"/>
      <c r="MWH13" s="114"/>
      <c r="MWI13" s="114"/>
      <c r="MWJ13" s="114"/>
      <c r="MWK13" s="114"/>
      <c r="MWL13" s="114"/>
      <c r="MWM13" s="114"/>
      <c r="MWN13" s="114"/>
      <c r="MWO13" s="114"/>
      <c r="MWP13" s="114"/>
      <c r="MWQ13" s="114"/>
      <c r="MWR13" s="114"/>
      <c r="MWS13" s="114"/>
      <c r="MWT13" s="114"/>
      <c r="MWU13" s="114"/>
      <c r="MWV13" s="114"/>
      <c r="MWW13" s="114"/>
      <c r="MWX13" s="114"/>
      <c r="MWY13" s="114"/>
      <c r="MWZ13" s="114"/>
      <c r="MXA13" s="114"/>
      <c r="MXB13" s="114"/>
      <c r="MXC13" s="114"/>
      <c r="MXD13" s="114"/>
      <c r="MXE13" s="114"/>
      <c r="MXF13" s="114"/>
      <c r="MXG13" s="114"/>
      <c r="MXH13" s="114"/>
      <c r="MXI13" s="114"/>
      <c r="MXJ13" s="114"/>
      <c r="MXK13" s="114"/>
      <c r="MXL13" s="114"/>
      <c r="MXM13" s="114"/>
      <c r="MXN13" s="114"/>
      <c r="MXO13" s="114"/>
      <c r="MXP13" s="114"/>
      <c r="MXQ13" s="114"/>
      <c r="MXR13" s="114"/>
      <c r="MXS13" s="114"/>
      <c r="MXT13" s="114"/>
      <c r="MXU13" s="114"/>
      <c r="MXV13" s="114"/>
      <c r="MXW13" s="114"/>
      <c r="MXX13" s="114"/>
      <c r="MXY13" s="114"/>
      <c r="MXZ13" s="114"/>
      <c r="MYA13" s="114"/>
      <c r="MYB13" s="114"/>
      <c r="MYC13" s="114"/>
      <c r="MYD13" s="114"/>
      <c r="MYE13" s="114"/>
      <c r="MYF13" s="114"/>
      <c r="MYG13" s="114"/>
      <c r="MYH13" s="114"/>
      <c r="MYI13" s="114"/>
      <c r="MYJ13" s="114"/>
      <c r="MYK13" s="114"/>
      <c r="MYL13" s="114"/>
      <c r="MYM13" s="114"/>
      <c r="MYN13" s="114"/>
      <c r="MYO13" s="114"/>
      <c r="MYP13" s="114"/>
      <c r="MYQ13" s="114"/>
      <c r="MYR13" s="114"/>
      <c r="MYS13" s="114"/>
      <c r="MYT13" s="114"/>
      <c r="MYU13" s="114"/>
      <c r="MYV13" s="114"/>
      <c r="MYW13" s="114"/>
      <c r="MYX13" s="114"/>
      <c r="MYY13" s="114"/>
      <c r="MYZ13" s="114"/>
      <c r="MZA13" s="114"/>
      <c r="MZB13" s="114"/>
      <c r="MZC13" s="114"/>
      <c r="MZD13" s="114"/>
      <c r="MZE13" s="114"/>
      <c r="MZF13" s="114"/>
      <c r="MZG13" s="114"/>
      <c r="MZH13" s="114"/>
      <c r="MZI13" s="114"/>
      <c r="MZJ13" s="114"/>
      <c r="MZK13" s="114"/>
      <c r="MZL13" s="114"/>
      <c r="MZM13" s="114"/>
      <c r="MZN13" s="114"/>
      <c r="MZO13" s="114"/>
      <c r="MZP13" s="114"/>
      <c r="MZQ13" s="114"/>
      <c r="MZR13" s="114"/>
      <c r="MZS13" s="114"/>
      <c r="MZT13" s="114"/>
      <c r="MZU13" s="114"/>
      <c r="MZV13" s="114"/>
      <c r="MZW13" s="114"/>
      <c r="MZX13" s="114"/>
      <c r="MZY13" s="114"/>
      <c r="MZZ13" s="114"/>
      <c r="NAA13" s="114"/>
      <c r="NAB13" s="114"/>
      <c r="NAC13" s="114"/>
      <c r="NAD13" s="114"/>
      <c r="NAE13" s="114"/>
      <c r="NAF13" s="114"/>
      <c r="NAG13" s="114"/>
      <c r="NAH13" s="114"/>
      <c r="NAI13" s="114"/>
      <c r="NAJ13" s="114"/>
      <c r="NAK13" s="114"/>
      <c r="NAL13" s="114"/>
      <c r="NAM13" s="114"/>
      <c r="NAN13" s="114"/>
      <c r="NAO13" s="114"/>
      <c r="NAP13" s="114"/>
      <c r="NAQ13" s="114"/>
      <c r="NAR13" s="114"/>
      <c r="NAS13" s="114"/>
      <c r="NAT13" s="114"/>
      <c r="NAU13" s="114"/>
      <c r="NAV13" s="114"/>
      <c r="NAW13" s="114"/>
      <c r="NAX13" s="114"/>
      <c r="NAY13" s="114"/>
      <c r="NAZ13" s="114"/>
      <c r="NBA13" s="114"/>
      <c r="NBB13" s="114"/>
      <c r="NBC13" s="114"/>
      <c r="NBD13" s="114"/>
      <c r="NBE13" s="114"/>
      <c r="NBF13" s="114"/>
      <c r="NBG13" s="114"/>
      <c r="NBH13" s="114"/>
      <c r="NBI13" s="114"/>
      <c r="NBJ13" s="114"/>
      <c r="NBK13" s="114"/>
      <c r="NBL13" s="114"/>
      <c r="NBM13" s="114"/>
      <c r="NBN13" s="114"/>
      <c r="NBO13" s="114"/>
      <c r="NBP13" s="114"/>
      <c r="NBQ13" s="114"/>
      <c r="NBR13" s="114"/>
      <c r="NBS13" s="114"/>
      <c r="NBT13" s="114"/>
      <c r="NBU13" s="114"/>
      <c r="NBV13" s="114"/>
      <c r="NBW13" s="114"/>
      <c r="NBX13" s="114"/>
      <c r="NBY13" s="114"/>
      <c r="NBZ13" s="114"/>
      <c r="NCA13" s="114"/>
      <c r="NCB13" s="114"/>
      <c r="NCC13" s="114"/>
      <c r="NCD13" s="114"/>
      <c r="NCE13" s="114"/>
      <c r="NCF13" s="114"/>
      <c r="NCG13" s="114"/>
      <c r="NCH13" s="114"/>
      <c r="NCI13" s="114"/>
      <c r="NCJ13" s="114"/>
      <c r="NCK13" s="114"/>
      <c r="NCL13" s="114"/>
      <c r="NCM13" s="114"/>
      <c r="NCN13" s="114"/>
      <c r="NCO13" s="114"/>
      <c r="NCP13" s="114"/>
      <c r="NCQ13" s="114"/>
      <c r="NCR13" s="114"/>
      <c r="NCS13" s="114"/>
      <c r="NCT13" s="114"/>
      <c r="NCU13" s="114"/>
      <c r="NCV13" s="114"/>
      <c r="NCW13" s="114"/>
      <c r="NCX13" s="114"/>
      <c r="NCY13" s="114"/>
      <c r="NCZ13" s="114"/>
      <c r="NDA13" s="114"/>
      <c r="NDB13" s="114"/>
      <c r="NDC13" s="114"/>
      <c r="NDD13" s="114"/>
      <c r="NDE13" s="114"/>
      <c r="NDF13" s="114"/>
      <c r="NDG13" s="114"/>
      <c r="NDH13" s="114"/>
      <c r="NDI13" s="114"/>
      <c r="NDJ13" s="114"/>
      <c r="NDK13" s="114"/>
      <c r="NDL13" s="114"/>
      <c r="NDM13" s="114"/>
      <c r="NDN13" s="114"/>
      <c r="NDO13" s="114"/>
      <c r="NDP13" s="114"/>
      <c r="NDQ13" s="114"/>
      <c r="NDR13" s="114"/>
      <c r="NDS13" s="114"/>
      <c r="NDT13" s="114"/>
      <c r="NDU13" s="114"/>
      <c r="NDV13" s="114"/>
      <c r="NDW13" s="114"/>
      <c r="NDX13" s="114"/>
      <c r="NDY13" s="114"/>
      <c r="NDZ13" s="114"/>
      <c r="NEA13" s="114"/>
      <c r="NEB13" s="114"/>
      <c r="NEC13" s="114"/>
      <c r="NED13" s="114"/>
      <c r="NEE13" s="114"/>
      <c r="NEF13" s="114"/>
      <c r="NEG13" s="114"/>
      <c r="NEH13" s="114"/>
      <c r="NEI13" s="114"/>
      <c r="NEJ13" s="114"/>
      <c r="NEK13" s="114"/>
      <c r="NEL13" s="114"/>
      <c r="NEM13" s="114"/>
      <c r="NEN13" s="114"/>
      <c r="NEO13" s="114"/>
      <c r="NEP13" s="114"/>
      <c r="NEQ13" s="114"/>
      <c r="NER13" s="114"/>
      <c r="NES13" s="114"/>
      <c r="NET13" s="114"/>
      <c r="NEU13" s="114"/>
      <c r="NEV13" s="114"/>
      <c r="NEW13" s="114"/>
      <c r="NEX13" s="114"/>
      <c r="NEY13" s="114"/>
      <c r="NEZ13" s="114"/>
      <c r="NFA13" s="114"/>
      <c r="NFB13" s="114"/>
      <c r="NFC13" s="114"/>
      <c r="NFD13" s="114"/>
      <c r="NFE13" s="114"/>
      <c r="NFF13" s="114"/>
      <c r="NFG13" s="114"/>
      <c r="NFH13" s="114"/>
      <c r="NFI13" s="114"/>
      <c r="NFJ13" s="114"/>
      <c r="NFK13" s="114"/>
      <c r="NFL13" s="114"/>
      <c r="NFM13" s="114"/>
      <c r="NFN13" s="114"/>
      <c r="NFO13" s="114"/>
      <c r="NFP13" s="114"/>
      <c r="NFQ13" s="114"/>
      <c r="NFR13" s="114"/>
      <c r="NFS13" s="114"/>
      <c r="NFT13" s="114"/>
      <c r="NFU13" s="114"/>
      <c r="NFV13" s="114"/>
      <c r="NFW13" s="114"/>
      <c r="NFX13" s="114"/>
      <c r="NFY13" s="114"/>
      <c r="NFZ13" s="114"/>
      <c r="NGA13" s="114"/>
      <c r="NGB13" s="114"/>
      <c r="NGC13" s="114"/>
      <c r="NGD13" s="114"/>
      <c r="NGE13" s="114"/>
      <c r="NGF13" s="114"/>
      <c r="NGG13" s="114"/>
      <c r="NGH13" s="114"/>
      <c r="NGI13" s="114"/>
      <c r="NGJ13" s="114"/>
      <c r="NGK13" s="114"/>
      <c r="NGL13" s="114"/>
      <c r="NGM13" s="114"/>
      <c r="NGN13" s="114"/>
      <c r="NGO13" s="114"/>
      <c r="NGP13" s="114"/>
      <c r="NGQ13" s="114"/>
      <c r="NGR13" s="114"/>
      <c r="NGS13" s="114"/>
      <c r="NGT13" s="114"/>
      <c r="NGU13" s="114"/>
      <c r="NGV13" s="114"/>
      <c r="NGW13" s="114"/>
      <c r="NGX13" s="114"/>
      <c r="NGY13" s="114"/>
      <c r="NGZ13" s="114"/>
      <c r="NHA13" s="114"/>
      <c r="NHB13" s="114"/>
      <c r="NHC13" s="114"/>
      <c r="NHD13" s="114"/>
      <c r="NHE13" s="114"/>
      <c r="NHF13" s="114"/>
      <c r="NHG13" s="114"/>
      <c r="NHH13" s="114"/>
      <c r="NHI13" s="114"/>
      <c r="NHJ13" s="114"/>
      <c r="NHK13" s="114"/>
      <c r="NHL13" s="114"/>
      <c r="NHM13" s="114"/>
      <c r="NHN13" s="114"/>
      <c r="NHO13" s="114"/>
      <c r="NHP13" s="114"/>
      <c r="NHQ13" s="114"/>
      <c r="NHR13" s="114"/>
      <c r="NHS13" s="114"/>
      <c r="NHT13" s="114"/>
      <c r="NHU13" s="114"/>
      <c r="NHV13" s="114"/>
      <c r="NHW13" s="114"/>
      <c r="NHX13" s="114"/>
      <c r="NHY13" s="114"/>
      <c r="NHZ13" s="114"/>
      <c r="NIA13" s="114"/>
      <c r="NIB13" s="114"/>
      <c r="NIC13" s="114"/>
      <c r="NID13" s="114"/>
      <c r="NIE13" s="114"/>
      <c r="NIF13" s="114"/>
      <c r="NIG13" s="114"/>
      <c r="NIH13" s="114"/>
      <c r="NII13" s="114"/>
      <c r="NIJ13" s="114"/>
      <c r="NIK13" s="114"/>
      <c r="NIL13" s="114"/>
      <c r="NIM13" s="114"/>
      <c r="NIN13" s="114"/>
      <c r="NIO13" s="114"/>
      <c r="NIP13" s="114"/>
      <c r="NIQ13" s="114"/>
      <c r="NIR13" s="114"/>
      <c r="NIS13" s="114"/>
      <c r="NIT13" s="114"/>
      <c r="NIU13" s="114"/>
      <c r="NIV13" s="114"/>
      <c r="NIW13" s="114"/>
      <c r="NIX13" s="114"/>
      <c r="NIY13" s="114"/>
      <c r="NIZ13" s="114"/>
      <c r="NJA13" s="114"/>
      <c r="NJB13" s="114"/>
      <c r="NJC13" s="114"/>
      <c r="NJD13" s="114"/>
      <c r="NJE13" s="114"/>
      <c r="NJF13" s="114"/>
      <c r="NJG13" s="114"/>
      <c r="NJH13" s="114"/>
      <c r="NJI13" s="114"/>
      <c r="NJJ13" s="114"/>
      <c r="NJK13" s="114"/>
      <c r="NJL13" s="114"/>
      <c r="NJM13" s="114"/>
      <c r="NJN13" s="114"/>
      <c r="NJO13" s="114"/>
      <c r="NJP13" s="114"/>
      <c r="NJQ13" s="114"/>
      <c r="NJR13" s="114"/>
      <c r="NJS13" s="114"/>
      <c r="NJT13" s="114"/>
      <c r="NJU13" s="114"/>
      <c r="NJV13" s="114"/>
      <c r="NJW13" s="114"/>
      <c r="NJX13" s="114"/>
      <c r="NJY13" s="114"/>
      <c r="NJZ13" s="114"/>
      <c r="NKA13" s="114"/>
      <c r="NKB13" s="114"/>
      <c r="NKC13" s="114"/>
      <c r="NKD13" s="114"/>
      <c r="NKE13" s="114"/>
      <c r="NKF13" s="114"/>
      <c r="NKG13" s="114"/>
      <c r="NKH13" s="114"/>
      <c r="NKI13" s="114"/>
      <c r="NKJ13" s="114"/>
      <c r="NKK13" s="114"/>
      <c r="NKL13" s="114"/>
      <c r="NKM13" s="114"/>
      <c r="NKN13" s="114"/>
      <c r="NKO13" s="114"/>
      <c r="NKP13" s="114"/>
      <c r="NKQ13" s="114"/>
      <c r="NKR13" s="114"/>
      <c r="NKS13" s="114"/>
      <c r="NKT13" s="114"/>
      <c r="NKU13" s="114"/>
      <c r="NKV13" s="114"/>
      <c r="NKW13" s="114"/>
      <c r="NKX13" s="114"/>
      <c r="NKY13" s="114"/>
      <c r="NKZ13" s="114"/>
      <c r="NLA13" s="114"/>
      <c r="NLB13" s="114"/>
      <c r="NLC13" s="114"/>
      <c r="NLD13" s="114"/>
      <c r="NLE13" s="114"/>
      <c r="NLF13" s="114"/>
      <c r="NLG13" s="114"/>
      <c r="NLH13" s="114"/>
      <c r="NLI13" s="114"/>
      <c r="NLJ13" s="114"/>
      <c r="NLK13" s="114"/>
      <c r="NLL13" s="114"/>
      <c r="NLM13" s="114"/>
      <c r="NLN13" s="114"/>
      <c r="NLO13" s="114"/>
      <c r="NLP13" s="114"/>
      <c r="NLQ13" s="114"/>
      <c r="NLR13" s="114"/>
      <c r="NLS13" s="114"/>
      <c r="NLT13" s="114"/>
      <c r="NLU13" s="114"/>
      <c r="NLV13" s="114"/>
      <c r="NLW13" s="114"/>
      <c r="NLX13" s="114"/>
      <c r="NLY13" s="114"/>
      <c r="NLZ13" s="114"/>
      <c r="NMA13" s="114"/>
      <c r="NMB13" s="114"/>
      <c r="NMC13" s="114"/>
      <c r="NMD13" s="114"/>
      <c r="NME13" s="114"/>
      <c r="NMF13" s="114"/>
      <c r="NMG13" s="114"/>
      <c r="NMH13" s="114"/>
      <c r="NMI13" s="114"/>
      <c r="NMJ13" s="114"/>
      <c r="NMK13" s="114"/>
      <c r="NML13" s="114"/>
      <c r="NMM13" s="114"/>
      <c r="NMN13" s="114"/>
      <c r="NMO13" s="114"/>
      <c r="NMP13" s="114"/>
      <c r="NMQ13" s="114"/>
      <c r="NMR13" s="114"/>
      <c r="NMS13" s="114"/>
      <c r="NMT13" s="114"/>
      <c r="NMU13" s="114"/>
      <c r="NMV13" s="114"/>
      <c r="NMW13" s="114"/>
      <c r="NMX13" s="114"/>
      <c r="NMY13" s="114"/>
      <c r="NMZ13" s="114"/>
      <c r="NNA13" s="114"/>
      <c r="NNB13" s="114"/>
      <c r="NNC13" s="114"/>
      <c r="NND13" s="114"/>
      <c r="NNE13" s="114"/>
      <c r="NNF13" s="114"/>
      <c r="NNG13" s="114"/>
      <c r="NNH13" s="114"/>
      <c r="NNI13" s="114"/>
      <c r="NNJ13" s="114"/>
      <c r="NNK13" s="114"/>
      <c r="NNL13" s="114"/>
      <c r="NNM13" s="114"/>
      <c r="NNN13" s="114"/>
      <c r="NNO13" s="114"/>
      <c r="NNP13" s="114"/>
      <c r="NNQ13" s="114"/>
      <c r="NNR13" s="114"/>
      <c r="NNS13" s="114"/>
      <c r="NNT13" s="114"/>
      <c r="NNU13" s="114"/>
      <c r="NNV13" s="114"/>
      <c r="NNW13" s="114"/>
      <c r="NNX13" s="114"/>
      <c r="NNY13" s="114"/>
      <c r="NNZ13" s="114"/>
      <c r="NOA13" s="114"/>
      <c r="NOB13" s="114"/>
      <c r="NOC13" s="114"/>
      <c r="NOD13" s="114"/>
      <c r="NOE13" s="114"/>
      <c r="NOF13" s="114"/>
      <c r="NOG13" s="114"/>
      <c r="NOH13" s="114"/>
      <c r="NOI13" s="114"/>
      <c r="NOJ13" s="114"/>
      <c r="NOK13" s="114"/>
      <c r="NOL13" s="114"/>
      <c r="NOM13" s="114"/>
      <c r="NON13" s="114"/>
      <c r="NOO13" s="114"/>
      <c r="NOP13" s="114"/>
      <c r="NOQ13" s="114"/>
      <c r="NOR13" s="114"/>
      <c r="NOS13" s="114"/>
      <c r="NOT13" s="114"/>
      <c r="NOU13" s="114"/>
      <c r="NOV13" s="114"/>
      <c r="NOW13" s="114"/>
      <c r="NOX13" s="114"/>
      <c r="NOY13" s="114"/>
      <c r="NOZ13" s="114"/>
      <c r="NPA13" s="114"/>
      <c r="NPB13" s="114"/>
      <c r="NPC13" s="114"/>
      <c r="NPD13" s="114"/>
      <c r="NPE13" s="114"/>
      <c r="NPF13" s="114"/>
      <c r="NPG13" s="114"/>
      <c r="NPH13" s="114"/>
      <c r="NPI13" s="114"/>
      <c r="NPJ13" s="114"/>
      <c r="NPK13" s="114"/>
      <c r="NPL13" s="114"/>
      <c r="NPM13" s="114"/>
      <c r="NPN13" s="114"/>
      <c r="NPO13" s="114"/>
      <c r="NPP13" s="114"/>
      <c r="NPQ13" s="114"/>
      <c r="NPR13" s="114"/>
      <c r="NPS13" s="114"/>
      <c r="NPT13" s="114"/>
      <c r="NPU13" s="114"/>
      <c r="NPV13" s="114"/>
      <c r="NPW13" s="114"/>
      <c r="NPX13" s="114"/>
      <c r="NPY13" s="114"/>
      <c r="NPZ13" s="114"/>
      <c r="NQA13" s="114"/>
      <c r="NQB13" s="114"/>
      <c r="NQC13" s="114"/>
      <c r="NQD13" s="114"/>
      <c r="NQE13" s="114"/>
      <c r="NQF13" s="114"/>
      <c r="NQG13" s="114"/>
      <c r="NQH13" s="114"/>
      <c r="NQI13" s="114"/>
      <c r="NQJ13" s="114"/>
      <c r="NQK13" s="114"/>
      <c r="NQL13" s="114"/>
      <c r="NQM13" s="114"/>
      <c r="NQN13" s="114"/>
      <c r="NQO13" s="114"/>
      <c r="NQP13" s="114"/>
      <c r="NQQ13" s="114"/>
      <c r="NQR13" s="114"/>
      <c r="NQS13" s="114"/>
      <c r="NQT13" s="114"/>
      <c r="NQU13" s="114"/>
      <c r="NQV13" s="114"/>
      <c r="NQW13" s="114"/>
      <c r="NQX13" s="114"/>
      <c r="NQY13" s="114"/>
      <c r="NQZ13" s="114"/>
      <c r="NRA13" s="114"/>
      <c r="NRB13" s="114"/>
      <c r="NRC13" s="114"/>
      <c r="NRD13" s="114"/>
      <c r="NRE13" s="114"/>
      <c r="NRF13" s="114"/>
      <c r="NRG13" s="114"/>
      <c r="NRH13" s="114"/>
      <c r="NRI13" s="114"/>
      <c r="NRJ13" s="114"/>
      <c r="NRK13" s="114"/>
      <c r="NRL13" s="114"/>
      <c r="NRM13" s="114"/>
      <c r="NRN13" s="114"/>
      <c r="NRO13" s="114"/>
      <c r="NRP13" s="114"/>
      <c r="NRQ13" s="114"/>
      <c r="NRR13" s="114"/>
      <c r="NRS13" s="114"/>
      <c r="NRT13" s="114"/>
      <c r="NRU13" s="114"/>
      <c r="NRV13" s="114"/>
      <c r="NRW13" s="114"/>
      <c r="NRX13" s="114"/>
      <c r="NRY13" s="114"/>
      <c r="NRZ13" s="114"/>
      <c r="NSA13" s="114"/>
      <c r="NSB13" s="114"/>
      <c r="NSC13" s="114"/>
      <c r="NSD13" s="114"/>
      <c r="NSE13" s="114"/>
      <c r="NSF13" s="114"/>
      <c r="NSG13" s="114"/>
      <c r="NSH13" s="114"/>
      <c r="NSI13" s="114"/>
      <c r="NSJ13" s="114"/>
      <c r="NSK13" s="114"/>
      <c r="NSL13" s="114"/>
      <c r="NSM13" s="114"/>
      <c r="NSN13" s="114"/>
      <c r="NSO13" s="114"/>
      <c r="NSP13" s="114"/>
      <c r="NSQ13" s="114"/>
      <c r="NSR13" s="114"/>
      <c r="NSS13" s="114"/>
      <c r="NST13" s="114"/>
      <c r="NSU13" s="114"/>
      <c r="NSV13" s="114"/>
      <c r="NSW13" s="114"/>
      <c r="NSX13" s="114"/>
      <c r="NSY13" s="114"/>
      <c r="NSZ13" s="114"/>
      <c r="NTA13" s="114"/>
      <c r="NTB13" s="114"/>
      <c r="NTC13" s="114"/>
      <c r="NTD13" s="114"/>
      <c r="NTE13" s="114"/>
      <c r="NTF13" s="114"/>
      <c r="NTG13" s="114"/>
      <c r="NTH13" s="114"/>
      <c r="NTI13" s="114"/>
      <c r="NTJ13" s="114"/>
      <c r="NTK13" s="114"/>
      <c r="NTL13" s="114"/>
      <c r="NTM13" s="114"/>
      <c r="NTN13" s="114"/>
      <c r="NTO13" s="114"/>
      <c r="NTP13" s="114"/>
      <c r="NTQ13" s="114"/>
      <c r="NTR13" s="114"/>
      <c r="NTS13" s="114"/>
      <c r="NTT13" s="114"/>
      <c r="NTU13" s="114"/>
      <c r="NTV13" s="114"/>
      <c r="NTW13" s="114"/>
      <c r="NTX13" s="114"/>
      <c r="NTY13" s="114"/>
      <c r="NTZ13" s="114"/>
      <c r="NUA13" s="114"/>
      <c r="NUB13" s="114"/>
      <c r="NUC13" s="114"/>
      <c r="NUD13" s="114"/>
      <c r="NUE13" s="114"/>
      <c r="NUF13" s="114"/>
      <c r="NUG13" s="114"/>
      <c r="NUH13" s="114"/>
      <c r="NUI13" s="114"/>
      <c r="NUJ13" s="114"/>
      <c r="NUK13" s="114"/>
      <c r="NUL13" s="114"/>
      <c r="NUM13" s="114"/>
      <c r="NUN13" s="114"/>
      <c r="NUO13" s="114"/>
      <c r="NUP13" s="114"/>
      <c r="NUQ13" s="114"/>
      <c r="NUR13" s="114"/>
      <c r="NUS13" s="114"/>
      <c r="NUT13" s="114"/>
      <c r="NUU13" s="114"/>
      <c r="NUV13" s="114"/>
      <c r="NUW13" s="114"/>
      <c r="NUX13" s="114"/>
      <c r="NUY13" s="114"/>
      <c r="NUZ13" s="114"/>
      <c r="NVA13" s="114"/>
      <c r="NVB13" s="114"/>
      <c r="NVC13" s="114"/>
      <c r="NVD13" s="114"/>
      <c r="NVE13" s="114"/>
      <c r="NVF13" s="114"/>
      <c r="NVG13" s="114"/>
      <c r="NVH13" s="114"/>
      <c r="NVI13" s="114"/>
      <c r="NVJ13" s="114"/>
      <c r="NVK13" s="114"/>
      <c r="NVL13" s="114"/>
      <c r="NVM13" s="114"/>
      <c r="NVN13" s="114"/>
      <c r="NVO13" s="114"/>
      <c r="NVP13" s="114"/>
      <c r="NVQ13" s="114"/>
      <c r="NVR13" s="114"/>
      <c r="NVS13" s="114"/>
      <c r="NVT13" s="114"/>
      <c r="NVU13" s="114"/>
      <c r="NVV13" s="114"/>
      <c r="NVW13" s="114"/>
      <c r="NVX13" s="114"/>
      <c r="NVY13" s="114"/>
      <c r="NVZ13" s="114"/>
      <c r="NWA13" s="114"/>
      <c r="NWB13" s="114"/>
      <c r="NWC13" s="114"/>
      <c r="NWD13" s="114"/>
      <c r="NWE13" s="114"/>
      <c r="NWF13" s="114"/>
      <c r="NWG13" s="114"/>
      <c r="NWH13" s="114"/>
      <c r="NWI13" s="114"/>
      <c r="NWJ13" s="114"/>
      <c r="NWK13" s="114"/>
      <c r="NWL13" s="114"/>
      <c r="NWM13" s="114"/>
      <c r="NWN13" s="114"/>
      <c r="NWO13" s="114"/>
      <c r="NWP13" s="114"/>
      <c r="NWQ13" s="114"/>
      <c r="NWR13" s="114"/>
      <c r="NWS13" s="114"/>
      <c r="NWT13" s="114"/>
      <c r="NWU13" s="114"/>
      <c r="NWV13" s="114"/>
      <c r="NWW13" s="114"/>
      <c r="NWX13" s="114"/>
      <c r="NWY13" s="114"/>
      <c r="NWZ13" s="114"/>
      <c r="NXA13" s="114"/>
      <c r="NXB13" s="114"/>
      <c r="NXC13" s="114"/>
      <c r="NXD13" s="114"/>
      <c r="NXE13" s="114"/>
      <c r="NXF13" s="114"/>
      <c r="NXG13" s="114"/>
      <c r="NXH13" s="114"/>
      <c r="NXI13" s="114"/>
      <c r="NXJ13" s="114"/>
      <c r="NXK13" s="114"/>
      <c r="NXL13" s="114"/>
      <c r="NXM13" s="114"/>
      <c r="NXN13" s="114"/>
      <c r="NXO13" s="114"/>
      <c r="NXP13" s="114"/>
      <c r="NXQ13" s="114"/>
      <c r="NXR13" s="114"/>
      <c r="NXS13" s="114"/>
      <c r="NXT13" s="114"/>
      <c r="NXU13" s="114"/>
      <c r="NXV13" s="114"/>
      <c r="NXW13" s="114"/>
      <c r="NXX13" s="114"/>
      <c r="NXY13" s="114"/>
      <c r="NXZ13" s="114"/>
      <c r="NYA13" s="114"/>
      <c r="NYB13" s="114"/>
      <c r="NYC13" s="114"/>
      <c r="NYD13" s="114"/>
      <c r="NYE13" s="114"/>
      <c r="NYF13" s="114"/>
      <c r="NYG13" s="114"/>
      <c r="NYH13" s="114"/>
      <c r="NYI13" s="114"/>
      <c r="NYJ13" s="114"/>
      <c r="NYK13" s="114"/>
      <c r="NYL13" s="114"/>
      <c r="NYM13" s="114"/>
      <c r="NYN13" s="114"/>
      <c r="NYO13" s="114"/>
      <c r="NYP13" s="114"/>
      <c r="NYQ13" s="114"/>
      <c r="NYR13" s="114"/>
      <c r="NYS13" s="114"/>
      <c r="NYT13" s="114"/>
      <c r="NYU13" s="114"/>
      <c r="NYV13" s="114"/>
      <c r="NYW13" s="114"/>
      <c r="NYX13" s="114"/>
      <c r="NYY13" s="114"/>
      <c r="NYZ13" s="114"/>
      <c r="NZA13" s="114"/>
      <c r="NZB13" s="114"/>
      <c r="NZC13" s="114"/>
      <c r="NZD13" s="114"/>
      <c r="NZE13" s="114"/>
      <c r="NZF13" s="114"/>
      <c r="NZG13" s="114"/>
      <c r="NZH13" s="114"/>
      <c r="NZI13" s="114"/>
      <c r="NZJ13" s="114"/>
      <c r="NZK13" s="114"/>
      <c r="NZL13" s="114"/>
      <c r="NZM13" s="114"/>
      <c r="NZN13" s="114"/>
      <c r="NZO13" s="114"/>
      <c r="NZP13" s="114"/>
      <c r="NZQ13" s="114"/>
      <c r="NZR13" s="114"/>
      <c r="NZS13" s="114"/>
      <c r="NZT13" s="114"/>
      <c r="NZU13" s="114"/>
      <c r="NZV13" s="114"/>
      <c r="NZW13" s="114"/>
      <c r="NZX13" s="114"/>
      <c r="NZY13" s="114"/>
      <c r="NZZ13" s="114"/>
      <c r="OAA13" s="114"/>
      <c r="OAB13" s="114"/>
      <c r="OAC13" s="114"/>
      <c r="OAD13" s="114"/>
      <c r="OAE13" s="114"/>
      <c r="OAF13" s="114"/>
      <c r="OAG13" s="114"/>
      <c r="OAH13" s="114"/>
      <c r="OAI13" s="114"/>
      <c r="OAJ13" s="114"/>
      <c r="OAK13" s="114"/>
      <c r="OAL13" s="114"/>
      <c r="OAM13" s="114"/>
      <c r="OAN13" s="114"/>
      <c r="OAO13" s="114"/>
      <c r="OAP13" s="114"/>
      <c r="OAQ13" s="114"/>
      <c r="OAR13" s="114"/>
      <c r="OAS13" s="114"/>
      <c r="OAT13" s="114"/>
      <c r="OAU13" s="114"/>
      <c r="OAV13" s="114"/>
      <c r="OAW13" s="114"/>
      <c r="OAX13" s="114"/>
      <c r="OAY13" s="114"/>
      <c r="OAZ13" s="114"/>
      <c r="OBA13" s="114"/>
      <c r="OBB13" s="114"/>
      <c r="OBC13" s="114"/>
      <c r="OBD13" s="114"/>
      <c r="OBE13" s="114"/>
      <c r="OBF13" s="114"/>
      <c r="OBG13" s="114"/>
      <c r="OBH13" s="114"/>
      <c r="OBI13" s="114"/>
      <c r="OBJ13" s="114"/>
      <c r="OBK13" s="114"/>
      <c r="OBL13" s="114"/>
      <c r="OBM13" s="114"/>
      <c r="OBN13" s="114"/>
      <c r="OBO13" s="114"/>
      <c r="OBP13" s="114"/>
      <c r="OBQ13" s="114"/>
      <c r="OBR13" s="114"/>
      <c r="OBS13" s="114"/>
      <c r="OBT13" s="114"/>
      <c r="OBU13" s="114"/>
      <c r="OBV13" s="114"/>
      <c r="OBW13" s="114"/>
      <c r="OBX13" s="114"/>
      <c r="OBY13" s="114"/>
      <c r="OBZ13" s="114"/>
      <c r="OCA13" s="114"/>
      <c r="OCB13" s="114"/>
      <c r="OCC13" s="114"/>
      <c r="OCD13" s="114"/>
      <c r="OCE13" s="114"/>
      <c r="OCF13" s="114"/>
      <c r="OCG13" s="114"/>
      <c r="OCH13" s="114"/>
      <c r="OCI13" s="114"/>
      <c r="OCJ13" s="114"/>
      <c r="OCK13" s="114"/>
      <c r="OCL13" s="114"/>
      <c r="OCM13" s="114"/>
      <c r="OCN13" s="114"/>
      <c r="OCO13" s="114"/>
      <c r="OCP13" s="114"/>
      <c r="OCQ13" s="114"/>
      <c r="OCR13" s="114"/>
      <c r="OCS13" s="114"/>
      <c r="OCT13" s="114"/>
      <c r="OCU13" s="114"/>
      <c r="OCV13" s="114"/>
      <c r="OCW13" s="114"/>
      <c r="OCX13" s="114"/>
      <c r="OCY13" s="114"/>
      <c r="OCZ13" s="114"/>
      <c r="ODA13" s="114"/>
      <c r="ODB13" s="114"/>
      <c r="ODC13" s="114"/>
      <c r="ODD13" s="114"/>
      <c r="ODE13" s="114"/>
      <c r="ODF13" s="114"/>
      <c r="ODG13" s="114"/>
      <c r="ODH13" s="114"/>
      <c r="ODI13" s="114"/>
      <c r="ODJ13" s="114"/>
      <c r="ODK13" s="114"/>
      <c r="ODL13" s="114"/>
      <c r="ODM13" s="114"/>
      <c r="ODN13" s="114"/>
      <c r="ODO13" s="114"/>
      <c r="ODP13" s="114"/>
      <c r="ODQ13" s="114"/>
      <c r="ODR13" s="114"/>
      <c r="ODS13" s="114"/>
      <c r="ODT13" s="114"/>
      <c r="ODU13" s="114"/>
      <c r="ODV13" s="114"/>
      <c r="ODW13" s="114"/>
      <c r="ODX13" s="114"/>
      <c r="ODY13" s="114"/>
      <c r="ODZ13" s="114"/>
      <c r="OEA13" s="114"/>
      <c r="OEB13" s="114"/>
      <c r="OEC13" s="114"/>
      <c r="OED13" s="114"/>
      <c r="OEE13" s="114"/>
      <c r="OEF13" s="114"/>
      <c r="OEG13" s="114"/>
      <c r="OEH13" s="114"/>
      <c r="OEI13" s="114"/>
      <c r="OEJ13" s="114"/>
      <c r="OEK13" s="114"/>
      <c r="OEL13" s="114"/>
      <c r="OEM13" s="114"/>
      <c r="OEN13" s="114"/>
      <c r="OEO13" s="114"/>
      <c r="OEP13" s="114"/>
      <c r="OEQ13" s="114"/>
      <c r="OER13" s="114"/>
      <c r="OES13" s="114"/>
      <c r="OET13" s="114"/>
      <c r="OEU13" s="114"/>
      <c r="OEV13" s="114"/>
      <c r="OEW13" s="114"/>
      <c r="OEX13" s="114"/>
      <c r="OEY13" s="114"/>
      <c r="OEZ13" s="114"/>
      <c r="OFA13" s="114"/>
      <c r="OFB13" s="114"/>
      <c r="OFC13" s="114"/>
      <c r="OFD13" s="114"/>
      <c r="OFE13" s="114"/>
      <c r="OFF13" s="114"/>
      <c r="OFG13" s="114"/>
      <c r="OFH13" s="114"/>
      <c r="OFI13" s="114"/>
      <c r="OFJ13" s="114"/>
      <c r="OFK13" s="114"/>
      <c r="OFL13" s="114"/>
      <c r="OFM13" s="114"/>
      <c r="OFN13" s="114"/>
      <c r="OFO13" s="114"/>
      <c r="OFP13" s="114"/>
      <c r="OFQ13" s="114"/>
      <c r="OFR13" s="114"/>
      <c r="OFS13" s="114"/>
      <c r="OFT13" s="114"/>
      <c r="OFU13" s="114"/>
      <c r="OFV13" s="114"/>
      <c r="OFW13" s="114"/>
      <c r="OFX13" s="114"/>
      <c r="OFY13" s="114"/>
      <c r="OFZ13" s="114"/>
      <c r="OGA13" s="114"/>
      <c r="OGB13" s="114"/>
      <c r="OGC13" s="114"/>
      <c r="OGD13" s="114"/>
      <c r="OGE13" s="114"/>
      <c r="OGF13" s="114"/>
      <c r="OGG13" s="114"/>
      <c r="OGH13" s="114"/>
      <c r="OGI13" s="114"/>
      <c r="OGJ13" s="114"/>
      <c r="OGK13" s="114"/>
      <c r="OGL13" s="114"/>
      <c r="OGM13" s="114"/>
      <c r="OGN13" s="114"/>
      <c r="OGO13" s="114"/>
      <c r="OGP13" s="114"/>
      <c r="OGQ13" s="114"/>
      <c r="OGR13" s="114"/>
      <c r="OGS13" s="114"/>
      <c r="OGT13" s="114"/>
      <c r="OGU13" s="114"/>
      <c r="OGV13" s="114"/>
      <c r="OGW13" s="114"/>
      <c r="OGX13" s="114"/>
      <c r="OGY13" s="114"/>
      <c r="OGZ13" s="114"/>
      <c r="OHA13" s="114"/>
      <c r="OHB13" s="114"/>
      <c r="OHC13" s="114"/>
      <c r="OHD13" s="114"/>
      <c r="OHE13" s="114"/>
      <c r="OHF13" s="114"/>
      <c r="OHG13" s="114"/>
      <c r="OHH13" s="114"/>
      <c r="OHI13" s="114"/>
      <c r="OHJ13" s="114"/>
      <c r="OHK13" s="114"/>
      <c r="OHL13" s="114"/>
      <c r="OHM13" s="114"/>
      <c r="OHN13" s="114"/>
      <c r="OHO13" s="114"/>
      <c r="OHP13" s="114"/>
      <c r="OHQ13" s="114"/>
      <c r="OHR13" s="114"/>
      <c r="OHS13" s="114"/>
      <c r="OHT13" s="114"/>
      <c r="OHU13" s="114"/>
      <c r="OHV13" s="114"/>
      <c r="OHW13" s="114"/>
      <c r="OHX13" s="114"/>
      <c r="OHY13" s="114"/>
      <c r="OHZ13" s="114"/>
      <c r="OIA13" s="114"/>
      <c r="OIB13" s="114"/>
      <c r="OIC13" s="114"/>
      <c r="OID13" s="114"/>
      <c r="OIE13" s="114"/>
      <c r="OIF13" s="114"/>
      <c r="OIG13" s="114"/>
      <c r="OIH13" s="114"/>
      <c r="OII13" s="114"/>
      <c r="OIJ13" s="114"/>
      <c r="OIK13" s="114"/>
      <c r="OIL13" s="114"/>
      <c r="OIM13" s="114"/>
      <c r="OIN13" s="114"/>
      <c r="OIO13" s="114"/>
      <c r="OIP13" s="114"/>
      <c r="OIQ13" s="114"/>
      <c r="OIR13" s="114"/>
      <c r="OIS13" s="114"/>
      <c r="OIT13" s="114"/>
      <c r="OIU13" s="114"/>
      <c r="OIV13" s="114"/>
      <c r="OIW13" s="114"/>
      <c r="OIX13" s="114"/>
      <c r="OIY13" s="114"/>
      <c r="OIZ13" s="114"/>
      <c r="OJA13" s="114"/>
      <c r="OJB13" s="114"/>
      <c r="OJC13" s="114"/>
      <c r="OJD13" s="114"/>
      <c r="OJE13" s="114"/>
      <c r="OJF13" s="114"/>
      <c r="OJG13" s="114"/>
      <c r="OJH13" s="114"/>
      <c r="OJI13" s="114"/>
      <c r="OJJ13" s="114"/>
      <c r="OJK13" s="114"/>
      <c r="OJL13" s="114"/>
      <c r="OJM13" s="114"/>
      <c r="OJN13" s="114"/>
      <c r="OJO13" s="114"/>
      <c r="OJP13" s="114"/>
      <c r="OJQ13" s="114"/>
      <c r="OJR13" s="114"/>
      <c r="OJS13" s="114"/>
      <c r="OJT13" s="114"/>
      <c r="OJU13" s="114"/>
      <c r="OJV13" s="114"/>
      <c r="OJW13" s="114"/>
      <c r="OJX13" s="114"/>
      <c r="OJY13" s="114"/>
      <c r="OJZ13" s="114"/>
      <c r="OKA13" s="114"/>
      <c r="OKB13" s="114"/>
      <c r="OKC13" s="114"/>
      <c r="OKD13" s="114"/>
      <c r="OKE13" s="114"/>
      <c r="OKF13" s="114"/>
      <c r="OKG13" s="114"/>
      <c r="OKH13" s="114"/>
      <c r="OKI13" s="114"/>
      <c r="OKJ13" s="114"/>
      <c r="OKK13" s="114"/>
      <c r="OKL13" s="114"/>
      <c r="OKM13" s="114"/>
      <c r="OKN13" s="114"/>
      <c r="OKO13" s="114"/>
      <c r="OKP13" s="114"/>
      <c r="OKQ13" s="114"/>
      <c r="OKR13" s="114"/>
      <c r="OKS13" s="114"/>
      <c r="OKT13" s="114"/>
      <c r="OKU13" s="114"/>
      <c r="OKV13" s="114"/>
      <c r="OKW13" s="114"/>
      <c r="OKX13" s="114"/>
      <c r="OKY13" s="114"/>
      <c r="OKZ13" s="114"/>
      <c r="OLA13" s="114"/>
      <c r="OLB13" s="114"/>
      <c r="OLC13" s="114"/>
      <c r="OLD13" s="114"/>
      <c r="OLE13" s="114"/>
      <c r="OLF13" s="114"/>
      <c r="OLG13" s="114"/>
      <c r="OLH13" s="114"/>
      <c r="OLI13" s="114"/>
      <c r="OLJ13" s="114"/>
      <c r="OLK13" s="114"/>
      <c r="OLL13" s="114"/>
      <c r="OLM13" s="114"/>
      <c r="OLN13" s="114"/>
      <c r="OLO13" s="114"/>
      <c r="OLP13" s="114"/>
      <c r="OLQ13" s="114"/>
      <c r="OLR13" s="114"/>
      <c r="OLS13" s="114"/>
      <c r="OLT13" s="114"/>
      <c r="OLU13" s="114"/>
      <c r="OLV13" s="114"/>
      <c r="OLW13" s="114"/>
      <c r="OLX13" s="114"/>
      <c r="OLY13" s="114"/>
      <c r="OLZ13" s="114"/>
      <c r="OMA13" s="114"/>
      <c r="OMB13" s="114"/>
      <c r="OMC13" s="114"/>
      <c r="OMD13" s="114"/>
      <c r="OME13" s="114"/>
      <c r="OMF13" s="114"/>
      <c r="OMG13" s="114"/>
      <c r="OMH13" s="114"/>
      <c r="OMI13" s="114"/>
      <c r="OMJ13" s="114"/>
      <c r="OMK13" s="114"/>
      <c r="OML13" s="114"/>
      <c r="OMM13" s="114"/>
      <c r="OMN13" s="114"/>
      <c r="OMO13" s="114"/>
      <c r="OMP13" s="114"/>
      <c r="OMQ13" s="114"/>
      <c r="OMR13" s="114"/>
      <c r="OMS13" s="114"/>
      <c r="OMT13" s="114"/>
      <c r="OMU13" s="114"/>
      <c r="OMV13" s="114"/>
      <c r="OMW13" s="114"/>
      <c r="OMX13" s="114"/>
      <c r="OMY13" s="114"/>
      <c r="OMZ13" s="114"/>
      <c r="ONA13" s="114"/>
      <c r="ONB13" s="114"/>
      <c r="ONC13" s="114"/>
      <c r="OND13" s="114"/>
      <c r="ONE13" s="114"/>
      <c r="ONF13" s="114"/>
      <c r="ONG13" s="114"/>
      <c r="ONH13" s="114"/>
      <c r="ONI13" s="114"/>
      <c r="ONJ13" s="114"/>
      <c r="ONK13" s="114"/>
      <c r="ONL13" s="114"/>
      <c r="ONM13" s="114"/>
      <c r="ONN13" s="114"/>
      <c r="ONO13" s="114"/>
      <c r="ONP13" s="114"/>
      <c r="ONQ13" s="114"/>
      <c r="ONR13" s="114"/>
      <c r="ONS13" s="114"/>
      <c r="ONT13" s="114"/>
      <c r="ONU13" s="114"/>
      <c r="ONV13" s="114"/>
      <c r="ONW13" s="114"/>
      <c r="ONX13" s="114"/>
      <c r="ONY13" s="114"/>
      <c r="ONZ13" s="114"/>
      <c r="OOA13" s="114"/>
      <c r="OOB13" s="114"/>
      <c r="OOC13" s="114"/>
      <c r="OOD13" s="114"/>
      <c r="OOE13" s="114"/>
      <c r="OOF13" s="114"/>
      <c r="OOG13" s="114"/>
      <c r="OOH13" s="114"/>
      <c r="OOI13" s="114"/>
      <c r="OOJ13" s="114"/>
      <c r="OOK13" s="114"/>
      <c r="OOL13" s="114"/>
      <c r="OOM13" s="114"/>
      <c r="OON13" s="114"/>
      <c r="OOO13" s="114"/>
      <c r="OOP13" s="114"/>
      <c r="OOQ13" s="114"/>
      <c r="OOR13" s="114"/>
      <c r="OOS13" s="114"/>
      <c r="OOT13" s="114"/>
      <c r="OOU13" s="114"/>
      <c r="OOV13" s="114"/>
      <c r="OOW13" s="114"/>
      <c r="OOX13" s="114"/>
      <c r="OOY13" s="114"/>
      <c r="OOZ13" s="114"/>
      <c r="OPA13" s="114"/>
      <c r="OPB13" s="114"/>
      <c r="OPC13" s="114"/>
      <c r="OPD13" s="114"/>
      <c r="OPE13" s="114"/>
      <c r="OPF13" s="114"/>
      <c r="OPG13" s="114"/>
      <c r="OPH13" s="114"/>
      <c r="OPI13" s="114"/>
      <c r="OPJ13" s="114"/>
      <c r="OPK13" s="114"/>
      <c r="OPL13" s="114"/>
      <c r="OPM13" s="114"/>
      <c r="OPN13" s="114"/>
      <c r="OPO13" s="114"/>
      <c r="OPP13" s="114"/>
      <c r="OPQ13" s="114"/>
      <c r="OPR13" s="114"/>
      <c r="OPS13" s="114"/>
      <c r="OPT13" s="114"/>
      <c r="OPU13" s="114"/>
      <c r="OPV13" s="114"/>
      <c r="OPW13" s="114"/>
      <c r="OPX13" s="114"/>
      <c r="OPY13" s="114"/>
      <c r="OPZ13" s="114"/>
      <c r="OQA13" s="114"/>
      <c r="OQB13" s="114"/>
      <c r="OQC13" s="114"/>
      <c r="OQD13" s="114"/>
      <c r="OQE13" s="114"/>
      <c r="OQF13" s="114"/>
      <c r="OQG13" s="114"/>
      <c r="OQH13" s="114"/>
      <c r="OQI13" s="114"/>
      <c r="OQJ13" s="114"/>
      <c r="OQK13" s="114"/>
      <c r="OQL13" s="114"/>
      <c r="OQM13" s="114"/>
      <c r="OQN13" s="114"/>
      <c r="OQO13" s="114"/>
      <c r="OQP13" s="114"/>
      <c r="OQQ13" s="114"/>
      <c r="OQR13" s="114"/>
      <c r="OQS13" s="114"/>
      <c r="OQT13" s="114"/>
      <c r="OQU13" s="114"/>
      <c r="OQV13" s="114"/>
      <c r="OQW13" s="114"/>
      <c r="OQX13" s="114"/>
      <c r="OQY13" s="114"/>
      <c r="OQZ13" s="114"/>
      <c r="ORA13" s="114"/>
      <c r="ORB13" s="114"/>
      <c r="ORC13" s="114"/>
      <c r="ORD13" s="114"/>
      <c r="ORE13" s="114"/>
      <c r="ORF13" s="114"/>
      <c r="ORG13" s="114"/>
      <c r="ORH13" s="114"/>
      <c r="ORI13" s="114"/>
      <c r="ORJ13" s="114"/>
      <c r="ORK13" s="114"/>
      <c r="ORL13" s="114"/>
      <c r="ORM13" s="114"/>
      <c r="ORN13" s="114"/>
      <c r="ORO13" s="114"/>
      <c r="ORP13" s="114"/>
      <c r="ORQ13" s="114"/>
      <c r="ORR13" s="114"/>
      <c r="ORS13" s="114"/>
      <c r="ORT13" s="114"/>
      <c r="ORU13" s="114"/>
      <c r="ORV13" s="114"/>
      <c r="ORW13" s="114"/>
      <c r="ORX13" s="114"/>
      <c r="ORY13" s="114"/>
      <c r="ORZ13" s="114"/>
      <c r="OSA13" s="114"/>
      <c r="OSB13" s="114"/>
      <c r="OSC13" s="114"/>
      <c r="OSD13" s="114"/>
      <c r="OSE13" s="114"/>
      <c r="OSF13" s="114"/>
      <c r="OSG13" s="114"/>
      <c r="OSH13" s="114"/>
      <c r="OSI13" s="114"/>
      <c r="OSJ13" s="114"/>
      <c r="OSK13" s="114"/>
      <c r="OSL13" s="114"/>
      <c r="OSM13" s="114"/>
      <c r="OSN13" s="114"/>
      <c r="OSO13" s="114"/>
      <c r="OSP13" s="114"/>
      <c r="OSQ13" s="114"/>
      <c r="OSR13" s="114"/>
      <c r="OSS13" s="114"/>
      <c r="OST13" s="114"/>
      <c r="OSU13" s="114"/>
      <c r="OSV13" s="114"/>
      <c r="OSW13" s="114"/>
      <c r="OSX13" s="114"/>
      <c r="OSY13" s="114"/>
      <c r="OSZ13" s="114"/>
      <c r="OTA13" s="114"/>
      <c r="OTB13" s="114"/>
      <c r="OTC13" s="114"/>
      <c r="OTD13" s="114"/>
      <c r="OTE13" s="114"/>
      <c r="OTF13" s="114"/>
      <c r="OTG13" s="114"/>
      <c r="OTH13" s="114"/>
      <c r="OTI13" s="114"/>
      <c r="OTJ13" s="114"/>
      <c r="OTK13" s="114"/>
      <c r="OTL13" s="114"/>
      <c r="OTM13" s="114"/>
      <c r="OTN13" s="114"/>
      <c r="OTO13" s="114"/>
      <c r="OTP13" s="114"/>
      <c r="OTQ13" s="114"/>
      <c r="OTR13" s="114"/>
      <c r="OTS13" s="114"/>
      <c r="OTT13" s="114"/>
      <c r="OTU13" s="114"/>
      <c r="OTV13" s="114"/>
      <c r="OTW13" s="114"/>
      <c r="OTX13" s="114"/>
      <c r="OTY13" s="114"/>
      <c r="OTZ13" s="114"/>
      <c r="OUA13" s="114"/>
      <c r="OUB13" s="114"/>
      <c r="OUC13" s="114"/>
      <c r="OUD13" s="114"/>
      <c r="OUE13" s="114"/>
      <c r="OUF13" s="114"/>
      <c r="OUG13" s="114"/>
      <c r="OUH13" s="114"/>
      <c r="OUI13" s="114"/>
      <c r="OUJ13" s="114"/>
      <c r="OUK13" s="114"/>
      <c r="OUL13" s="114"/>
      <c r="OUM13" s="114"/>
      <c r="OUN13" s="114"/>
      <c r="OUO13" s="114"/>
      <c r="OUP13" s="114"/>
      <c r="OUQ13" s="114"/>
      <c r="OUR13" s="114"/>
      <c r="OUS13" s="114"/>
      <c r="OUT13" s="114"/>
      <c r="OUU13" s="114"/>
      <c r="OUV13" s="114"/>
      <c r="OUW13" s="114"/>
      <c r="OUX13" s="114"/>
      <c r="OUY13" s="114"/>
      <c r="OUZ13" s="114"/>
      <c r="OVA13" s="114"/>
      <c r="OVB13" s="114"/>
      <c r="OVC13" s="114"/>
      <c r="OVD13" s="114"/>
      <c r="OVE13" s="114"/>
      <c r="OVF13" s="114"/>
      <c r="OVG13" s="114"/>
      <c r="OVH13" s="114"/>
      <c r="OVI13" s="114"/>
      <c r="OVJ13" s="114"/>
      <c r="OVK13" s="114"/>
      <c r="OVL13" s="114"/>
      <c r="OVM13" s="114"/>
      <c r="OVN13" s="114"/>
      <c r="OVO13" s="114"/>
      <c r="OVP13" s="114"/>
      <c r="OVQ13" s="114"/>
      <c r="OVR13" s="114"/>
      <c r="OVS13" s="114"/>
      <c r="OVT13" s="114"/>
      <c r="OVU13" s="114"/>
      <c r="OVV13" s="114"/>
      <c r="OVW13" s="114"/>
      <c r="OVX13" s="114"/>
      <c r="OVY13" s="114"/>
      <c r="OVZ13" s="114"/>
      <c r="OWA13" s="114"/>
      <c r="OWB13" s="114"/>
      <c r="OWC13" s="114"/>
      <c r="OWD13" s="114"/>
      <c r="OWE13" s="114"/>
      <c r="OWF13" s="114"/>
      <c r="OWG13" s="114"/>
      <c r="OWH13" s="114"/>
      <c r="OWI13" s="114"/>
      <c r="OWJ13" s="114"/>
      <c r="OWK13" s="114"/>
      <c r="OWL13" s="114"/>
      <c r="OWM13" s="114"/>
      <c r="OWN13" s="114"/>
      <c r="OWO13" s="114"/>
      <c r="OWP13" s="114"/>
      <c r="OWQ13" s="114"/>
      <c r="OWR13" s="114"/>
      <c r="OWS13" s="114"/>
      <c r="OWT13" s="114"/>
      <c r="OWU13" s="114"/>
      <c r="OWV13" s="114"/>
      <c r="OWW13" s="114"/>
      <c r="OWX13" s="114"/>
      <c r="OWY13" s="114"/>
      <c r="OWZ13" s="114"/>
      <c r="OXA13" s="114"/>
      <c r="OXB13" s="114"/>
      <c r="OXC13" s="114"/>
      <c r="OXD13" s="114"/>
      <c r="OXE13" s="114"/>
      <c r="OXF13" s="114"/>
      <c r="OXG13" s="114"/>
      <c r="OXH13" s="114"/>
      <c r="OXI13" s="114"/>
      <c r="OXJ13" s="114"/>
      <c r="OXK13" s="114"/>
      <c r="OXL13" s="114"/>
      <c r="OXM13" s="114"/>
      <c r="OXN13" s="114"/>
      <c r="OXO13" s="114"/>
      <c r="OXP13" s="114"/>
      <c r="OXQ13" s="114"/>
      <c r="OXR13" s="114"/>
      <c r="OXS13" s="114"/>
      <c r="OXT13" s="114"/>
      <c r="OXU13" s="114"/>
      <c r="OXV13" s="114"/>
      <c r="OXW13" s="114"/>
      <c r="OXX13" s="114"/>
      <c r="OXY13" s="114"/>
      <c r="OXZ13" s="114"/>
      <c r="OYA13" s="114"/>
      <c r="OYB13" s="114"/>
      <c r="OYC13" s="114"/>
      <c r="OYD13" s="114"/>
      <c r="OYE13" s="114"/>
      <c r="OYF13" s="114"/>
      <c r="OYG13" s="114"/>
      <c r="OYH13" s="114"/>
      <c r="OYI13" s="114"/>
      <c r="OYJ13" s="114"/>
      <c r="OYK13" s="114"/>
      <c r="OYL13" s="114"/>
      <c r="OYM13" s="114"/>
      <c r="OYN13" s="114"/>
      <c r="OYO13" s="114"/>
      <c r="OYP13" s="114"/>
      <c r="OYQ13" s="114"/>
      <c r="OYR13" s="114"/>
      <c r="OYS13" s="114"/>
      <c r="OYT13" s="114"/>
      <c r="OYU13" s="114"/>
      <c r="OYV13" s="114"/>
      <c r="OYW13" s="114"/>
      <c r="OYX13" s="114"/>
      <c r="OYY13" s="114"/>
      <c r="OYZ13" s="114"/>
      <c r="OZA13" s="114"/>
      <c r="OZB13" s="114"/>
      <c r="OZC13" s="114"/>
      <c r="OZD13" s="114"/>
      <c r="OZE13" s="114"/>
      <c r="OZF13" s="114"/>
      <c r="OZG13" s="114"/>
      <c r="OZH13" s="114"/>
      <c r="OZI13" s="114"/>
      <c r="OZJ13" s="114"/>
      <c r="OZK13" s="114"/>
      <c r="OZL13" s="114"/>
      <c r="OZM13" s="114"/>
      <c r="OZN13" s="114"/>
      <c r="OZO13" s="114"/>
      <c r="OZP13" s="114"/>
      <c r="OZQ13" s="114"/>
      <c r="OZR13" s="114"/>
      <c r="OZS13" s="114"/>
      <c r="OZT13" s="114"/>
      <c r="OZU13" s="114"/>
      <c r="OZV13" s="114"/>
      <c r="OZW13" s="114"/>
      <c r="OZX13" s="114"/>
      <c r="OZY13" s="114"/>
      <c r="OZZ13" s="114"/>
      <c r="PAA13" s="114"/>
      <c r="PAB13" s="114"/>
      <c r="PAC13" s="114"/>
      <c r="PAD13" s="114"/>
      <c r="PAE13" s="114"/>
      <c r="PAF13" s="114"/>
      <c r="PAG13" s="114"/>
      <c r="PAH13" s="114"/>
      <c r="PAI13" s="114"/>
      <c r="PAJ13" s="114"/>
      <c r="PAK13" s="114"/>
      <c r="PAL13" s="114"/>
      <c r="PAM13" s="114"/>
      <c r="PAN13" s="114"/>
      <c r="PAO13" s="114"/>
      <c r="PAP13" s="114"/>
      <c r="PAQ13" s="114"/>
      <c r="PAR13" s="114"/>
      <c r="PAS13" s="114"/>
      <c r="PAT13" s="114"/>
      <c r="PAU13" s="114"/>
      <c r="PAV13" s="114"/>
      <c r="PAW13" s="114"/>
      <c r="PAX13" s="114"/>
      <c r="PAY13" s="114"/>
      <c r="PAZ13" s="114"/>
      <c r="PBA13" s="114"/>
      <c r="PBB13" s="114"/>
      <c r="PBC13" s="114"/>
      <c r="PBD13" s="114"/>
      <c r="PBE13" s="114"/>
      <c r="PBF13" s="114"/>
      <c r="PBG13" s="114"/>
      <c r="PBH13" s="114"/>
      <c r="PBI13" s="114"/>
      <c r="PBJ13" s="114"/>
      <c r="PBK13" s="114"/>
      <c r="PBL13" s="114"/>
      <c r="PBM13" s="114"/>
      <c r="PBN13" s="114"/>
      <c r="PBO13" s="114"/>
      <c r="PBP13" s="114"/>
      <c r="PBQ13" s="114"/>
      <c r="PBR13" s="114"/>
      <c r="PBS13" s="114"/>
      <c r="PBT13" s="114"/>
      <c r="PBU13" s="114"/>
      <c r="PBV13" s="114"/>
      <c r="PBW13" s="114"/>
      <c r="PBX13" s="114"/>
      <c r="PBY13" s="114"/>
      <c r="PBZ13" s="114"/>
      <c r="PCA13" s="114"/>
      <c r="PCB13" s="114"/>
      <c r="PCC13" s="114"/>
      <c r="PCD13" s="114"/>
      <c r="PCE13" s="114"/>
      <c r="PCF13" s="114"/>
      <c r="PCG13" s="114"/>
      <c r="PCH13" s="114"/>
      <c r="PCI13" s="114"/>
      <c r="PCJ13" s="114"/>
      <c r="PCK13" s="114"/>
      <c r="PCL13" s="114"/>
      <c r="PCM13" s="114"/>
      <c r="PCN13" s="114"/>
      <c r="PCO13" s="114"/>
      <c r="PCP13" s="114"/>
      <c r="PCQ13" s="114"/>
      <c r="PCR13" s="114"/>
      <c r="PCS13" s="114"/>
      <c r="PCT13" s="114"/>
      <c r="PCU13" s="114"/>
      <c r="PCV13" s="114"/>
      <c r="PCW13" s="114"/>
      <c r="PCX13" s="114"/>
      <c r="PCY13" s="114"/>
      <c r="PCZ13" s="114"/>
      <c r="PDA13" s="114"/>
      <c r="PDB13" s="114"/>
      <c r="PDC13" s="114"/>
      <c r="PDD13" s="114"/>
      <c r="PDE13" s="114"/>
      <c r="PDF13" s="114"/>
      <c r="PDG13" s="114"/>
      <c r="PDH13" s="114"/>
      <c r="PDI13" s="114"/>
      <c r="PDJ13" s="114"/>
      <c r="PDK13" s="114"/>
      <c r="PDL13" s="114"/>
      <c r="PDM13" s="114"/>
      <c r="PDN13" s="114"/>
      <c r="PDO13" s="114"/>
      <c r="PDP13" s="114"/>
      <c r="PDQ13" s="114"/>
      <c r="PDR13" s="114"/>
      <c r="PDS13" s="114"/>
      <c r="PDT13" s="114"/>
      <c r="PDU13" s="114"/>
      <c r="PDV13" s="114"/>
      <c r="PDW13" s="114"/>
      <c r="PDX13" s="114"/>
      <c r="PDY13" s="114"/>
      <c r="PDZ13" s="114"/>
      <c r="PEA13" s="114"/>
      <c r="PEB13" s="114"/>
      <c r="PEC13" s="114"/>
      <c r="PED13" s="114"/>
      <c r="PEE13" s="114"/>
      <c r="PEF13" s="114"/>
      <c r="PEG13" s="114"/>
      <c r="PEH13" s="114"/>
      <c r="PEI13" s="114"/>
      <c r="PEJ13" s="114"/>
      <c r="PEK13" s="114"/>
      <c r="PEL13" s="114"/>
      <c r="PEM13" s="114"/>
      <c r="PEN13" s="114"/>
      <c r="PEO13" s="114"/>
      <c r="PEP13" s="114"/>
      <c r="PEQ13" s="114"/>
      <c r="PER13" s="114"/>
      <c r="PES13" s="114"/>
      <c r="PET13" s="114"/>
      <c r="PEU13" s="114"/>
      <c r="PEV13" s="114"/>
      <c r="PEW13" s="114"/>
      <c r="PEX13" s="114"/>
      <c r="PEY13" s="114"/>
      <c r="PEZ13" s="114"/>
      <c r="PFA13" s="114"/>
      <c r="PFB13" s="114"/>
      <c r="PFC13" s="114"/>
      <c r="PFD13" s="114"/>
      <c r="PFE13" s="114"/>
      <c r="PFF13" s="114"/>
      <c r="PFG13" s="114"/>
      <c r="PFH13" s="114"/>
      <c r="PFI13" s="114"/>
      <c r="PFJ13" s="114"/>
      <c r="PFK13" s="114"/>
      <c r="PFL13" s="114"/>
      <c r="PFM13" s="114"/>
      <c r="PFN13" s="114"/>
      <c r="PFO13" s="114"/>
      <c r="PFP13" s="114"/>
      <c r="PFQ13" s="114"/>
      <c r="PFR13" s="114"/>
      <c r="PFS13" s="114"/>
      <c r="PFT13" s="114"/>
      <c r="PFU13" s="114"/>
      <c r="PFV13" s="114"/>
      <c r="PFW13" s="114"/>
      <c r="PFX13" s="114"/>
      <c r="PFY13" s="114"/>
      <c r="PFZ13" s="114"/>
      <c r="PGA13" s="114"/>
      <c r="PGB13" s="114"/>
      <c r="PGC13" s="114"/>
      <c r="PGD13" s="114"/>
      <c r="PGE13" s="114"/>
      <c r="PGF13" s="114"/>
      <c r="PGG13" s="114"/>
      <c r="PGH13" s="114"/>
      <c r="PGI13" s="114"/>
      <c r="PGJ13" s="114"/>
      <c r="PGK13" s="114"/>
      <c r="PGL13" s="114"/>
      <c r="PGM13" s="114"/>
      <c r="PGN13" s="114"/>
      <c r="PGO13" s="114"/>
      <c r="PGP13" s="114"/>
      <c r="PGQ13" s="114"/>
      <c r="PGR13" s="114"/>
      <c r="PGS13" s="114"/>
      <c r="PGT13" s="114"/>
      <c r="PGU13" s="114"/>
      <c r="PGV13" s="114"/>
      <c r="PGW13" s="114"/>
      <c r="PGX13" s="114"/>
      <c r="PGY13" s="114"/>
      <c r="PGZ13" s="114"/>
      <c r="PHA13" s="114"/>
      <c r="PHB13" s="114"/>
      <c r="PHC13" s="114"/>
      <c r="PHD13" s="114"/>
      <c r="PHE13" s="114"/>
      <c r="PHF13" s="114"/>
      <c r="PHG13" s="114"/>
      <c r="PHH13" s="114"/>
      <c r="PHI13" s="114"/>
      <c r="PHJ13" s="114"/>
      <c r="PHK13" s="114"/>
      <c r="PHL13" s="114"/>
      <c r="PHM13" s="114"/>
      <c r="PHN13" s="114"/>
      <c r="PHO13" s="114"/>
      <c r="PHP13" s="114"/>
      <c r="PHQ13" s="114"/>
      <c r="PHR13" s="114"/>
      <c r="PHS13" s="114"/>
      <c r="PHT13" s="114"/>
      <c r="PHU13" s="114"/>
      <c r="PHV13" s="114"/>
      <c r="PHW13" s="114"/>
      <c r="PHX13" s="114"/>
      <c r="PHY13" s="114"/>
      <c r="PHZ13" s="114"/>
      <c r="PIA13" s="114"/>
      <c r="PIB13" s="114"/>
      <c r="PIC13" s="114"/>
      <c r="PID13" s="114"/>
      <c r="PIE13" s="114"/>
      <c r="PIF13" s="114"/>
      <c r="PIG13" s="114"/>
      <c r="PIH13" s="114"/>
      <c r="PII13" s="114"/>
      <c r="PIJ13" s="114"/>
      <c r="PIK13" s="114"/>
      <c r="PIL13" s="114"/>
      <c r="PIM13" s="114"/>
      <c r="PIN13" s="114"/>
      <c r="PIO13" s="114"/>
      <c r="PIP13" s="114"/>
      <c r="PIQ13" s="114"/>
      <c r="PIR13" s="114"/>
      <c r="PIS13" s="114"/>
      <c r="PIT13" s="114"/>
      <c r="PIU13" s="114"/>
      <c r="PIV13" s="114"/>
      <c r="PIW13" s="114"/>
      <c r="PIX13" s="114"/>
      <c r="PIY13" s="114"/>
      <c r="PIZ13" s="114"/>
      <c r="PJA13" s="114"/>
      <c r="PJB13" s="114"/>
      <c r="PJC13" s="114"/>
      <c r="PJD13" s="114"/>
      <c r="PJE13" s="114"/>
      <c r="PJF13" s="114"/>
      <c r="PJG13" s="114"/>
      <c r="PJH13" s="114"/>
      <c r="PJI13" s="114"/>
      <c r="PJJ13" s="114"/>
      <c r="PJK13" s="114"/>
      <c r="PJL13" s="114"/>
      <c r="PJM13" s="114"/>
      <c r="PJN13" s="114"/>
      <c r="PJO13" s="114"/>
      <c r="PJP13" s="114"/>
      <c r="PJQ13" s="114"/>
      <c r="PJR13" s="114"/>
      <c r="PJS13" s="114"/>
      <c r="PJT13" s="114"/>
      <c r="PJU13" s="114"/>
      <c r="PJV13" s="114"/>
      <c r="PJW13" s="114"/>
      <c r="PJX13" s="114"/>
      <c r="PJY13" s="114"/>
      <c r="PJZ13" s="114"/>
      <c r="PKA13" s="114"/>
      <c r="PKB13" s="114"/>
      <c r="PKC13" s="114"/>
      <c r="PKD13" s="114"/>
      <c r="PKE13" s="114"/>
      <c r="PKF13" s="114"/>
      <c r="PKG13" s="114"/>
      <c r="PKH13" s="114"/>
      <c r="PKI13" s="114"/>
      <c r="PKJ13" s="114"/>
      <c r="PKK13" s="114"/>
      <c r="PKL13" s="114"/>
      <c r="PKM13" s="114"/>
      <c r="PKN13" s="114"/>
      <c r="PKO13" s="114"/>
      <c r="PKP13" s="114"/>
      <c r="PKQ13" s="114"/>
      <c r="PKR13" s="114"/>
      <c r="PKS13" s="114"/>
      <c r="PKT13" s="114"/>
      <c r="PKU13" s="114"/>
      <c r="PKV13" s="114"/>
      <c r="PKW13" s="114"/>
      <c r="PKX13" s="114"/>
      <c r="PKY13" s="114"/>
      <c r="PKZ13" s="114"/>
      <c r="PLA13" s="114"/>
      <c r="PLB13" s="114"/>
      <c r="PLC13" s="114"/>
      <c r="PLD13" s="114"/>
      <c r="PLE13" s="114"/>
      <c r="PLF13" s="114"/>
      <c r="PLG13" s="114"/>
      <c r="PLH13" s="114"/>
      <c r="PLI13" s="114"/>
      <c r="PLJ13" s="114"/>
      <c r="PLK13" s="114"/>
      <c r="PLL13" s="114"/>
      <c r="PLM13" s="114"/>
      <c r="PLN13" s="114"/>
      <c r="PLO13" s="114"/>
      <c r="PLP13" s="114"/>
      <c r="PLQ13" s="114"/>
      <c r="PLR13" s="114"/>
      <c r="PLS13" s="114"/>
      <c r="PLT13" s="114"/>
      <c r="PLU13" s="114"/>
      <c r="PLV13" s="114"/>
      <c r="PLW13" s="114"/>
      <c r="PLX13" s="114"/>
      <c r="PLY13" s="114"/>
      <c r="PLZ13" s="114"/>
      <c r="PMA13" s="114"/>
      <c r="PMB13" s="114"/>
      <c r="PMC13" s="114"/>
      <c r="PMD13" s="114"/>
      <c r="PME13" s="114"/>
      <c r="PMF13" s="114"/>
      <c r="PMG13" s="114"/>
      <c r="PMH13" s="114"/>
      <c r="PMI13" s="114"/>
      <c r="PMJ13" s="114"/>
      <c r="PMK13" s="114"/>
      <c r="PML13" s="114"/>
      <c r="PMM13" s="114"/>
      <c r="PMN13" s="114"/>
      <c r="PMO13" s="114"/>
      <c r="PMP13" s="114"/>
      <c r="PMQ13" s="114"/>
      <c r="PMR13" s="114"/>
      <c r="PMS13" s="114"/>
      <c r="PMT13" s="114"/>
      <c r="PMU13" s="114"/>
      <c r="PMV13" s="114"/>
      <c r="PMW13" s="114"/>
      <c r="PMX13" s="114"/>
      <c r="PMY13" s="114"/>
      <c r="PMZ13" s="114"/>
      <c r="PNA13" s="114"/>
      <c r="PNB13" s="114"/>
      <c r="PNC13" s="114"/>
      <c r="PND13" s="114"/>
      <c r="PNE13" s="114"/>
      <c r="PNF13" s="114"/>
      <c r="PNG13" s="114"/>
      <c r="PNH13" s="114"/>
      <c r="PNI13" s="114"/>
      <c r="PNJ13" s="114"/>
      <c r="PNK13" s="114"/>
      <c r="PNL13" s="114"/>
      <c r="PNM13" s="114"/>
      <c r="PNN13" s="114"/>
      <c r="PNO13" s="114"/>
      <c r="PNP13" s="114"/>
      <c r="PNQ13" s="114"/>
      <c r="PNR13" s="114"/>
      <c r="PNS13" s="114"/>
      <c r="PNT13" s="114"/>
      <c r="PNU13" s="114"/>
      <c r="PNV13" s="114"/>
      <c r="PNW13" s="114"/>
      <c r="PNX13" s="114"/>
      <c r="PNY13" s="114"/>
      <c r="PNZ13" s="114"/>
      <c r="POA13" s="114"/>
      <c r="POB13" s="114"/>
      <c r="POC13" s="114"/>
      <c r="POD13" s="114"/>
      <c r="POE13" s="114"/>
      <c r="POF13" s="114"/>
      <c r="POG13" s="114"/>
      <c r="POH13" s="114"/>
      <c r="POI13" s="114"/>
      <c r="POJ13" s="114"/>
      <c r="POK13" s="114"/>
      <c r="POL13" s="114"/>
      <c r="POM13" s="114"/>
      <c r="PON13" s="114"/>
      <c r="POO13" s="114"/>
      <c r="POP13" s="114"/>
      <c r="POQ13" s="114"/>
      <c r="POR13" s="114"/>
      <c r="POS13" s="114"/>
      <c r="POT13" s="114"/>
      <c r="POU13" s="114"/>
      <c r="POV13" s="114"/>
      <c r="POW13" s="114"/>
      <c r="POX13" s="114"/>
      <c r="POY13" s="114"/>
      <c r="POZ13" s="114"/>
      <c r="PPA13" s="114"/>
      <c r="PPB13" s="114"/>
      <c r="PPC13" s="114"/>
      <c r="PPD13" s="114"/>
      <c r="PPE13" s="114"/>
      <c r="PPF13" s="114"/>
      <c r="PPG13" s="114"/>
      <c r="PPH13" s="114"/>
      <c r="PPI13" s="114"/>
      <c r="PPJ13" s="114"/>
      <c r="PPK13" s="114"/>
      <c r="PPL13" s="114"/>
      <c r="PPM13" s="114"/>
      <c r="PPN13" s="114"/>
      <c r="PPO13" s="114"/>
      <c r="PPP13" s="114"/>
      <c r="PPQ13" s="114"/>
      <c r="PPR13" s="114"/>
      <c r="PPS13" s="114"/>
      <c r="PPT13" s="114"/>
      <c r="PPU13" s="114"/>
      <c r="PPV13" s="114"/>
      <c r="PPW13" s="114"/>
      <c r="PPX13" s="114"/>
      <c r="PPY13" s="114"/>
      <c r="PPZ13" s="114"/>
      <c r="PQA13" s="114"/>
      <c r="PQB13" s="114"/>
      <c r="PQC13" s="114"/>
      <c r="PQD13" s="114"/>
      <c r="PQE13" s="114"/>
      <c r="PQF13" s="114"/>
      <c r="PQG13" s="114"/>
      <c r="PQH13" s="114"/>
      <c r="PQI13" s="114"/>
      <c r="PQJ13" s="114"/>
      <c r="PQK13" s="114"/>
      <c r="PQL13" s="114"/>
      <c r="PQM13" s="114"/>
      <c r="PQN13" s="114"/>
      <c r="PQO13" s="114"/>
      <c r="PQP13" s="114"/>
      <c r="PQQ13" s="114"/>
      <c r="PQR13" s="114"/>
      <c r="PQS13" s="114"/>
      <c r="PQT13" s="114"/>
      <c r="PQU13" s="114"/>
      <c r="PQV13" s="114"/>
      <c r="PQW13" s="114"/>
      <c r="PQX13" s="114"/>
      <c r="PQY13" s="114"/>
      <c r="PQZ13" s="114"/>
      <c r="PRA13" s="114"/>
      <c r="PRB13" s="114"/>
      <c r="PRC13" s="114"/>
      <c r="PRD13" s="114"/>
      <c r="PRE13" s="114"/>
      <c r="PRF13" s="114"/>
      <c r="PRG13" s="114"/>
      <c r="PRH13" s="114"/>
      <c r="PRI13" s="114"/>
      <c r="PRJ13" s="114"/>
      <c r="PRK13" s="114"/>
      <c r="PRL13" s="114"/>
      <c r="PRM13" s="114"/>
      <c r="PRN13" s="114"/>
      <c r="PRO13" s="114"/>
      <c r="PRP13" s="114"/>
      <c r="PRQ13" s="114"/>
      <c r="PRR13" s="114"/>
      <c r="PRS13" s="114"/>
      <c r="PRT13" s="114"/>
      <c r="PRU13" s="114"/>
      <c r="PRV13" s="114"/>
      <c r="PRW13" s="114"/>
      <c r="PRX13" s="114"/>
      <c r="PRY13" s="114"/>
      <c r="PRZ13" s="114"/>
      <c r="PSA13" s="114"/>
      <c r="PSB13" s="114"/>
      <c r="PSC13" s="114"/>
      <c r="PSD13" s="114"/>
      <c r="PSE13" s="114"/>
      <c r="PSF13" s="114"/>
      <c r="PSG13" s="114"/>
      <c r="PSH13" s="114"/>
      <c r="PSI13" s="114"/>
      <c r="PSJ13" s="114"/>
      <c r="PSK13" s="114"/>
      <c r="PSL13" s="114"/>
      <c r="PSM13" s="114"/>
      <c r="PSN13" s="114"/>
      <c r="PSO13" s="114"/>
      <c r="PSP13" s="114"/>
      <c r="PSQ13" s="114"/>
      <c r="PSR13" s="114"/>
      <c r="PSS13" s="114"/>
      <c r="PST13" s="114"/>
      <c r="PSU13" s="114"/>
      <c r="PSV13" s="114"/>
      <c r="PSW13" s="114"/>
      <c r="PSX13" s="114"/>
      <c r="PSY13" s="114"/>
      <c r="PSZ13" s="114"/>
      <c r="PTA13" s="114"/>
      <c r="PTB13" s="114"/>
      <c r="PTC13" s="114"/>
      <c r="PTD13" s="114"/>
      <c r="PTE13" s="114"/>
      <c r="PTF13" s="114"/>
      <c r="PTG13" s="114"/>
      <c r="PTH13" s="114"/>
      <c r="PTI13" s="114"/>
      <c r="PTJ13" s="114"/>
      <c r="PTK13" s="114"/>
      <c r="PTL13" s="114"/>
      <c r="PTM13" s="114"/>
      <c r="PTN13" s="114"/>
      <c r="PTO13" s="114"/>
      <c r="PTP13" s="114"/>
      <c r="PTQ13" s="114"/>
      <c r="PTR13" s="114"/>
      <c r="PTS13" s="114"/>
      <c r="PTT13" s="114"/>
      <c r="PTU13" s="114"/>
      <c r="PTV13" s="114"/>
      <c r="PTW13" s="114"/>
      <c r="PTX13" s="114"/>
      <c r="PTY13" s="114"/>
      <c r="PTZ13" s="114"/>
      <c r="PUA13" s="114"/>
      <c r="PUB13" s="114"/>
      <c r="PUC13" s="114"/>
      <c r="PUD13" s="114"/>
      <c r="PUE13" s="114"/>
      <c r="PUF13" s="114"/>
      <c r="PUG13" s="114"/>
      <c r="PUH13" s="114"/>
      <c r="PUI13" s="114"/>
      <c r="PUJ13" s="114"/>
      <c r="PUK13" s="114"/>
      <c r="PUL13" s="114"/>
      <c r="PUM13" s="114"/>
      <c r="PUN13" s="114"/>
      <c r="PUO13" s="114"/>
      <c r="PUP13" s="114"/>
      <c r="PUQ13" s="114"/>
      <c r="PUR13" s="114"/>
      <c r="PUS13" s="114"/>
      <c r="PUT13" s="114"/>
      <c r="PUU13" s="114"/>
      <c r="PUV13" s="114"/>
      <c r="PUW13" s="114"/>
      <c r="PUX13" s="114"/>
      <c r="PUY13" s="114"/>
      <c r="PUZ13" s="114"/>
      <c r="PVA13" s="114"/>
      <c r="PVB13" s="114"/>
      <c r="PVC13" s="114"/>
      <c r="PVD13" s="114"/>
      <c r="PVE13" s="114"/>
      <c r="PVF13" s="114"/>
      <c r="PVG13" s="114"/>
      <c r="PVH13" s="114"/>
      <c r="PVI13" s="114"/>
      <c r="PVJ13" s="114"/>
      <c r="PVK13" s="114"/>
      <c r="PVL13" s="114"/>
      <c r="PVM13" s="114"/>
      <c r="PVN13" s="114"/>
      <c r="PVO13" s="114"/>
      <c r="PVP13" s="114"/>
      <c r="PVQ13" s="114"/>
      <c r="PVR13" s="114"/>
      <c r="PVS13" s="114"/>
      <c r="PVT13" s="114"/>
      <c r="PVU13" s="114"/>
      <c r="PVV13" s="114"/>
      <c r="PVW13" s="114"/>
      <c r="PVX13" s="114"/>
      <c r="PVY13" s="114"/>
      <c r="PVZ13" s="114"/>
      <c r="PWA13" s="114"/>
      <c r="PWB13" s="114"/>
      <c r="PWC13" s="114"/>
      <c r="PWD13" s="114"/>
      <c r="PWE13" s="114"/>
      <c r="PWF13" s="114"/>
      <c r="PWG13" s="114"/>
      <c r="PWH13" s="114"/>
      <c r="PWI13" s="114"/>
      <c r="PWJ13" s="114"/>
      <c r="PWK13" s="114"/>
      <c r="PWL13" s="114"/>
      <c r="PWM13" s="114"/>
      <c r="PWN13" s="114"/>
      <c r="PWO13" s="114"/>
      <c r="PWP13" s="114"/>
      <c r="PWQ13" s="114"/>
      <c r="PWR13" s="114"/>
      <c r="PWS13" s="114"/>
      <c r="PWT13" s="114"/>
      <c r="PWU13" s="114"/>
      <c r="PWV13" s="114"/>
      <c r="PWW13" s="114"/>
      <c r="PWX13" s="114"/>
      <c r="PWY13" s="114"/>
      <c r="PWZ13" s="114"/>
      <c r="PXA13" s="114"/>
      <c r="PXB13" s="114"/>
      <c r="PXC13" s="114"/>
      <c r="PXD13" s="114"/>
      <c r="PXE13" s="114"/>
      <c r="PXF13" s="114"/>
      <c r="PXG13" s="114"/>
      <c r="PXH13" s="114"/>
      <c r="PXI13" s="114"/>
      <c r="PXJ13" s="114"/>
      <c r="PXK13" s="114"/>
      <c r="PXL13" s="114"/>
      <c r="PXM13" s="114"/>
      <c r="PXN13" s="114"/>
      <c r="PXO13" s="114"/>
      <c r="PXP13" s="114"/>
      <c r="PXQ13" s="114"/>
      <c r="PXR13" s="114"/>
      <c r="PXS13" s="114"/>
      <c r="PXT13" s="114"/>
      <c r="PXU13" s="114"/>
      <c r="PXV13" s="114"/>
      <c r="PXW13" s="114"/>
      <c r="PXX13" s="114"/>
      <c r="PXY13" s="114"/>
      <c r="PXZ13" s="114"/>
      <c r="PYA13" s="114"/>
      <c r="PYB13" s="114"/>
      <c r="PYC13" s="114"/>
      <c r="PYD13" s="114"/>
      <c r="PYE13" s="114"/>
      <c r="PYF13" s="114"/>
      <c r="PYG13" s="114"/>
      <c r="PYH13" s="114"/>
      <c r="PYI13" s="114"/>
      <c r="PYJ13" s="114"/>
      <c r="PYK13" s="114"/>
      <c r="PYL13" s="114"/>
      <c r="PYM13" s="114"/>
      <c r="PYN13" s="114"/>
      <c r="PYO13" s="114"/>
      <c r="PYP13" s="114"/>
      <c r="PYQ13" s="114"/>
      <c r="PYR13" s="114"/>
      <c r="PYS13" s="114"/>
      <c r="PYT13" s="114"/>
      <c r="PYU13" s="114"/>
      <c r="PYV13" s="114"/>
      <c r="PYW13" s="114"/>
      <c r="PYX13" s="114"/>
      <c r="PYY13" s="114"/>
      <c r="PYZ13" s="114"/>
      <c r="PZA13" s="114"/>
      <c r="PZB13" s="114"/>
      <c r="PZC13" s="114"/>
      <c r="PZD13" s="114"/>
      <c r="PZE13" s="114"/>
      <c r="PZF13" s="114"/>
      <c r="PZG13" s="114"/>
      <c r="PZH13" s="114"/>
      <c r="PZI13" s="114"/>
      <c r="PZJ13" s="114"/>
      <c r="PZK13" s="114"/>
      <c r="PZL13" s="114"/>
      <c r="PZM13" s="114"/>
      <c r="PZN13" s="114"/>
      <c r="PZO13" s="114"/>
      <c r="PZP13" s="114"/>
      <c r="PZQ13" s="114"/>
      <c r="PZR13" s="114"/>
      <c r="PZS13" s="114"/>
      <c r="PZT13" s="114"/>
      <c r="PZU13" s="114"/>
      <c r="PZV13" s="114"/>
      <c r="PZW13" s="114"/>
      <c r="PZX13" s="114"/>
      <c r="PZY13" s="114"/>
      <c r="PZZ13" s="114"/>
      <c r="QAA13" s="114"/>
      <c r="QAB13" s="114"/>
      <c r="QAC13" s="114"/>
      <c r="QAD13" s="114"/>
      <c r="QAE13" s="114"/>
      <c r="QAF13" s="114"/>
      <c r="QAG13" s="114"/>
      <c r="QAH13" s="114"/>
      <c r="QAI13" s="114"/>
      <c r="QAJ13" s="114"/>
      <c r="QAK13" s="114"/>
      <c r="QAL13" s="114"/>
      <c r="QAM13" s="114"/>
      <c r="QAN13" s="114"/>
      <c r="QAO13" s="114"/>
      <c r="QAP13" s="114"/>
      <c r="QAQ13" s="114"/>
      <c r="QAR13" s="114"/>
      <c r="QAS13" s="114"/>
      <c r="QAT13" s="114"/>
      <c r="QAU13" s="114"/>
      <c r="QAV13" s="114"/>
      <c r="QAW13" s="114"/>
      <c r="QAX13" s="114"/>
      <c r="QAY13" s="114"/>
      <c r="QAZ13" s="114"/>
      <c r="QBA13" s="114"/>
      <c r="QBB13" s="114"/>
      <c r="QBC13" s="114"/>
      <c r="QBD13" s="114"/>
      <c r="QBE13" s="114"/>
      <c r="QBF13" s="114"/>
      <c r="QBG13" s="114"/>
      <c r="QBH13" s="114"/>
      <c r="QBI13" s="114"/>
      <c r="QBJ13" s="114"/>
      <c r="QBK13" s="114"/>
      <c r="QBL13" s="114"/>
      <c r="QBM13" s="114"/>
      <c r="QBN13" s="114"/>
      <c r="QBO13" s="114"/>
      <c r="QBP13" s="114"/>
      <c r="QBQ13" s="114"/>
      <c r="QBR13" s="114"/>
      <c r="QBS13" s="114"/>
      <c r="QBT13" s="114"/>
      <c r="QBU13" s="114"/>
      <c r="QBV13" s="114"/>
      <c r="QBW13" s="114"/>
      <c r="QBX13" s="114"/>
      <c r="QBY13" s="114"/>
      <c r="QBZ13" s="114"/>
      <c r="QCA13" s="114"/>
      <c r="QCB13" s="114"/>
      <c r="QCC13" s="114"/>
      <c r="QCD13" s="114"/>
      <c r="QCE13" s="114"/>
      <c r="QCF13" s="114"/>
      <c r="QCG13" s="114"/>
      <c r="QCH13" s="114"/>
      <c r="QCI13" s="114"/>
      <c r="QCJ13" s="114"/>
      <c r="QCK13" s="114"/>
      <c r="QCL13" s="114"/>
      <c r="QCM13" s="114"/>
      <c r="QCN13" s="114"/>
      <c r="QCO13" s="114"/>
      <c r="QCP13" s="114"/>
      <c r="QCQ13" s="114"/>
      <c r="QCR13" s="114"/>
      <c r="QCS13" s="114"/>
      <c r="QCT13" s="114"/>
      <c r="QCU13" s="114"/>
      <c r="QCV13" s="114"/>
      <c r="QCW13" s="114"/>
      <c r="QCX13" s="114"/>
      <c r="QCY13" s="114"/>
      <c r="QCZ13" s="114"/>
      <c r="QDA13" s="114"/>
      <c r="QDB13" s="114"/>
      <c r="QDC13" s="114"/>
      <c r="QDD13" s="114"/>
      <c r="QDE13" s="114"/>
      <c r="QDF13" s="114"/>
      <c r="QDG13" s="114"/>
      <c r="QDH13" s="114"/>
      <c r="QDI13" s="114"/>
      <c r="QDJ13" s="114"/>
      <c r="QDK13" s="114"/>
      <c r="QDL13" s="114"/>
      <c r="QDM13" s="114"/>
      <c r="QDN13" s="114"/>
      <c r="QDO13" s="114"/>
      <c r="QDP13" s="114"/>
      <c r="QDQ13" s="114"/>
      <c r="QDR13" s="114"/>
      <c r="QDS13" s="114"/>
      <c r="QDT13" s="114"/>
      <c r="QDU13" s="114"/>
      <c r="QDV13" s="114"/>
      <c r="QDW13" s="114"/>
      <c r="QDX13" s="114"/>
      <c r="QDY13" s="114"/>
      <c r="QDZ13" s="114"/>
      <c r="QEA13" s="114"/>
      <c r="QEB13" s="114"/>
      <c r="QEC13" s="114"/>
      <c r="QED13" s="114"/>
      <c r="QEE13" s="114"/>
      <c r="QEF13" s="114"/>
      <c r="QEG13" s="114"/>
      <c r="QEH13" s="114"/>
      <c r="QEI13" s="114"/>
      <c r="QEJ13" s="114"/>
      <c r="QEK13" s="114"/>
      <c r="QEL13" s="114"/>
      <c r="QEM13" s="114"/>
      <c r="QEN13" s="114"/>
      <c r="QEO13" s="114"/>
      <c r="QEP13" s="114"/>
      <c r="QEQ13" s="114"/>
      <c r="QER13" s="114"/>
      <c r="QES13" s="114"/>
      <c r="QET13" s="114"/>
      <c r="QEU13" s="114"/>
      <c r="QEV13" s="114"/>
      <c r="QEW13" s="114"/>
      <c r="QEX13" s="114"/>
      <c r="QEY13" s="114"/>
      <c r="QEZ13" s="114"/>
      <c r="QFA13" s="114"/>
      <c r="QFB13" s="114"/>
      <c r="QFC13" s="114"/>
      <c r="QFD13" s="114"/>
      <c r="QFE13" s="114"/>
      <c r="QFF13" s="114"/>
      <c r="QFG13" s="114"/>
      <c r="QFH13" s="114"/>
      <c r="QFI13" s="114"/>
      <c r="QFJ13" s="114"/>
      <c r="QFK13" s="114"/>
      <c r="QFL13" s="114"/>
      <c r="QFM13" s="114"/>
      <c r="QFN13" s="114"/>
      <c r="QFO13" s="114"/>
      <c r="QFP13" s="114"/>
      <c r="QFQ13" s="114"/>
      <c r="QFR13" s="114"/>
      <c r="QFS13" s="114"/>
      <c r="QFT13" s="114"/>
      <c r="QFU13" s="114"/>
      <c r="QFV13" s="114"/>
      <c r="QFW13" s="114"/>
      <c r="QFX13" s="114"/>
      <c r="QFY13" s="114"/>
      <c r="QFZ13" s="114"/>
      <c r="QGA13" s="114"/>
      <c r="QGB13" s="114"/>
      <c r="QGC13" s="114"/>
      <c r="QGD13" s="114"/>
      <c r="QGE13" s="114"/>
      <c r="QGF13" s="114"/>
      <c r="QGG13" s="114"/>
      <c r="QGH13" s="114"/>
      <c r="QGI13" s="114"/>
      <c r="QGJ13" s="114"/>
      <c r="QGK13" s="114"/>
      <c r="QGL13" s="114"/>
      <c r="QGM13" s="114"/>
      <c r="QGN13" s="114"/>
      <c r="QGO13" s="114"/>
      <c r="QGP13" s="114"/>
      <c r="QGQ13" s="114"/>
      <c r="QGR13" s="114"/>
      <c r="QGS13" s="114"/>
      <c r="QGT13" s="114"/>
      <c r="QGU13" s="114"/>
      <c r="QGV13" s="114"/>
      <c r="QGW13" s="114"/>
      <c r="QGX13" s="114"/>
      <c r="QGY13" s="114"/>
      <c r="QGZ13" s="114"/>
      <c r="QHA13" s="114"/>
      <c r="QHB13" s="114"/>
      <c r="QHC13" s="114"/>
      <c r="QHD13" s="114"/>
      <c r="QHE13" s="114"/>
      <c r="QHF13" s="114"/>
      <c r="QHG13" s="114"/>
      <c r="QHH13" s="114"/>
      <c r="QHI13" s="114"/>
      <c r="QHJ13" s="114"/>
      <c r="QHK13" s="114"/>
      <c r="QHL13" s="114"/>
      <c r="QHM13" s="114"/>
      <c r="QHN13" s="114"/>
      <c r="QHO13" s="114"/>
      <c r="QHP13" s="114"/>
      <c r="QHQ13" s="114"/>
      <c r="QHR13" s="114"/>
      <c r="QHS13" s="114"/>
      <c r="QHT13" s="114"/>
      <c r="QHU13" s="114"/>
      <c r="QHV13" s="114"/>
      <c r="QHW13" s="114"/>
      <c r="QHX13" s="114"/>
      <c r="QHY13" s="114"/>
      <c r="QHZ13" s="114"/>
      <c r="QIA13" s="114"/>
      <c r="QIB13" s="114"/>
      <c r="QIC13" s="114"/>
      <c r="QID13" s="114"/>
      <c r="QIE13" s="114"/>
      <c r="QIF13" s="114"/>
      <c r="QIG13" s="114"/>
      <c r="QIH13" s="114"/>
      <c r="QII13" s="114"/>
      <c r="QIJ13" s="114"/>
      <c r="QIK13" s="114"/>
      <c r="QIL13" s="114"/>
      <c r="QIM13" s="114"/>
      <c r="QIN13" s="114"/>
      <c r="QIO13" s="114"/>
      <c r="QIP13" s="114"/>
      <c r="QIQ13" s="114"/>
      <c r="QIR13" s="114"/>
      <c r="QIS13" s="114"/>
      <c r="QIT13" s="114"/>
      <c r="QIU13" s="114"/>
      <c r="QIV13" s="114"/>
      <c r="QIW13" s="114"/>
      <c r="QIX13" s="114"/>
      <c r="QIY13" s="114"/>
      <c r="QIZ13" s="114"/>
      <c r="QJA13" s="114"/>
      <c r="QJB13" s="114"/>
      <c r="QJC13" s="114"/>
      <c r="QJD13" s="114"/>
      <c r="QJE13" s="114"/>
      <c r="QJF13" s="114"/>
      <c r="QJG13" s="114"/>
      <c r="QJH13" s="114"/>
      <c r="QJI13" s="114"/>
      <c r="QJJ13" s="114"/>
      <c r="QJK13" s="114"/>
      <c r="QJL13" s="114"/>
      <c r="QJM13" s="114"/>
      <c r="QJN13" s="114"/>
      <c r="QJO13" s="114"/>
      <c r="QJP13" s="114"/>
      <c r="QJQ13" s="114"/>
      <c r="QJR13" s="114"/>
      <c r="QJS13" s="114"/>
      <c r="QJT13" s="114"/>
      <c r="QJU13" s="114"/>
      <c r="QJV13" s="114"/>
      <c r="QJW13" s="114"/>
      <c r="QJX13" s="114"/>
      <c r="QJY13" s="114"/>
      <c r="QJZ13" s="114"/>
      <c r="QKA13" s="114"/>
      <c r="QKB13" s="114"/>
      <c r="QKC13" s="114"/>
      <c r="QKD13" s="114"/>
      <c r="QKE13" s="114"/>
      <c r="QKF13" s="114"/>
      <c r="QKG13" s="114"/>
      <c r="QKH13" s="114"/>
      <c r="QKI13" s="114"/>
      <c r="QKJ13" s="114"/>
      <c r="QKK13" s="114"/>
      <c r="QKL13" s="114"/>
      <c r="QKM13" s="114"/>
      <c r="QKN13" s="114"/>
      <c r="QKO13" s="114"/>
      <c r="QKP13" s="114"/>
      <c r="QKQ13" s="114"/>
      <c r="QKR13" s="114"/>
      <c r="QKS13" s="114"/>
      <c r="QKT13" s="114"/>
      <c r="QKU13" s="114"/>
      <c r="QKV13" s="114"/>
      <c r="QKW13" s="114"/>
      <c r="QKX13" s="114"/>
      <c r="QKY13" s="114"/>
      <c r="QKZ13" s="114"/>
      <c r="QLA13" s="114"/>
      <c r="QLB13" s="114"/>
      <c r="QLC13" s="114"/>
      <c r="QLD13" s="114"/>
      <c r="QLE13" s="114"/>
      <c r="QLF13" s="114"/>
      <c r="QLG13" s="114"/>
      <c r="QLH13" s="114"/>
      <c r="QLI13" s="114"/>
      <c r="QLJ13" s="114"/>
      <c r="QLK13" s="114"/>
      <c r="QLL13" s="114"/>
      <c r="QLM13" s="114"/>
      <c r="QLN13" s="114"/>
      <c r="QLO13" s="114"/>
      <c r="QLP13" s="114"/>
      <c r="QLQ13" s="114"/>
      <c r="QLR13" s="114"/>
      <c r="QLS13" s="114"/>
      <c r="QLT13" s="114"/>
      <c r="QLU13" s="114"/>
      <c r="QLV13" s="114"/>
      <c r="QLW13" s="114"/>
      <c r="QLX13" s="114"/>
      <c r="QLY13" s="114"/>
      <c r="QLZ13" s="114"/>
      <c r="QMA13" s="114"/>
      <c r="QMB13" s="114"/>
      <c r="QMC13" s="114"/>
      <c r="QMD13" s="114"/>
      <c r="QME13" s="114"/>
      <c r="QMF13" s="114"/>
      <c r="QMG13" s="114"/>
      <c r="QMH13" s="114"/>
      <c r="QMI13" s="114"/>
      <c r="QMJ13" s="114"/>
      <c r="QMK13" s="114"/>
      <c r="QML13" s="114"/>
      <c r="QMM13" s="114"/>
      <c r="QMN13" s="114"/>
      <c r="QMO13" s="114"/>
      <c r="QMP13" s="114"/>
      <c r="QMQ13" s="114"/>
      <c r="QMR13" s="114"/>
      <c r="QMS13" s="114"/>
      <c r="QMT13" s="114"/>
      <c r="QMU13" s="114"/>
      <c r="QMV13" s="114"/>
      <c r="QMW13" s="114"/>
      <c r="QMX13" s="114"/>
      <c r="QMY13" s="114"/>
      <c r="QMZ13" s="114"/>
      <c r="QNA13" s="114"/>
      <c r="QNB13" s="114"/>
      <c r="QNC13" s="114"/>
      <c r="QND13" s="114"/>
      <c r="QNE13" s="114"/>
      <c r="QNF13" s="114"/>
      <c r="QNG13" s="114"/>
      <c r="QNH13" s="114"/>
      <c r="QNI13" s="114"/>
      <c r="QNJ13" s="114"/>
      <c r="QNK13" s="114"/>
      <c r="QNL13" s="114"/>
      <c r="QNM13" s="114"/>
      <c r="QNN13" s="114"/>
      <c r="QNO13" s="114"/>
      <c r="QNP13" s="114"/>
      <c r="QNQ13" s="114"/>
      <c r="QNR13" s="114"/>
      <c r="QNS13" s="114"/>
      <c r="QNT13" s="114"/>
      <c r="QNU13" s="114"/>
      <c r="QNV13" s="114"/>
      <c r="QNW13" s="114"/>
      <c r="QNX13" s="114"/>
      <c r="QNY13" s="114"/>
      <c r="QNZ13" s="114"/>
      <c r="QOA13" s="114"/>
      <c r="QOB13" s="114"/>
      <c r="QOC13" s="114"/>
      <c r="QOD13" s="114"/>
      <c r="QOE13" s="114"/>
      <c r="QOF13" s="114"/>
      <c r="QOG13" s="114"/>
      <c r="QOH13" s="114"/>
      <c r="QOI13" s="114"/>
      <c r="QOJ13" s="114"/>
      <c r="QOK13" s="114"/>
      <c r="QOL13" s="114"/>
      <c r="QOM13" s="114"/>
      <c r="QON13" s="114"/>
      <c r="QOO13" s="114"/>
      <c r="QOP13" s="114"/>
      <c r="QOQ13" s="114"/>
      <c r="QOR13" s="114"/>
      <c r="QOS13" s="114"/>
      <c r="QOT13" s="114"/>
      <c r="QOU13" s="114"/>
      <c r="QOV13" s="114"/>
      <c r="QOW13" s="114"/>
      <c r="QOX13" s="114"/>
      <c r="QOY13" s="114"/>
      <c r="QOZ13" s="114"/>
      <c r="QPA13" s="114"/>
      <c r="QPB13" s="114"/>
      <c r="QPC13" s="114"/>
      <c r="QPD13" s="114"/>
      <c r="QPE13" s="114"/>
      <c r="QPF13" s="114"/>
      <c r="QPG13" s="114"/>
      <c r="QPH13" s="114"/>
      <c r="QPI13" s="114"/>
      <c r="QPJ13" s="114"/>
      <c r="QPK13" s="114"/>
      <c r="QPL13" s="114"/>
      <c r="QPM13" s="114"/>
      <c r="QPN13" s="114"/>
      <c r="QPO13" s="114"/>
      <c r="QPP13" s="114"/>
      <c r="QPQ13" s="114"/>
      <c r="QPR13" s="114"/>
      <c r="QPS13" s="114"/>
      <c r="QPT13" s="114"/>
      <c r="QPU13" s="114"/>
      <c r="QPV13" s="114"/>
      <c r="QPW13" s="114"/>
      <c r="QPX13" s="114"/>
      <c r="QPY13" s="114"/>
      <c r="QPZ13" s="114"/>
      <c r="QQA13" s="114"/>
      <c r="QQB13" s="114"/>
      <c r="QQC13" s="114"/>
      <c r="QQD13" s="114"/>
      <c r="QQE13" s="114"/>
      <c r="QQF13" s="114"/>
      <c r="QQG13" s="114"/>
      <c r="QQH13" s="114"/>
      <c r="QQI13" s="114"/>
      <c r="QQJ13" s="114"/>
      <c r="QQK13" s="114"/>
      <c r="QQL13" s="114"/>
      <c r="QQM13" s="114"/>
      <c r="QQN13" s="114"/>
      <c r="QQO13" s="114"/>
      <c r="QQP13" s="114"/>
      <c r="QQQ13" s="114"/>
      <c r="QQR13" s="114"/>
      <c r="QQS13" s="114"/>
      <c r="QQT13" s="114"/>
      <c r="QQU13" s="114"/>
      <c r="QQV13" s="114"/>
      <c r="QQW13" s="114"/>
      <c r="QQX13" s="114"/>
      <c r="QQY13" s="114"/>
      <c r="QQZ13" s="114"/>
      <c r="QRA13" s="114"/>
      <c r="QRB13" s="114"/>
      <c r="QRC13" s="114"/>
      <c r="QRD13" s="114"/>
      <c r="QRE13" s="114"/>
      <c r="QRF13" s="114"/>
      <c r="QRG13" s="114"/>
      <c r="QRH13" s="114"/>
      <c r="QRI13" s="114"/>
      <c r="QRJ13" s="114"/>
      <c r="QRK13" s="114"/>
      <c r="QRL13" s="114"/>
      <c r="QRM13" s="114"/>
      <c r="QRN13" s="114"/>
      <c r="QRO13" s="114"/>
      <c r="QRP13" s="114"/>
      <c r="QRQ13" s="114"/>
      <c r="QRR13" s="114"/>
      <c r="QRS13" s="114"/>
      <c r="QRT13" s="114"/>
      <c r="QRU13" s="114"/>
      <c r="QRV13" s="114"/>
      <c r="QRW13" s="114"/>
      <c r="QRX13" s="114"/>
      <c r="QRY13" s="114"/>
      <c r="QRZ13" s="114"/>
      <c r="QSA13" s="114"/>
      <c r="QSB13" s="114"/>
      <c r="QSC13" s="114"/>
      <c r="QSD13" s="114"/>
      <c r="QSE13" s="114"/>
      <c r="QSF13" s="114"/>
      <c r="QSG13" s="114"/>
      <c r="QSH13" s="114"/>
      <c r="QSI13" s="114"/>
      <c r="QSJ13" s="114"/>
      <c r="QSK13" s="114"/>
      <c r="QSL13" s="114"/>
      <c r="QSM13" s="114"/>
      <c r="QSN13" s="114"/>
      <c r="QSO13" s="114"/>
      <c r="QSP13" s="114"/>
      <c r="QSQ13" s="114"/>
      <c r="QSR13" s="114"/>
      <c r="QSS13" s="114"/>
      <c r="QST13" s="114"/>
      <c r="QSU13" s="114"/>
      <c r="QSV13" s="114"/>
      <c r="QSW13" s="114"/>
      <c r="QSX13" s="114"/>
      <c r="QSY13" s="114"/>
      <c r="QSZ13" s="114"/>
      <c r="QTA13" s="114"/>
      <c r="QTB13" s="114"/>
      <c r="QTC13" s="114"/>
      <c r="QTD13" s="114"/>
      <c r="QTE13" s="114"/>
      <c r="QTF13" s="114"/>
      <c r="QTG13" s="114"/>
      <c r="QTH13" s="114"/>
      <c r="QTI13" s="114"/>
      <c r="QTJ13" s="114"/>
      <c r="QTK13" s="114"/>
      <c r="QTL13" s="114"/>
      <c r="QTM13" s="114"/>
      <c r="QTN13" s="114"/>
      <c r="QTO13" s="114"/>
      <c r="QTP13" s="114"/>
      <c r="QTQ13" s="114"/>
      <c r="QTR13" s="114"/>
      <c r="QTS13" s="114"/>
      <c r="QTT13" s="114"/>
      <c r="QTU13" s="114"/>
      <c r="QTV13" s="114"/>
      <c r="QTW13" s="114"/>
      <c r="QTX13" s="114"/>
      <c r="QTY13" s="114"/>
      <c r="QTZ13" s="114"/>
      <c r="QUA13" s="114"/>
      <c r="QUB13" s="114"/>
      <c r="QUC13" s="114"/>
      <c r="QUD13" s="114"/>
      <c r="QUE13" s="114"/>
      <c r="QUF13" s="114"/>
      <c r="QUG13" s="114"/>
      <c r="QUH13" s="114"/>
      <c r="QUI13" s="114"/>
      <c r="QUJ13" s="114"/>
      <c r="QUK13" s="114"/>
      <c r="QUL13" s="114"/>
      <c r="QUM13" s="114"/>
      <c r="QUN13" s="114"/>
      <c r="QUO13" s="114"/>
      <c r="QUP13" s="114"/>
      <c r="QUQ13" s="114"/>
      <c r="QUR13" s="114"/>
      <c r="QUS13" s="114"/>
      <c r="QUT13" s="114"/>
      <c r="QUU13" s="114"/>
      <c r="QUV13" s="114"/>
      <c r="QUW13" s="114"/>
      <c r="QUX13" s="114"/>
      <c r="QUY13" s="114"/>
      <c r="QUZ13" s="114"/>
      <c r="QVA13" s="114"/>
      <c r="QVB13" s="114"/>
      <c r="QVC13" s="114"/>
      <c r="QVD13" s="114"/>
      <c r="QVE13" s="114"/>
      <c r="QVF13" s="114"/>
      <c r="QVG13" s="114"/>
      <c r="QVH13" s="114"/>
      <c r="QVI13" s="114"/>
      <c r="QVJ13" s="114"/>
      <c r="QVK13" s="114"/>
      <c r="QVL13" s="114"/>
      <c r="QVM13" s="114"/>
      <c r="QVN13" s="114"/>
      <c r="QVO13" s="114"/>
      <c r="QVP13" s="114"/>
      <c r="QVQ13" s="114"/>
      <c r="QVR13" s="114"/>
      <c r="QVS13" s="114"/>
      <c r="QVT13" s="114"/>
      <c r="QVU13" s="114"/>
      <c r="QVV13" s="114"/>
      <c r="QVW13" s="114"/>
      <c r="QVX13" s="114"/>
      <c r="QVY13" s="114"/>
      <c r="QVZ13" s="114"/>
      <c r="QWA13" s="114"/>
      <c r="QWB13" s="114"/>
      <c r="QWC13" s="114"/>
      <c r="QWD13" s="114"/>
      <c r="QWE13" s="114"/>
      <c r="QWF13" s="114"/>
      <c r="QWG13" s="114"/>
      <c r="QWH13" s="114"/>
      <c r="QWI13" s="114"/>
      <c r="QWJ13" s="114"/>
      <c r="QWK13" s="114"/>
      <c r="QWL13" s="114"/>
      <c r="QWM13" s="114"/>
      <c r="QWN13" s="114"/>
      <c r="QWO13" s="114"/>
      <c r="QWP13" s="114"/>
      <c r="QWQ13" s="114"/>
      <c r="QWR13" s="114"/>
      <c r="QWS13" s="114"/>
      <c r="QWT13" s="114"/>
      <c r="QWU13" s="114"/>
      <c r="QWV13" s="114"/>
      <c r="QWW13" s="114"/>
      <c r="QWX13" s="114"/>
      <c r="QWY13" s="114"/>
      <c r="QWZ13" s="114"/>
      <c r="QXA13" s="114"/>
      <c r="QXB13" s="114"/>
      <c r="QXC13" s="114"/>
      <c r="QXD13" s="114"/>
      <c r="QXE13" s="114"/>
      <c r="QXF13" s="114"/>
      <c r="QXG13" s="114"/>
      <c r="QXH13" s="114"/>
      <c r="QXI13" s="114"/>
      <c r="QXJ13" s="114"/>
      <c r="QXK13" s="114"/>
      <c r="QXL13" s="114"/>
      <c r="QXM13" s="114"/>
      <c r="QXN13" s="114"/>
      <c r="QXO13" s="114"/>
      <c r="QXP13" s="114"/>
      <c r="QXQ13" s="114"/>
      <c r="QXR13" s="114"/>
      <c r="QXS13" s="114"/>
      <c r="QXT13" s="114"/>
      <c r="QXU13" s="114"/>
      <c r="QXV13" s="114"/>
      <c r="QXW13" s="114"/>
      <c r="QXX13" s="114"/>
      <c r="QXY13" s="114"/>
      <c r="QXZ13" s="114"/>
      <c r="QYA13" s="114"/>
      <c r="QYB13" s="114"/>
      <c r="QYC13" s="114"/>
      <c r="QYD13" s="114"/>
      <c r="QYE13" s="114"/>
      <c r="QYF13" s="114"/>
      <c r="QYG13" s="114"/>
      <c r="QYH13" s="114"/>
      <c r="QYI13" s="114"/>
      <c r="QYJ13" s="114"/>
      <c r="QYK13" s="114"/>
      <c r="QYL13" s="114"/>
      <c r="QYM13" s="114"/>
      <c r="QYN13" s="114"/>
      <c r="QYO13" s="114"/>
      <c r="QYP13" s="114"/>
      <c r="QYQ13" s="114"/>
      <c r="QYR13" s="114"/>
      <c r="QYS13" s="114"/>
      <c r="QYT13" s="114"/>
      <c r="QYU13" s="114"/>
      <c r="QYV13" s="114"/>
      <c r="QYW13" s="114"/>
      <c r="QYX13" s="114"/>
      <c r="QYY13" s="114"/>
      <c r="QYZ13" s="114"/>
      <c r="QZA13" s="114"/>
      <c r="QZB13" s="114"/>
      <c r="QZC13" s="114"/>
      <c r="QZD13" s="114"/>
      <c r="QZE13" s="114"/>
      <c r="QZF13" s="114"/>
      <c r="QZG13" s="114"/>
      <c r="QZH13" s="114"/>
      <c r="QZI13" s="114"/>
      <c r="QZJ13" s="114"/>
      <c r="QZK13" s="114"/>
      <c r="QZL13" s="114"/>
      <c r="QZM13" s="114"/>
      <c r="QZN13" s="114"/>
      <c r="QZO13" s="114"/>
      <c r="QZP13" s="114"/>
      <c r="QZQ13" s="114"/>
      <c r="QZR13" s="114"/>
      <c r="QZS13" s="114"/>
      <c r="QZT13" s="114"/>
      <c r="QZU13" s="114"/>
      <c r="QZV13" s="114"/>
      <c r="QZW13" s="114"/>
      <c r="QZX13" s="114"/>
      <c r="QZY13" s="114"/>
      <c r="QZZ13" s="114"/>
      <c r="RAA13" s="114"/>
      <c r="RAB13" s="114"/>
      <c r="RAC13" s="114"/>
      <c r="RAD13" s="114"/>
      <c r="RAE13" s="114"/>
      <c r="RAF13" s="114"/>
      <c r="RAG13" s="114"/>
      <c r="RAH13" s="114"/>
      <c r="RAI13" s="114"/>
      <c r="RAJ13" s="114"/>
      <c r="RAK13" s="114"/>
      <c r="RAL13" s="114"/>
      <c r="RAM13" s="114"/>
      <c r="RAN13" s="114"/>
      <c r="RAO13" s="114"/>
      <c r="RAP13" s="114"/>
      <c r="RAQ13" s="114"/>
      <c r="RAR13" s="114"/>
      <c r="RAS13" s="114"/>
      <c r="RAT13" s="114"/>
      <c r="RAU13" s="114"/>
      <c r="RAV13" s="114"/>
      <c r="RAW13" s="114"/>
      <c r="RAX13" s="114"/>
      <c r="RAY13" s="114"/>
      <c r="RAZ13" s="114"/>
      <c r="RBA13" s="114"/>
      <c r="RBB13" s="114"/>
      <c r="RBC13" s="114"/>
      <c r="RBD13" s="114"/>
      <c r="RBE13" s="114"/>
      <c r="RBF13" s="114"/>
      <c r="RBG13" s="114"/>
      <c r="RBH13" s="114"/>
      <c r="RBI13" s="114"/>
      <c r="RBJ13" s="114"/>
      <c r="RBK13" s="114"/>
      <c r="RBL13" s="114"/>
      <c r="RBM13" s="114"/>
      <c r="RBN13" s="114"/>
      <c r="RBO13" s="114"/>
      <c r="RBP13" s="114"/>
      <c r="RBQ13" s="114"/>
      <c r="RBR13" s="114"/>
      <c r="RBS13" s="114"/>
      <c r="RBT13" s="114"/>
      <c r="RBU13" s="114"/>
      <c r="RBV13" s="114"/>
      <c r="RBW13" s="114"/>
      <c r="RBX13" s="114"/>
      <c r="RBY13" s="114"/>
      <c r="RBZ13" s="114"/>
      <c r="RCA13" s="114"/>
      <c r="RCB13" s="114"/>
      <c r="RCC13" s="114"/>
      <c r="RCD13" s="114"/>
      <c r="RCE13" s="114"/>
      <c r="RCF13" s="114"/>
      <c r="RCG13" s="114"/>
      <c r="RCH13" s="114"/>
      <c r="RCI13" s="114"/>
      <c r="RCJ13" s="114"/>
      <c r="RCK13" s="114"/>
      <c r="RCL13" s="114"/>
      <c r="RCM13" s="114"/>
      <c r="RCN13" s="114"/>
      <c r="RCO13" s="114"/>
      <c r="RCP13" s="114"/>
      <c r="RCQ13" s="114"/>
      <c r="RCR13" s="114"/>
      <c r="RCS13" s="114"/>
      <c r="RCT13" s="114"/>
      <c r="RCU13" s="114"/>
      <c r="RCV13" s="114"/>
      <c r="RCW13" s="114"/>
      <c r="RCX13" s="114"/>
      <c r="RCY13" s="114"/>
      <c r="RCZ13" s="114"/>
      <c r="RDA13" s="114"/>
      <c r="RDB13" s="114"/>
      <c r="RDC13" s="114"/>
      <c r="RDD13" s="114"/>
      <c r="RDE13" s="114"/>
      <c r="RDF13" s="114"/>
      <c r="RDG13" s="114"/>
      <c r="RDH13" s="114"/>
      <c r="RDI13" s="114"/>
      <c r="RDJ13" s="114"/>
      <c r="RDK13" s="114"/>
      <c r="RDL13" s="114"/>
      <c r="RDM13" s="114"/>
      <c r="RDN13" s="114"/>
      <c r="RDO13" s="114"/>
      <c r="RDP13" s="114"/>
      <c r="RDQ13" s="114"/>
      <c r="RDR13" s="114"/>
      <c r="RDS13" s="114"/>
      <c r="RDT13" s="114"/>
      <c r="RDU13" s="114"/>
      <c r="RDV13" s="114"/>
      <c r="RDW13" s="114"/>
      <c r="RDX13" s="114"/>
      <c r="RDY13" s="114"/>
      <c r="RDZ13" s="114"/>
      <c r="REA13" s="114"/>
      <c r="REB13" s="114"/>
      <c r="REC13" s="114"/>
      <c r="RED13" s="114"/>
      <c r="REE13" s="114"/>
      <c r="REF13" s="114"/>
      <c r="REG13" s="114"/>
      <c r="REH13" s="114"/>
      <c r="REI13" s="114"/>
      <c r="REJ13" s="114"/>
      <c r="REK13" s="114"/>
      <c r="REL13" s="114"/>
      <c r="REM13" s="114"/>
      <c r="REN13" s="114"/>
      <c r="REO13" s="114"/>
      <c r="REP13" s="114"/>
      <c r="REQ13" s="114"/>
      <c r="RER13" s="114"/>
      <c r="RES13" s="114"/>
      <c r="RET13" s="114"/>
      <c r="REU13" s="114"/>
      <c r="REV13" s="114"/>
      <c r="REW13" s="114"/>
      <c r="REX13" s="114"/>
      <c r="REY13" s="114"/>
      <c r="REZ13" s="114"/>
      <c r="RFA13" s="114"/>
      <c r="RFB13" s="114"/>
      <c r="RFC13" s="114"/>
      <c r="RFD13" s="114"/>
      <c r="RFE13" s="114"/>
      <c r="RFF13" s="114"/>
      <c r="RFG13" s="114"/>
      <c r="RFH13" s="114"/>
      <c r="RFI13" s="114"/>
      <c r="RFJ13" s="114"/>
      <c r="RFK13" s="114"/>
      <c r="RFL13" s="114"/>
      <c r="RFM13" s="114"/>
      <c r="RFN13" s="114"/>
      <c r="RFO13" s="114"/>
      <c r="RFP13" s="114"/>
      <c r="RFQ13" s="114"/>
      <c r="RFR13" s="114"/>
      <c r="RFS13" s="114"/>
      <c r="RFT13" s="114"/>
      <c r="RFU13" s="114"/>
      <c r="RFV13" s="114"/>
      <c r="RFW13" s="114"/>
      <c r="RFX13" s="114"/>
      <c r="RFY13" s="114"/>
      <c r="RFZ13" s="114"/>
      <c r="RGA13" s="114"/>
      <c r="RGB13" s="114"/>
      <c r="RGC13" s="114"/>
      <c r="RGD13" s="114"/>
      <c r="RGE13" s="114"/>
      <c r="RGF13" s="114"/>
      <c r="RGG13" s="114"/>
      <c r="RGH13" s="114"/>
      <c r="RGI13" s="114"/>
      <c r="RGJ13" s="114"/>
      <c r="RGK13" s="114"/>
      <c r="RGL13" s="114"/>
      <c r="RGM13" s="114"/>
      <c r="RGN13" s="114"/>
      <c r="RGO13" s="114"/>
      <c r="RGP13" s="114"/>
      <c r="RGQ13" s="114"/>
      <c r="RGR13" s="114"/>
      <c r="RGS13" s="114"/>
      <c r="RGT13" s="114"/>
      <c r="RGU13" s="114"/>
      <c r="RGV13" s="114"/>
      <c r="RGW13" s="114"/>
      <c r="RGX13" s="114"/>
      <c r="RGY13" s="114"/>
      <c r="RGZ13" s="114"/>
      <c r="RHA13" s="114"/>
      <c r="RHB13" s="114"/>
      <c r="RHC13" s="114"/>
      <c r="RHD13" s="114"/>
      <c r="RHE13" s="114"/>
      <c r="RHF13" s="114"/>
      <c r="RHG13" s="114"/>
      <c r="RHH13" s="114"/>
      <c r="RHI13" s="114"/>
      <c r="RHJ13" s="114"/>
      <c r="RHK13" s="114"/>
      <c r="RHL13" s="114"/>
      <c r="RHM13" s="114"/>
      <c r="RHN13" s="114"/>
      <c r="RHO13" s="114"/>
      <c r="RHP13" s="114"/>
      <c r="RHQ13" s="114"/>
      <c r="RHR13" s="114"/>
      <c r="RHS13" s="114"/>
      <c r="RHT13" s="114"/>
      <c r="RHU13" s="114"/>
      <c r="RHV13" s="114"/>
      <c r="RHW13" s="114"/>
      <c r="RHX13" s="114"/>
      <c r="RHY13" s="114"/>
      <c r="RHZ13" s="114"/>
      <c r="RIA13" s="114"/>
      <c r="RIB13" s="114"/>
      <c r="RIC13" s="114"/>
      <c r="RID13" s="114"/>
      <c r="RIE13" s="114"/>
      <c r="RIF13" s="114"/>
      <c r="RIG13" s="114"/>
      <c r="RIH13" s="114"/>
      <c r="RII13" s="114"/>
      <c r="RIJ13" s="114"/>
      <c r="RIK13" s="114"/>
      <c r="RIL13" s="114"/>
      <c r="RIM13" s="114"/>
      <c r="RIN13" s="114"/>
      <c r="RIO13" s="114"/>
      <c r="RIP13" s="114"/>
      <c r="RIQ13" s="114"/>
      <c r="RIR13" s="114"/>
      <c r="RIS13" s="114"/>
      <c r="RIT13" s="114"/>
      <c r="RIU13" s="114"/>
      <c r="RIV13" s="114"/>
      <c r="RIW13" s="114"/>
      <c r="RIX13" s="114"/>
      <c r="RIY13" s="114"/>
      <c r="RIZ13" s="114"/>
      <c r="RJA13" s="114"/>
      <c r="RJB13" s="114"/>
      <c r="RJC13" s="114"/>
      <c r="RJD13" s="114"/>
      <c r="RJE13" s="114"/>
      <c r="RJF13" s="114"/>
      <c r="RJG13" s="114"/>
      <c r="RJH13" s="114"/>
      <c r="RJI13" s="114"/>
      <c r="RJJ13" s="114"/>
      <c r="RJK13" s="114"/>
      <c r="RJL13" s="114"/>
      <c r="RJM13" s="114"/>
      <c r="RJN13" s="114"/>
      <c r="RJO13" s="114"/>
      <c r="RJP13" s="114"/>
      <c r="RJQ13" s="114"/>
      <c r="RJR13" s="114"/>
      <c r="RJS13" s="114"/>
      <c r="RJT13" s="114"/>
      <c r="RJU13" s="114"/>
      <c r="RJV13" s="114"/>
      <c r="RJW13" s="114"/>
      <c r="RJX13" s="114"/>
      <c r="RJY13" s="114"/>
      <c r="RJZ13" s="114"/>
      <c r="RKA13" s="114"/>
      <c r="RKB13" s="114"/>
      <c r="RKC13" s="114"/>
      <c r="RKD13" s="114"/>
      <c r="RKE13" s="114"/>
      <c r="RKF13" s="114"/>
      <c r="RKG13" s="114"/>
      <c r="RKH13" s="114"/>
      <c r="RKI13" s="114"/>
      <c r="RKJ13" s="114"/>
      <c r="RKK13" s="114"/>
      <c r="RKL13" s="114"/>
      <c r="RKM13" s="114"/>
      <c r="RKN13" s="114"/>
      <c r="RKO13" s="114"/>
      <c r="RKP13" s="114"/>
      <c r="RKQ13" s="114"/>
      <c r="RKR13" s="114"/>
      <c r="RKS13" s="114"/>
      <c r="RKT13" s="114"/>
      <c r="RKU13" s="114"/>
      <c r="RKV13" s="114"/>
      <c r="RKW13" s="114"/>
      <c r="RKX13" s="114"/>
      <c r="RKY13" s="114"/>
      <c r="RKZ13" s="114"/>
      <c r="RLA13" s="114"/>
      <c r="RLB13" s="114"/>
      <c r="RLC13" s="114"/>
      <c r="RLD13" s="114"/>
      <c r="RLE13" s="114"/>
      <c r="RLF13" s="114"/>
      <c r="RLG13" s="114"/>
      <c r="RLH13" s="114"/>
      <c r="RLI13" s="114"/>
      <c r="RLJ13" s="114"/>
      <c r="RLK13" s="114"/>
      <c r="RLL13" s="114"/>
      <c r="RLM13" s="114"/>
      <c r="RLN13" s="114"/>
      <c r="RLO13" s="114"/>
      <c r="RLP13" s="114"/>
      <c r="RLQ13" s="114"/>
      <c r="RLR13" s="114"/>
      <c r="RLS13" s="114"/>
      <c r="RLT13" s="114"/>
      <c r="RLU13" s="114"/>
      <c r="RLV13" s="114"/>
      <c r="RLW13" s="114"/>
      <c r="RLX13" s="114"/>
      <c r="RLY13" s="114"/>
      <c r="RLZ13" s="114"/>
      <c r="RMA13" s="114"/>
      <c r="RMB13" s="114"/>
      <c r="RMC13" s="114"/>
      <c r="RMD13" s="114"/>
      <c r="RME13" s="114"/>
      <c r="RMF13" s="114"/>
      <c r="RMG13" s="114"/>
      <c r="RMH13" s="114"/>
      <c r="RMI13" s="114"/>
      <c r="RMJ13" s="114"/>
      <c r="RMK13" s="114"/>
      <c r="RML13" s="114"/>
      <c r="RMM13" s="114"/>
      <c r="RMN13" s="114"/>
      <c r="RMO13" s="114"/>
      <c r="RMP13" s="114"/>
      <c r="RMQ13" s="114"/>
      <c r="RMR13" s="114"/>
      <c r="RMS13" s="114"/>
      <c r="RMT13" s="114"/>
      <c r="RMU13" s="114"/>
      <c r="RMV13" s="114"/>
      <c r="RMW13" s="114"/>
      <c r="RMX13" s="114"/>
      <c r="RMY13" s="114"/>
      <c r="RMZ13" s="114"/>
      <c r="RNA13" s="114"/>
      <c r="RNB13" s="114"/>
      <c r="RNC13" s="114"/>
      <c r="RND13" s="114"/>
      <c r="RNE13" s="114"/>
      <c r="RNF13" s="114"/>
      <c r="RNG13" s="114"/>
      <c r="RNH13" s="114"/>
      <c r="RNI13" s="114"/>
      <c r="RNJ13" s="114"/>
      <c r="RNK13" s="114"/>
      <c r="RNL13" s="114"/>
      <c r="RNM13" s="114"/>
      <c r="RNN13" s="114"/>
      <c r="RNO13" s="114"/>
      <c r="RNP13" s="114"/>
      <c r="RNQ13" s="114"/>
      <c r="RNR13" s="114"/>
      <c r="RNS13" s="114"/>
      <c r="RNT13" s="114"/>
      <c r="RNU13" s="114"/>
      <c r="RNV13" s="114"/>
      <c r="RNW13" s="114"/>
      <c r="RNX13" s="114"/>
      <c r="RNY13" s="114"/>
      <c r="RNZ13" s="114"/>
      <c r="ROA13" s="114"/>
      <c r="ROB13" s="114"/>
      <c r="ROC13" s="114"/>
      <c r="ROD13" s="114"/>
      <c r="ROE13" s="114"/>
      <c r="ROF13" s="114"/>
      <c r="ROG13" s="114"/>
      <c r="ROH13" s="114"/>
      <c r="ROI13" s="114"/>
      <c r="ROJ13" s="114"/>
      <c r="ROK13" s="114"/>
      <c r="ROL13" s="114"/>
      <c r="ROM13" s="114"/>
      <c r="RON13" s="114"/>
      <c r="ROO13" s="114"/>
      <c r="ROP13" s="114"/>
      <c r="ROQ13" s="114"/>
      <c r="ROR13" s="114"/>
      <c r="ROS13" s="114"/>
      <c r="ROT13" s="114"/>
      <c r="ROU13" s="114"/>
      <c r="ROV13" s="114"/>
      <c r="ROW13" s="114"/>
      <c r="ROX13" s="114"/>
      <c r="ROY13" s="114"/>
      <c r="ROZ13" s="114"/>
      <c r="RPA13" s="114"/>
      <c r="RPB13" s="114"/>
      <c r="RPC13" s="114"/>
      <c r="RPD13" s="114"/>
      <c r="RPE13" s="114"/>
      <c r="RPF13" s="114"/>
      <c r="RPG13" s="114"/>
      <c r="RPH13" s="114"/>
      <c r="RPI13" s="114"/>
      <c r="RPJ13" s="114"/>
      <c r="RPK13" s="114"/>
      <c r="RPL13" s="114"/>
      <c r="RPM13" s="114"/>
      <c r="RPN13" s="114"/>
      <c r="RPO13" s="114"/>
      <c r="RPP13" s="114"/>
      <c r="RPQ13" s="114"/>
      <c r="RPR13" s="114"/>
      <c r="RPS13" s="114"/>
      <c r="RPT13" s="114"/>
      <c r="RPU13" s="114"/>
      <c r="RPV13" s="114"/>
      <c r="RPW13" s="114"/>
      <c r="RPX13" s="114"/>
      <c r="RPY13" s="114"/>
      <c r="RPZ13" s="114"/>
      <c r="RQA13" s="114"/>
      <c r="RQB13" s="114"/>
      <c r="RQC13" s="114"/>
      <c r="RQD13" s="114"/>
      <c r="RQE13" s="114"/>
      <c r="RQF13" s="114"/>
      <c r="RQG13" s="114"/>
      <c r="RQH13" s="114"/>
      <c r="RQI13" s="114"/>
      <c r="RQJ13" s="114"/>
      <c r="RQK13" s="114"/>
      <c r="RQL13" s="114"/>
      <c r="RQM13" s="114"/>
      <c r="RQN13" s="114"/>
      <c r="RQO13" s="114"/>
      <c r="RQP13" s="114"/>
      <c r="RQQ13" s="114"/>
      <c r="RQR13" s="114"/>
      <c r="RQS13" s="114"/>
      <c r="RQT13" s="114"/>
      <c r="RQU13" s="114"/>
      <c r="RQV13" s="114"/>
      <c r="RQW13" s="114"/>
      <c r="RQX13" s="114"/>
      <c r="RQY13" s="114"/>
      <c r="RQZ13" s="114"/>
      <c r="RRA13" s="114"/>
      <c r="RRB13" s="114"/>
      <c r="RRC13" s="114"/>
      <c r="RRD13" s="114"/>
      <c r="RRE13" s="114"/>
      <c r="RRF13" s="114"/>
      <c r="RRG13" s="114"/>
      <c r="RRH13" s="114"/>
      <c r="RRI13" s="114"/>
      <c r="RRJ13" s="114"/>
      <c r="RRK13" s="114"/>
      <c r="RRL13" s="114"/>
      <c r="RRM13" s="114"/>
      <c r="RRN13" s="114"/>
      <c r="RRO13" s="114"/>
      <c r="RRP13" s="114"/>
      <c r="RRQ13" s="114"/>
      <c r="RRR13" s="114"/>
      <c r="RRS13" s="114"/>
      <c r="RRT13" s="114"/>
      <c r="RRU13" s="114"/>
      <c r="RRV13" s="114"/>
      <c r="RRW13" s="114"/>
      <c r="RRX13" s="114"/>
      <c r="RRY13" s="114"/>
      <c r="RRZ13" s="114"/>
      <c r="RSA13" s="114"/>
      <c r="RSB13" s="114"/>
      <c r="RSC13" s="114"/>
      <c r="RSD13" s="114"/>
      <c r="RSE13" s="114"/>
      <c r="RSF13" s="114"/>
      <c r="RSG13" s="114"/>
      <c r="RSH13" s="114"/>
      <c r="RSI13" s="114"/>
      <c r="RSJ13" s="114"/>
      <c r="RSK13" s="114"/>
      <c r="RSL13" s="114"/>
      <c r="RSM13" s="114"/>
      <c r="RSN13" s="114"/>
      <c r="RSO13" s="114"/>
      <c r="RSP13" s="114"/>
      <c r="RSQ13" s="114"/>
      <c r="RSR13" s="114"/>
      <c r="RSS13" s="114"/>
      <c r="RST13" s="114"/>
      <c r="RSU13" s="114"/>
      <c r="RSV13" s="114"/>
      <c r="RSW13" s="114"/>
      <c r="RSX13" s="114"/>
      <c r="RSY13" s="114"/>
      <c r="RSZ13" s="114"/>
      <c r="RTA13" s="114"/>
      <c r="RTB13" s="114"/>
      <c r="RTC13" s="114"/>
      <c r="RTD13" s="114"/>
      <c r="RTE13" s="114"/>
      <c r="RTF13" s="114"/>
      <c r="RTG13" s="114"/>
      <c r="RTH13" s="114"/>
      <c r="RTI13" s="114"/>
      <c r="RTJ13" s="114"/>
      <c r="RTK13" s="114"/>
      <c r="RTL13" s="114"/>
      <c r="RTM13" s="114"/>
      <c r="RTN13" s="114"/>
      <c r="RTO13" s="114"/>
      <c r="RTP13" s="114"/>
      <c r="RTQ13" s="114"/>
      <c r="RTR13" s="114"/>
      <c r="RTS13" s="114"/>
      <c r="RTT13" s="114"/>
      <c r="RTU13" s="114"/>
      <c r="RTV13" s="114"/>
      <c r="RTW13" s="114"/>
      <c r="RTX13" s="114"/>
      <c r="RTY13" s="114"/>
      <c r="RTZ13" s="114"/>
      <c r="RUA13" s="114"/>
      <c r="RUB13" s="114"/>
      <c r="RUC13" s="114"/>
      <c r="RUD13" s="114"/>
      <c r="RUE13" s="114"/>
      <c r="RUF13" s="114"/>
      <c r="RUG13" s="114"/>
      <c r="RUH13" s="114"/>
      <c r="RUI13" s="114"/>
      <c r="RUJ13" s="114"/>
      <c r="RUK13" s="114"/>
      <c r="RUL13" s="114"/>
      <c r="RUM13" s="114"/>
      <c r="RUN13" s="114"/>
      <c r="RUO13" s="114"/>
      <c r="RUP13" s="114"/>
      <c r="RUQ13" s="114"/>
      <c r="RUR13" s="114"/>
      <c r="RUS13" s="114"/>
      <c r="RUT13" s="114"/>
      <c r="RUU13" s="114"/>
      <c r="RUV13" s="114"/>
      <c r="RUW13" s="114"/>
      <c r="RUX13" s="114"/>
      <c r="RUY13" s="114"/>
      <c r="RUZ13" s="114"/>
      <c r="RVA13" s="114"/>
      <c r="RVB13" s="114"/>
      <c r="RVC13" s="114"/>
      <c r="RVD13" s="114"/>
      <c r="RVE13" s="114"/>
      <c r="RVF13" s="114"/>
      <c r="RVG13" s="114"/>
      <c r="RVH13" s="114"/>
      <c r="RVI13" s="114"/>
      <c r="RVJ13" s="114"/>
      <c r="RVK13" s="114"/>
      <c r="RVL13" s="114"/>
      <c r="RVM13" s="114"/>
      <c r="RVN13" s="114"/>
      <c r="RVO13" s="114"/>
      <c r="RVP13" s="114"/>
      <c r="RVQ13" s="114"/>
      <c r="RVR13" s="114"/>
      <c r="RVS13" s="114"/>
      <c r="RVT13" s="114"/>
      <c r="RVU13" s="114"/>
      <c r="RVV13" s="114"/>
      <c r="RVW13" s="114"/>
      <c r="RVX13" s="114"/>
      <c r="RVY13" s="114"/>
      <c r="RVZ13" s="114"/>
      <c r="RWA13" s="114"/>
      <c r="RWB13" s="114"/>
      <c r="RWC13" s="114"/>
      <c r="RWD13" s="114"/>
      <c r="RWE13" s="114"/>
      <c r="RWF13" s="114"/>
      <c r="RWG13" s="114"/>
      <c r="RWH13" s="114"/>
      <c r="RWI13" s="114"/>
      <c r="RWJ13" s="114"/>
      <c r="RWK13" s="114"/>
      <c r="RWL13" s="114"/>
      <c r="RWM13" s="114"/>
      <c r="RWN13" s="114"/>
      <c r="RWO13" s="114"/>
      <c r="RWP13" s="114"/>
      <c r="RWQ13" s="114"/>
      <c r="RWR13" s="114"/>
      <c r="RWS13" s="114"/>
      <c r="RWT13" s="114"/>
      <c r="RWU13" s="114"/>
      <c r="RWV13" s="114"/>
      <c r="RWW13" s="114"/>
      <c r="RWX13" s="114"/>
      <c r="RWY13" s="114"/>
      <c r="RWZ13" s="114"/>
      <c r="RXA13" s="114"/>
      <c r="RXB13" s="114"/>
      <c r="RXC13" s="114"/>
      <c r="RXD13" s="114"/>
      <c r="RXE13" s="114"/>
      <c r="RXF13" s="114"/>
      <c r="RXG13" s="114"/>
      <c r="RXH13" s="114"/>
      <c r="RXI13" s="114"/>
      <c r="RXJ13" s="114"/>
      <c r="RXK13" s="114"/>
      <c r="RXL13" s="114"/>
      <c r="RXM13" s="114"/>
      <c r="RXN13" s="114"/>
      <c r="RXO13" s="114"/>
      <c r="RXP13" s="114"/>
      <c r="RXQ13" s="114"/>
      <c r="RXR13" s="114"/>
      <c r="RXS13" s="114"/>
      <c r="RXT13" s="114"/>
      <c r="RXU13" s="114"/>
      <c r="RXV13" s="114"/>
      <c r="RXW13" s="114"/>
      <c r="RXX13" s="114"/>
      <c r="RXY13" s="114"/>
      <c r="RXZ13" s="114"/>
      <c r="RYA13" s="114"/>
      <c r="RYB13" s="114"/>
      <c r="RYC13" s="114"/>
      <c r="RYD13" s="114"/>
      <c r="RYE13" s="114"/>
      <c r="RYF13" s="114"/>
      <c r="RYG13" s="114"/>
      <c r="RYH13" s="114"/>
      <c r="RYI13" s="114"/>
      <c r="RYJ13" s="114"/>
      <c r="RYK13" s="114"/>
      <c r="RYL13" s="114"/>
      <c r="RYM13" s="114"/>
      <c r="RYN13" s="114"/>
      <c r="RYO13" s="114"/>
      <c r="RYP13" s="114"/>
      <c r="RYQ13" s="114"/>
      <c r="RYR13" s="114"/>
      <c r="RYS13" s="114"/>
      <c r="RYT13" s="114"/>
      <c r="RYU13" s="114"/>
      <c r="RYV13" s="114"/>
      <c r="RYW13" s="114"/>
      <c r="RYX13" s="114"/>
      <c r="RYY13" s="114"/>
      <c r="RYZ13" s="114"/>
      <c r="RZA13" s="114"/>
      <c r="RZB13" s="114"/>
      <c r="RZC13" s="114"/>
      <c r="RZD13" s="114"/>
      <c r="RZE13" s="114"/>
      <c r="RZF13" s="114"/>
      <c r="RZG13" s="114"/>
      <c r="RZH13" s="114"/>
      <c r="RZI13" s="114"/>
      <c r="RZJ13" s="114"/>
      <c r="RZK13" s="114"/>
      <c r="RZL13" s="114"/>
      <c r="RZM13" s="114"/>
      <c r="RZN13" s="114"/>
      <c r="RZO13" s="114"/>
      <c r="RZP13" s="114"/>
      <c r="RZQ13" s="114"/>
      <c r="RZR13" s="114"/>
      <c r="RZS13" s="114"/>
      <c r="RZT13" s="114"/>
      <c r="RZU13" s="114"/>
      <c r="RZV13" s="114"/>
      <c r="RZW13" s="114"/>
      <c r="RZX13" s="114"/>
      <c r="RZY13" s="114"/>
      <c r="RZZ13" s="114"/>
      <c r="SAA13" s="114"/>
      <c r="SAB13" s="114"/>
      <c r="SAC13" s="114"/>
      <c r="SAD13" s="114"/>
      <c r="SAE13" s="114"/>
      <c r="SAF13" s="114"/>
      <c r="SAG13" s="114"/>
      <c r="SAH13" s="114"/>
      <c r="SAI13" s="114"/>
      <c r="SAJ13" s="114"/>
      <c r="SAK13" s="114"/>
      <c r="SAL13" s="114"/>
      <c r="SAM13" s="114"/>
      <c r="SAN13" s="114"/>
      <c r="SAO13" s="114"/>
      <c r="SAP13" s="114"/>
      <c r="SAQ13" s="114"/>
      <c r="SAR13" s="114"/>
      <c r="SAS13" s="114"/>
      <c r="SAT13" s="114"/>
      <c r="SAU13" s="114"/>
      <c r="SAV13" s="114"/>
      <c r="SAW13" s="114"/>
      <c r="SAX13" s="114"/>
      <c r="SAY13" s="114"/>
      <c r="SAZ13" s="114"/>
      <c r="SBA13" s="114"/>
      <c r="SBB13" s="114"/>
      <c r="SBC13" s="114"/>
      <c r="SBD13" s="114"/>
      <c r="SBE13" s="114"/>
      <c r="SBF13" s="114"/>
      <c r="SBG13" s="114"/>
      <c r="SBH13" s="114"/>
      <c r="SBI13" s="114"/>
      <c r="SBJ13" s="114"/>
      <c r="SBK13" s="114"/>
      <c r="SBL13" s="114"/>
      <c r="SBM13" s="114"/>
      <c r="SBN13" s="114"/>
      <c r="SBO13" s="114"/>
      <c r="SBP13" s="114"/>
      <c r="SBQ13" s="114"/>
      <c r="SBR13" s="114"/>
      <c r="SBS13" s="114"/>
      <c r="SBT13" s="114"/>
      <c r="SBU13" s="114"/>
      <c r="SBV13" s="114"/>
      <c r="SBW13" s="114"/>
      <c r="SBX13" s="114"/>
      <c r="SBY13" s="114"/>
      <c r="SBZ13" s="114"/>
      <c r="SCA13" s="114"/>
      <c r="SCB13" s="114"/>
      <c r="SCC13" s="114"/>
      <c r="SCD13" s="114"/>
      <c r="SCE13" s="114"/>
      <c r="SCF13" s="114"/>
      <c r="SCG13" s="114"/>
      <c r="SCH13" s="114"/>
      <c r="SCI13" s="114"/>
      <c r="SCJ13" s="114"/>
      <c r="SCK13" s="114"/>
      <c r="SCL13" s="114"/>
      <c r="SCM13" s="114"/>
      <c r="SCN13" s="114"/>
      <c r="SCO13" s="114"/>
      <c r="SCP13" s="114"/>
      <c r="SCQ13" s="114"/>
      <c r="SCR13" s="114"/>
      <c r="SCS13" s="114"/>
      <c r="SCT13" s="114"/>
      <c r="SCU13" s="114"/>
      <c r="SCV13" s="114"/>
      <c r="SCW13" s="114"/>
      <c r="SCX13" s="114"/>
      <c r="SCY13" s="114"/>
      <c r="SCZ13" s="114"/>
      <c r="SDA13" s="114"/>
      <c r="SDB13" s="114"/>
      <c r="SDC13" s="114"/>
      <c r="SDD13" s="114"/>
      <c r="SDE13" s="114"/>
      <c r="SDF13" s="114"/>
      <c r="SDG13" s="114"/>
      <c r="SDH13" s="114"/>
      <c r="SDI13" s="114"/>
      <c r="SDJ13" s="114"/>
      <c r="SDK13" s="114"/>
      <c r="SDL13" s="114"/>
      <c r="SDM13" s="114"/>
      <c r="SDN13" s="114"/>
      <c r="SDO13" s="114"/>
      <c r="SDP13" s="114"/>
      <c r="SDQ13" s="114"/>
      <c r="SDR13" s="114"/>
      <c r="SDS13" s="114"/>
      <c r="SDT13" s="114"/>
      <c r="SDU13" s="114"/>
      <c r="SDV13" s="114"/>
      <c r="SDW13" s="114"/>
      <c r="SDX13" s="114"/>
      <c r="SDY13" s="114"/>
      <c r="SDZ13" s="114"/>
      <c r="SEA13" s="114"/>
      <c r="SEB13" s="114"/>
      <c r="SEC13" s="114"/>
      <c r="SED13" s="114"/>
      <c r="SEE13" s="114"/>
      <c r="SEF13" s="114"/>
      <c r="SEG13" s="114"/>
      <c r="SEH13" s="114"/>
      <c r="SEI13" s="114"/>
      <c r="SEJ13" s="114"/>
      <c r="SEK13" s="114"/>
      <c r="SEL13" s="114"/>
      <c r="SEM13" s="114"/>
      <c r="SEN13" s="114"/>
      <c r="SEO13" s="114"/>
      <c r="SEP13" s="114"/>
      <c r="SEQ13" s="114"/>
      <c r="SER13" s="114"/>
      <c r="SES13" s="114"/>
      <c r="SET13" s="114"/>
      <c r="SEU13" s="114"/>
      <c r="SEV13" s="114"/>
      <c r="SEW13" s="114"/>
      <c r="SEX13" s="114"/>
      <c r="SEY13" s="114"/>
      <c r="SEZ13" s="114"/>
      <c r="SFA13" s="114"/>
      <c r="SFB13" s="114"/>
      <c r="SFC13" s="114"/>
      <c r="SFD13" s="114"/>
      <c r="SFE13" s="114"/>
      <c r="SFF13" s="114"/>
      <c r="SFG13" s="114"/>
      <c r="SFH13" s="114"/>
      <c r="SFI13" s="114"/>
      <c r="SFJ13" s="114"/>
      <c r="SFK13" s="114"/>
      <c r="SFL13" s="114"/>
      <c r="SFM13" s="114"/>
      <c r="SFN13" s="114"/>
      <c r="SFO13" s="114"/>
      <c r="SFP13" s="114"/>
      <c r="SFQ13" s="114"/>
      <c r="SFR13" s="114"/>
      <c r="SFS13" s="114"/>
      <c r="SFT13" s="114"/>
      <c r="SFU13" s="114"/>
      <c r="SFV13" s="114"/>
      <c r="SFW13" s="114"/>
      <c r="SFX13" s="114"/>
      <c r="SFY13" s="114"/>
      <c r="SFZ13" s="114"/>
      <c r="SGA13" s="114"/>
      <c r="SGB13" s="114"/>
      <c r="SGC13" s="114"/>
      <c r="SGD13" s="114"/>
      <c r="SGE13" s="114"/>
      <c r="SGF13" s="114"/>
      <c r="SGG13" s="114"/>
      <c r="SGH13" s="114"/>
      <c r="SGI13" s="114"/>
      <c r="SGJ13" s="114"/>
      <c r="SGK13" s="114"/>
      <c r="SGL13" s="114"/>
      <c r="SGM13" s="114"/>
      <c r="SGN13" s="114"/>
      <c r="SGO13" s="114"/>
      <c r="SGP13" s="114"/>
      <c r="SGQ13" s="114"/>
      <c r="SGR13" s="114"/>
      <c r="SGS13" s="114"/>
      <c r="SGT13" s="114"/>
      <c r="SGU13" s="114"/>
      <c r="SGV13" s="114"/>
      <c r="SGW13" s="114"/>
      <c r="SGX13" s="114"/>
      <c r="SGY13" s="114"/>
      <c r="SGZ13" s="114"/>
      <c r="SHA13" s="114"/>
      <c r="SHB13" s="114"/>
      <c r="SHC13" s="114"/>
      <c r="SHD13" s="114"/>
      <c r="SHE13" s="114"/>
      <c r="SHF13" s="114"/>
      <c r="SHG13" s="114"/>
      <c r="SHH13" s="114"/>
      <c r="SHI13" s="114"/>
      <c r="SHJ13" s="114"/>
      <c r="SHK13" s="114"/>
      <c r="SHL13" s="114"/>
      <c r="SHM13" s="114"/>
      <c r="SHN13" s="114"/>
      <c r="SHO13" s="114"/>
      <c r="SHP13" s="114"/>
      <c r="SHQ13" s="114"/>
      <c r="SHR13" s="114"/>
      <c r="SHS13" s="114"/>
      <c r="SHT13" s="114"/>
      <c r="SHU13" s="114"/>
      <c r="SHV13" s="114"/>
      <c r="SHW13" s="114"/>
      <c r="SHX13" s="114"/>
      <c r="SHY13" s="114"/>
      <c r="SHZ13" s="114"/>
      <c r="SIA13" s="114"/>
      <c r="SIB13" s="114"/>
      <c r="SIC13" s="114"/>
      <c r="SID13" s="114"/>
      <c r="SIE13" s="114"/>
      <c r="SIF13" s="114"/>
      <c r="SIG13" s="114"/>
      <c r="SIH13" s="114"/>
      <c r="SII13" s="114"/>
      <c r="SIJ13" s="114"/>
      <c r="SIK13" s="114"/>
      <c r="SIL13" s="114"/>
      <c r="SIM13" s="114"/>
      <c r="SIN13" s="114"/>
      <c r="SIO13" s="114"/>
      <c r="SIP13" s="114"/>
      <c r="SIQ13" s="114"/>
      <c r="SIR13" s="114"/>
      <c r="SIS13" s="114"/>
      <c r="SIT13" s="114"/>
      <c r="SIU13" s="114"/>
      <c r="SIV13" s="114"/>
      <c r="SIW13" s="114"/>
      <c r="SIX13" s="114"/>
      <c r="SIY13" s="114"/>
      <c r="SIZ13" s="114"/>
      <c r="SJA13" s="114"/>
      <c r="SJB13" s="114"/>
      <c r="SJC13" s="114"/>
      <c r="SJD13" s="114"/>
      <c r="SJE13" s="114"/>
      <c r="SJF13" s="114"/>
      <c r="SJG13" s="114"/>
      <c r="SJH13" s="114"/>
      <c r="SJI13" s="114"/>
      <c r="SJJ13" s="114"/>
      <c r="SJK13" s="114"/>
      <c r="SJL13" s="114"/>
      <c r="SJM13" s="114"/>
      <c r="SJN13" s="114"/>
      <c r="SJO13" s="114"/>
      <c r="SJP13" s="114"/>
      <c r="SJQ13" s="114"/>
      <c r="SJR13" s="114"/>
      <c r="SJS13" s="114"/>
      <c r="SJT13" s="114"/>
      <c r="SJU13" s="114"/>
      <c r="SJV13" s="114"/>
      <c r="SJW13" s="114"/>
      <c r="SJX13" s="114"/>
      <c r="SJY13" s="114"/>
      <c r="SJZ13" s="114"/>
      <c r="SKA13" s="114"/>
      <c r="SKB13" s="114"/>
      <c r="SKC13" s="114"/>
      <c r="SKD13" s="114"/>
      <c r="SKE13" s="114"/>
      <c r="SKF13" s="114"/>
      <c r="SKG13" s="114"/>
      <c r="SKH13" s="114"/>
      <c r="SKI13" s="114"/>
      <c r="SKJ13" s="114"/>
      <c r="SKK13" s="114"/>
      <c r="SKL13" s="114"/>
      <c r="SKM13" s="114"/>
      <c r="SKN13" s="114"/>
      <c r="SKO13" s="114"/>
      <c r="SKP13" s="114"/>
      <c r="SKQ13" s="114"/>
      <c r="SKR13" s="114"/>
      <c r="SKS13" s="114"/>
      <c r="SKT13" s="114"/>
      <c r="SKU13" s="114"/>
      <c r="SKV13" s="114"/>
      <c r="SKW13" s="114"/>
      <c r="SKX13" s="114"/>
      <c r="SKY13" s="114"/>
      <c r="SKZ13" s="114"/>
      <c r="SLA13" s="114"/>
      <c r="SLB13" s="114"/>
      <c r="SLC13" s="114"/>
      <c r="SLD13" s="114"/>
      <c r="SLE13" s="114"/>
      <c r="SLF13" s="114"/>
      <c r="SLG13" s="114"/>
      <c r="SLH13" s="114"/>
      <c r="SLI13" s="114"/>
      <c r="SLJ13" s="114"/>
      <c r="SLK13" s="114"/>
      <c r="SLL13" s="114"/>
      <c r="SLM13" s="114"/>
      <c r="SLN13" s="114"/>
      <c r="SLO13" s="114"/>
      <c r="SLP13" s="114"/>
      <c r="SLQ13" s="114"/>
      <c r="SLR13" s="114"/>
      <c r="SLS13" s="114"/>
      <c r="SLT13" s="114"/>
      <c r="SLU13" s="114"/>
      <c r="SLV13" s="114"/>
      <c r="SLW13" s="114"/>
      <c r="SLX13" s="114"/>
      <c r="SLY13" s="114"/>
      <c r="SLZ13" s="114"/>
      <c r="SMA13" s="114"/>
      <c r="SMB13" s="114"/>
      <c r="SMC13" s="114"/>
      <c r="SMD13" s="114"/>
      <c r="SME13" s="114"/>
      <c r="SMF13" s="114"/>
      <c r="SMG13" s="114"/>
      <c r="SMH13" s="114"/>
      <c r="SMI13" s="114"/>
      <c r="SMJ13" s="114"/>
      <c r="SMK13" s="114"/>
      <c r="SML13" s="114"/>
      <c r="SMM13" s="114"/>
      <c r="SMN13" s="114"/>
      <c r="SMO13" s="114"/>
      <c r="SMP13" s="114"/>
      <c r="SMQ13" s="114"/>
      <c r="SMR13" s="114"/>
      <c r="SMS13" s="114"/>
      <c r="SMT13" s="114"/>
      <c r="SMU13" s="114"/>
      <c r="SMV13" s="114"/>
      <c r="SMW13" s="114"/>
      <c r="SMX13" s="114"/>
      <c r="SMY13" s="114"/>
      <c r="SMZ13" s="114"/>
      <c r="SNA13" s="114"/>
      <c r="SNB13" s="114"/>
      <c r="SNC13" s="114"/>
      <c r="SND13" s="114"/>
      <c r="SNE13" s="114"/>
      <c r="SNF13" s="114"/>
      <c r="SNG13" s="114"/>
      <c r="SNH13" s="114"/>
      <c r="SNI13" s="114"/>
      <c r="SNJ13" s="114"/>
      <c r="SNK13" s="114"/>
      <c r="SNL13" s="114"/>
      <c r="SNM13" s="114"/>
      <c r="SNN13" s="114"/>
      <c r="SNO13" s="114"/>
      <c r="SNP13" s="114"/>
      <c r="SNQ13" s="114"/>
      <c r="SNR13" s="114"/>
      <c r="SNS13" s="114"/>
      <c r="SNT13" s="114"/>
      <c r="SNU13" s="114"/>
      <c r="SNV13" s="114"/>
      <c r="SNW13" s="114"/>
      <c r="SNX13" s="114"/>
      <c r="SNY13" s="114"/>
      <c r="SNZ13" s="114"/>
      <c r="SOA13" s="114"/>
      <c r="SOB13" s="114"/>
      <c r="SOC13" s="114"/>
      <c r="SOD13" s="114"/>
      <c r="SOE13" s="114"/>
      <c r="SOF13" s="114"/>
      <c r="SOG13" s="114"/>
      <c r="SOH13" s="114"/>
      <c r="SOI13" s="114"/>
      <c r="SOJ13" s="114"/>
      <c r="SOK13" s="114"/>
      <c r="SOL13" s="114"/>
      <c r="SOM13" s="114"/>
      <c r="SON13" s="114"/>
      <c r="SOO13" s="114"/>
      <c r="SOP13" s="114"/>
      <c r="SOQ13" s="114"/>
      <c r="SOR13" s="114"/>
      <c r="SOS13" s="114"/>
      <c r="SOT13" s="114"/>
      <c r="SOU13" s="114"/>
      <c r="SOV13" s="114"/>
      <c r="SOW13" s="114"/>
      <c r="SOX13" s="114"/>
      <c r="SOY13" s="114"/>
      <c r="SOZ13" s="114"/>
      <c r="SPA13" s="114"/>
      <c r="SPB13" s="114"/>
      <c r="SPC13" s="114"/>
      <c r="SPD13" s="114"/>
      <c r="SPE13" s="114"/>
      <c r="SPF13" s="114"/>
      <c r="SPG13" s="114"/>
      <c r="SPH13" s="114"/>
      <c r="SPI13" s="114"/>
      <c r="SPJ13" s="114"/>
      <c r="SPK13" s="114"/>
      <c r="SPL13" s="114"/>
      <c r="SPM13" s="114"/>
      <c r="SPN13" s="114"/>
      <c r="SPO13" s="114"/>
      <c r="SPP13" s="114"/>
      <c r="SPQ13" s="114"/>
      <c r="SPR13" s="114"/>
      <c r="SPS13" s="114"/>
      <c r="SPT13" s="114"/>
      <c r="SPU13" s="114"/>
      <c r="SPV13" s="114"/>
      <c r="SPW13" s="114"/>
      <c r="SPX13" s="114"/>
      <c r="SPY13" s="114"/>
      <c r="SPZ13" s="114"/>
      <c r="SQA13" s="114"/>
      <c r="SQB13" s="114"/>
      <c r="SQC13" s="114"/>
      <c r="SQD13" s="114"/>
      <c r="SQE13" s="114"/>
      <c r="SQF13" s="114"/>
      <c r="SQG13" s="114"/>
      <c r="SQH13" s="114"/>
      <c r="SQI13" s="114"/>
      <c r="SQJ13" s="114"/>
      <c r="SQK13" s="114"/>
      <c r="SQL13" s="114"/>
      <c r="SQM13" s="114"/>
      <c r="SQN13" s="114"/>
      <c r="SQO13" s="114"/>
      <c r="SQP13" s="114"/>
      <c r="SQQ13" s="114"/>
      <c r="SQR13" s="114"/>
      <c r="SQS13" s="114"/>
      <c r="SQT13" s="114"/>
      <c r="SQU13" s="114"/>
      <c r="SQV13" s="114"/>
      <c r="SQW13" s="114"/>
      <c r="SQX13" s="114"/>
      <c r="SQY13" s="114"/>
      <c r="SQZ13" s="114"/>
      <c r="SRA13" s="114"/>
      <c r="SRB13" s="114"/>
      <c r="SRC13" s="114"/>
      <c r="SRD13" s="114"/>
      <c r="SRE13" s="114"/>
      <c r="SRF13" s="114"/>
      <c r="SRG13" s="114"/>
      <c r="SRH13" s="114"/>
      <c r="SRI13" s="114"/>
      <c r="SRJ13" s="114"/>
      <c r="SRK13" s="114"/>
      <c r="SRL13" s="114"/>
      <c r="SRM13" s="114"/>
      <c r="SRN13" s="114"/>
      <c r="SRO13" s="114"/>
      <c r="SRP13" s="114"/>
      <c r="SRQ13" s="114"/>
      <c r="SRR13" s="114"/>
      <c r="SRS13" s="114"/>
      <c r="SRT13" s="114"/>
      <c r="SRU13" s="114"/>
      <c r="SRV13" s="114"/>
      <c r="SRW13" s="114"/>
      <c r="SRX13" s="114"/>
      <c r="SRY13" s="114"/>
      <c r="SRZ13" s="114"/>
      <c r="SSA13" s="114"/>
      <c r="SSB13" s="114"/>
      <c r="SSC13" s="114"/>
      <c r="SSD13" s="114"/>
      <c r="SSE13" s="114"/>
      <c r="SSF13" s="114"/>
      <c r="SSG13" s="114"/>
      <c r="SSH13" s="114"/>
      <c r="SSI13" s="114"/>
      <c r="SSJ13" s="114"/>
      <c r="SSK13" s="114"/>
      <c r="SSL13" s="114"/>
      <c r="SSM13" s="114"/>
      <c r="SSN13" s="114"/>
      <c r="SSO13" s="114"/>
      <c r="SSP13" s="114"/>
      <c r="SSQ13" s="114"/>
      <c r="SSR13" s="114"/>
      <c r="SSS13" s="114"/>
      <c r="SST13" s="114"/>
      <c r="SSU13" s="114"/>
      <c r="SSV13" s="114"/>
      <c r="SSW13" s="114"/>
      <c r="SSX13" s="114"/>
      <c r="SSY13" s="114"/>
      <c r="SSZ13" s="114"/>
      <c r="STA13" s="114"/>
      <c r="STB13" s="114"/>
      <c r="STC13" s="114"/>
      <c r="STD13" s="114"/>
      <c r="STE13" s="114"/>
      <c r="STF13" s="114"/>
      <c r="STG13" s="114"/>
      <c r="STH13" s="114"/>
      <c r="STI13" s="114"/>
      <c r="STJ13" s="114"/>
      <c r="STK13" s="114"/>
      <c r="STL13" s="114"/>
      <c r="STM13" s="114"/>
      <c r="STN13" s="114"/>
      <c r="STO13" s="114"/>
      <c r="STP13" s="114"/>
      <c r="STQ13" s="114"/>
      <c r="STR13" s="114"/>
      <c r="STS13" s="114"/>
      <c r="STT13" s="114"/>
      <c r="STU13" s="114"/>
      <c r="STV13" s="114"/>
      <c r="STW13" s="114"/>
      <c r="STX13" s="114"/>
      <c r="STY13" s="114"/>
      <c r="STZ13" s="114"/>
      <c r="SUA13" s="114"/>
      <c r="SUB13" s="114"/>
      <c r="SUC13" s="114"/>
      <c r="SUD13" s="114"/>
      <c r="SUE13" s="114"/>
      <c r="SUF13" s="114"/>
      <c r="SUG13" s="114"/>
      <c r="SUH13" s="114"/>
      <c r="SUI13" s="114"/>
      <c r="SUJ13" s="114"/>
      <c r="SUK13" s="114"/>
      <c r="SUL13" s="114"/>
      <c r="SUM13" s="114"/>
      <c r="SUN13" s="114"/>
      <c r="SUO13" s="114"/>
      <c r="SUP13" s="114"/>
      <c r="SUQ13" s="114"/>
      <c r="SUR13" s="114"/>
      <c r="SUS13" s="114"/>
      <c r="SUT13" s="114"/>
      <c r="SUU13" s="114"/>
      <c r="SUV13" s="114"/>
      <c r="SUW13" s="114"/>
      <c r="SUX13" s="114"/>
      <c r="SUY13" s="114"/>
      <c r="SUZ13" s="114"/>
      <c r="SVA13" s="114"/>
      <c r="SVB13" s="114"/>
      <c r="SVC13" s="114"/>
      <c r="SVD13" s="114"/>
      <c r="SVE13" s="114"/>
      <c r="SVF13" s="114"/>
      <c r="SVG13" s="114"/>
      <c r="SVH13" s="114"/>
      <c r="SVI13" s="114"/>
      <c r="SVJ13" s="114"/>
      <c r="SVK13" s="114"/>
      <c r="SVL13" s="114"/>
      <c r="SVM13" s="114"/>
      <c r="SVN13" s="114"/>
      <c r="SVO13" s="114"/>
      <c r="SVP13" s="114"/>
      <c r="SVQ13" s="114"/>
      <c r="SVR13" s="114"/>
      <c r="SVS13" s="114"/>
      <c r="SVT13" s="114"/>
      <c r="SVU13" s="114"/>
      <c r="SVV13" s="114"/>
      <c r="SVW13" s="114"/>
      <c r="SVX13" s="114"/>
      <c r="SVY13" s="114"/>
      <c r="SVZ13" s="114"/>
      <c r="SWA13" s="114"/>
      <c r="SWB13" s="114"/>
      <c r="SWC13" s="114"/>
      <c r="SWD13" s="114"/>
      <c r="SWE13" s="114"/>
      <c r="SWF13" s="114"/>
      <c r="SWG13" s="114"/>
      <c r="SWH13" s="114"/>
      <c r="SWI13" s="114"/>
      <c r="SWJ13" s="114"/>
      <c r="SWK13" s="114"/>
      <c r="SWL13" s="114"/>
      <c r="SWM13" s="114"/>
      <c r="SWN13" s="114"/>
      <c r="SWO13" s="114"/>
      <c r="SWP13" s="114"/>
      <c r="SWQ13" s="114"/>
      <c r="SWR13" s="114"/>
      <c r="SWS13" s="114"/>
      <c r="SWT13" s="114"/>
      <c r="SWU13" s="114"/>
      <c r="SWV13" s="114"/>
      <c r="SWW13" s="114"/>
      <c r="SWX13" s="114"/>
      <c r="SWY13" s="114"/>
      <c r="SWZ13" s="114"/>
      <c r="SXA13" s="114"/>
      <c r="SXB13" s="114"/>
      <c r="SXC13" s="114"/>
      <c r="SXD13" s="114"/>
      <c r="SXE13" s="114"/>
      <c r="SXF13" s="114"/>
      <c r="SXG13" s="114"/>
      <c r="SXH13" s="114"/>
      <c r="SXI13" s="114"/>
      <c r="SXJ13" s="114"/>
      <c r="SXK13" s="114"/>
      <c r="SXL13" s="114"/>
      <c r="SXM13" s="114"/>
      <c r="SXN13" s="114"/>
      <c r="SXO13" s="114"/>
      <c r="SXP13" s="114"/>
      <c r="SXQ13" s="114"/>
      <c r="SXR13" s="114"/>
      <c r="SXS13" s="114"/>
      <c r="SXT13" s="114"/>
      <c r="SXU13" s="114"/>
      <c r="SXV13" s="114"/>
      <c r="SXW13" s="114"/>
      <c r="SXX13" s="114"/>
      <c r="SXY13" s="114"/>
      <c r="SXZ13" s="114"/>
      <c r="SYA13" s="114"/>
      <c r="SYB13" s="114"/>
      <c r="SYC13" s="114"/>
      <c r="SYD13" s="114"/>
      <c r="SYE13" s="114"/>
      <c r="SYF13" s="114"/>
      <c r="SYG13" s="114"/>
      <c r="SYH13" s="114"/>
      <c r="SYI13" s="114"/>
      <c r="SYJ13" s="114"/>
      <c r="SYK13" s="114"/>
      <c r="SYL13" s="114"/>
      <c r="SYM13" s="114"/>
      <c r="SYN13" s="114"/>
      <c r="SYO13" s="114"/>
      <c r="SYP13" s="114"/>
      <c r="SYQ13" s="114"/>
      <c r="SYR13" s="114"/>
      <c r="SYS13" s="114"/>
      <c r="SYT13" s="114"/>
      <c r="SYU13" s="114"/>
      <c r="SYV13" s="114"/>
      <c r="SYW13" s="114"/>
      <c r="SYX13" s="114"/>
      <c r="SYY13" s="114"/>
      <c r="SYZ13" s="114"/>
      <c r="SZA13" s="114"/>
      <c r="SZB13" s="114"/>
      <c r="SZC13" s="114"/>
      <c r="SZD13" s="114"/>
      <c r="SZE13" s="114"/>
      <c r="SZF13" s="114"/>
      <c r="SZG13" s="114"/>
      <c r="SZH13" s="114"/>
      <c r="SZI13" s="114"/>
      <c r="SZJ13" s="114"/>
      <c r="SZK13" s="114"/>
      <c r="SZL13" s="114"/>
      <c r="SZM13" s="114"/>
      <c r="SZN13" s="114"/>
      <c r="SZO13" s="114"/>
      <c r="SZP13" s="114"/>
      <c r="SZQ13" s="114"/>
      <c r="SZR13" s="114"/>
      <c r="SZS13" s="114"/>
      <c r="SZT13" s="114"/>
      <c r="SZU13" s="114"/>
      <c r="SZV13" s="114"/>
      <c r="SZW13" s="114"/>
      <c r="SZX13" s="114"/>
      <c r="SZY13" s="114"/>
      <c r="SZZ13" s="114"/>
      <c r="TAA13" s="114"/>
      <c r="TAB13" s="114"/>
      <c r="TAC13" s="114"/>
      <c r="TAD13" s="114"/>
      <c r="TAE13" s="114"/>
      <c r="TAF13" s="114"/>
      <c r="TAG13" s="114"/>
      <c r="TAH13" s="114"/>
      <c r="TAI13" s="114"/>
      <c r="TAJ13" s="114"/>
      <c r="TAK13" s="114"/>
      <c r="TAL13" s="114"/>
      <c r="TAM13" s="114"/>
      <c r="TAN13" s="114"/>
      <c r="TAO13" s="114"/>
      <c r="TAP13" s="114"/>
      <c r="TAQ13" s="114"/>
      <c r="TAR13" s="114"/>
      <c r="TAS13" s="114"/>
      <c r="TAT13" s="114"/>
      <c r="TAU13" s="114"/>
      <c r="TAV13" s="114"/>
      <c r="TAW13" s="114"/>
      <c r="TAX13" s="114"/>
      <c r="TAY13" s="114"/>
      <c r="TAZ13" s="114"/>
      <c r="TBA13" s="114"/>
      <c r="TBB13" s="114"/>
      <c r="TBC13" s="114"/>
      <c r="TBD13" s="114"/>
      <c r="TBE13" s="114"/>
      <c r="TBF13" s="114"/>
      <c r="TBG13" s="114"/>
      <c r="TBH13" s="114"/>
      <c r="TBI13" s="114"/>
      <c r="TBJ13" s="114"/>
      <c r="TBK13" s="114"/>
      <c r="TBL13" s="114"/>
      <c r="TBM13" s="114"/>
      <c r="TBN13" s="114"/>
      <c r="TBO13" s="114"/>
      <c r="TBP13" s="114"/>
      <c r="TBQ13" s="114"/>
      <c r="TBR13" s="114"/>
      <c r="TBS13" s="114"/>
      <c r="TBT13" s="114"/>
      <c r="TBU13" s="114"/>
      <c r="TBV13" s="114"/>
      <c r="TBW13" s="114"/>
      <c r="TBX13" s="114"/>
      <c r="TBY13" s="114"/>
      <c r="TBZ13" s="114"/>
      <c r="TCA13" s="114"/>
      <c r="TCB13" s="114"/>
      <c r="TCC13" s="114"/>
      <c r="TCD13" s="114"/>
      <c r="TCE13" s="114"/>
      <c r="TCF13" s="114"/>
      <c r="TCG13" s="114"/>
      <c r="TCH13" s="114"/>
      <c r="TCI13" s="114"/>
      <c r="TCJ13" s="114"/>
      <c r="TCK13" s="114"/>
      <c r="TCL13" s="114"/>
      <c r="TCM13" s="114"/>
      <c r="TCN13" s="114"/>
      <c r="TCO13" s="114"/>
      <c r="TCP13" s="114"/>
      <c r="TCQ13" s="114"/>
      <c r="TCR13" s="114"/>
      <c r="TCS13" s="114"/>
      <c r="TCT13" s="114"/>
      <c r="TCU13" s="114"/>
      <c r="TCV13" s="114"/>
      <c r="TCW13" s="114"/>
      <c r="TCX13" s="114"/>
      <c r="TCY13" s="114"/>
      <c r="TCZ13" s="114"/>
      <c r="TDA13" s="114"/>
      <c r="TDB13" s="114"/>
      <c r="TDC13" s="114"/>
      <c r="TDD13" s="114"/>
      <c r="TDE13" s="114"/>
      <c r="TDF13" s="114"/>
      <c r="TDG13" s="114"/>
      <c r="TDH13" s="114"/>
      <c r="TDI13" s="114"/>
      <c r="TDJ13" s="114"/>
      <c r="TDK13" s="114"/>
      <c r="TDL13" s="114"/>
      <c r="TDM13" s="114"/>
      <c r="TDN13" s="114"/>
      <c r="TDO13" s="114"/>
      <c r="TDP13" s="114"/>
      <c r="TDQ13" s="114"/>
      <c r="TDR13" s="114"/>
      <c r="TDS13" s="114"/>
      <c r="TDT13" s="114"/>
      <c r="TDU13" s="114"/>
      <c r="TDV13" s="114"/>
      <c r="TDW13" s="114"/>
      <c r="TDX13" s="114"/>
      <c r="TDY13" s="114"/>
      <c r="TDZ13" s="114"/>
      <c r="TEA13" s="114"/>
      <c r="TEB13" s="114"/>
      <c r="TEC13" s="114"/>
      <c r="TED13" s="114"/>
      <c r="TEE13" s="114"/>
      <c r="TEF13" s="114"/>
      <c r="TEG13" s="114"/>
      <c r="TEH13" s="114"/>
      <c r="TEI13" s="114"/>
      <c r="TEJ13" s="114"/>
      <c r="TEK13" s="114"/>
      <c r="TEL13" s="114"/>
      <c r="TEM13" s="114"/>
      <c r="TEN13" s="114"/>
      <c r="TEO13" s="114"/>
      <c r="TEP13" s="114"/>
      <c r="TEQ13" s="114"/>
      <c r="TER13" s="114"/>
      <c r="TES13" s="114"/>
      <c r="TET13" s="114"/>
      <c r="TEU13" s="114"/>
      <c r="TEV13" s="114"/>
      <c r="TEW13" s="114"/>
      <c r="TEX13" s="114"/>
      <c r="TEY13" s="114"/>
      <c r="TEZ13" s="114"/>
      <c r="TFA13" s="114"/>
      <c r="TFB13" s="114"/>
      <c r="TFC13" s="114"/>
      <c r="TFD13" s="114"/>
      <c r="TFE13" s="114"/>
      <c r="TFF13" s="114"/>
      <c r="TFG13" s="114"/>
      <c r="TFH13" s="114"/>
      <c r="TFI13" s="114"/>
      <c r="TFJ13" s="114"/>
      <c r="TFK13" s="114"/>
      <c r="TFL13" s="114"/>
      <c r="TFM13" s="114"/>
      <c r="TFN13" s="114"/>
      <c r="TFO13" s="114"/>
      <c r="TFP13" s="114"/>
      <c r="TFQ13" s="114"/>
      <c r="TFR13" s="114"/>
      <c r="TFS13" s="114"/>
      <c r="TFT13" s="114"/>
      <c r="TFU13" s="114"/>
      <c r="TFV13" s="114"/>
      <c r="TFW13" s="114"/>
      <c r="TFX13" s="114"/>
      <c r="TFY13" s="114"/>
      <c r="TFZ13" s="114"/>
      <c r="TGA13" s="114"/>
      <c r="TGB13" s="114"/>
      <c r="TGC13" s="114"/>
      <c r="TGD13" s="114"/>
      <c r="TGE13" s="114"/>
      <c r="TGF13" s="114"/>
      <c r="TGG13" s="114"/>
      <c r="TGH13" s="114"/>
      <c r="TGI13" s="114"/>
      <c r="TGJ13" s="114"/>
      <c r="TGK13" s="114"/>
      <c r="TGL13" s="114"/>
      <c r="TGM13" s="114"/>
      <c r="TGN13" s="114"/>
      <c r="TGO13" s="114"/>
      <c r="TGP13" s="114"/>
      <c r="TGQ13" s="114"/>
      <c r="TGR13" s="114"/>
      <c r="TGS13" s="114"/>
      <c r="TGT13" s="114"/>
      <c r="TGU13" s="114"/>
      <c r="TGV13" s="114"/>
      <c r="TGW13" s="114"/>
      <c r="TGX13" s="114"/>
      <c r="TGY13" s="114"/>
      <c r="TGZ13" s="114"/>
      <c r="THA13" s="114"/>
      <c r="THB13" s="114"/>
      <c r="THC13" s="114"/>
      <c r="THD13" s="114"/>
      <c r="THE13" s="114"/>
      <c r="THF13" s="114"/>
      <c r="THG13" s="114"/>
      <c r="THH13" s="114"/>
      <c r="THI13" s="114"/>
      <c r="THJ13" s="114"/>
      <c r="THK13" s="114"/>
      <c r="THL13" s="114"/>
      <c r="THM13" s="114"/>
      <c r="THN13" s="114"/>
      <c r="THO13" s="114"/>
      <c r="THP13" s="114"/>
      <c r="THQ13" s="114"/>
      <c r="THR13" s="114"/>
      <c r="THS13" s="114"/>
      <c r="THT13" s="114"/>
      <c r="THU13" s="114"/>
      <c r="THV13" s="114"/>
      <c r="THW13" s="114"/>
      <c r="THX13" s="114"/>
      <c r="THY13" s="114"/>
      <c r="THZ13" s="114"/>
      <c r="TIA13" s="114"/>
      <c r="TIB13" s="114"/>
      <c r="TIC13" s="114"/>
      <c r="TID13" s="114"/>
      <c r="TIE13" s="114"/>
      <c r="TIF13" s="114"/>
      <c r="TIG13" s="114"/>
      <c r="TIH13" s="114"/>
      <c r="TII13" s="114"/>
      <c r="TIJ13" s="114"/>
      <c r="TIK13" s="114"/>
      <c r="TIL13" s="114"/>
      <c r="TIM13" s="114"/>
      <c r="TIN13" s="114"/>
      <c r="TIO13" s="114"/>
      <c r="TIP13" s="114"/>
      <c r="TIQ13" s="114"/>
      <c r="TIR13" s="114"/>
      <c r="TIS13" s="114"/>
      <c r="TIT13" s="114"/>
      <c r="TIU13" s="114"/>
      <c r="TIV13" s="114"/>
      <c r="TIW13" s="114"/>
      <c r="TIX13" s="114"/>
      <c r="TIY13" s="114"/>
      <c r="TIZ13" s="114"/>
      <c r="TJA13" s="114"/>
      <c r="TJB13" s="114"/>
      <c r="TJC13" s="114"/>
      <c r="TJD13" s="114"/>
      <c r="TJE13" s="114"/>
      <c r="TJF13" s="114"/>
      <c r="TJG13" s="114"/>
      <c r="TJH13" s="114"/>
      <c r="TJI13" s="114"/>
      <c r="TJJ13" s="114"/>
      <c r="TJK13" s="114"/>
      <c r="TJL13" s="114"/>
      <c r="TJM13" s="114"/>
      <c r="TJN13" s="114"/>
      <c r="TJO13" s="114"/>
      <c r="TJP13" s="114"/>
      <c r="TJQ13" s="114"/>
      <c r="TJR13" s="114"/>
      <c r="TJS13" s="114"/>
      <c r="TJT13" s="114"/>
      <c r="TJU13" s="114"/>
      <c r="TJV13" s="114"/>
      <c r="TJW13" s="114"/>
      <c r="TJX13" s="114"/>
      <c r="TJY13" s="114"/>
      <c r="TJZ13" s="114"/>
      <c r="TKA13" s="114"/>
      <c r="TKB13" s="114"/>
      <c r="TKC13" s="114"/>
      <c r="TKD13" s="114"/>
      <c r="TKE13" s="114"/>
      <c r="TKF13" s="114"/>
      <c r="TKG13" s="114"/>
      <c r="TKH13" s="114"/>
      <c r="TKI13" s="114"/>
      <c r="TKJ13" s="114"/>
      <c r="TKK13" s="114"/>
      <c r="TKL13" s="114"/>
      <c r="TKM13" s="114"/>
      <c r="TKN13" s="114"/>
      <c r="TKO13" s="114"/>
      <c r="TKP13" s="114"/>
      <c r="TKQ13" s="114"/>
      <c r="TKR13" s="114"/>
      <c r="TKS13" s="114"/>
      <c r="TKT13" s="114"/>
      <c r="TKU13" s="114"/>
      <c r="TKV13" s="114"/>
      <c r="TKW13" s="114"/>
      <c r="TKX13" s="114"/>
      <c r="TKY13" s="114"/>
      <c r="TKZ13" s="114"/>
      <c r="TLA13" s="114"/>
      <c r="TLB13" s="114"/>
      <c r="TLC13" s="114"/>
      <c r="TLD13" s="114"/>
      <c r="TLE13" s="114"/>
      <c r="TLF13" s="114"/>
      <c r="TLG13" s="114"/>
      <c r="TLH13" s="114"/>
      <c r="TLI13" s="114"/>
      <c r="TLJ13" s="114"/>
      <c r="TLK13" s="114"/>
      <c r="TLL13" s="114"/>
      <c r="TLM13" s="114"/>
      <c r="TLN13" s="114"/>
      <c r="TLO13" s="114"/>
      <c r="TLP13" s="114"/>
      <c r="TLQ13" s="114"/>
      <c r="TLR13" s="114"/>
      <c r="TLS13" s="114"/>
      <c r="TLT13" s="114"/>
      <c r="TLU13" s="114"/>
      <c r="TLV13" s="114"/>
      <c r="TLW13" s="114"/>
      <c r="TLX13" s="114"/>
      <c r="TLY13" s="114"/>
      <c r="TLZ13" s="114"/>
      <c r="TMA13" s="114"/>
      <c r="TMB13" s="114"/>
      <c r="TMC13" s="114"/>
      <c r="TMD13" s="114"/>
      <c r="TME13" s="114"/>
      <c r="TMF13" s="114"/>
      <c r="TMG13" s="114"/>
      <c r="TMH13" s="114"/>
      <c r="TMI13" s="114"/>
      <c r="TMJ13" s="114"/>
      <c r="TMK13" s="114"/>
      <c r="TML13" s="114"/>
      <c r="TMM13" s="114"/>
      <c r="TMN13" s="114"/>
      <c r="TMO13" s="114"/>
      <c r="TMP13" s="114"/>
      <c r="TMQ13" s="114"/>
      <c r="TMR13" s="114"/>
      <c r="TMS13" s="114"/>
      <c r="TMT13" s="114"/>
      <c r="TMU13" s="114"/>
      <c r="TMV13" s="114"/>
      <c r="TMW13" s="114"/>
      <c r="TMX13" s="114"/>
      <c r="TMY13" s="114"/>
      <c r="TMZ13" s="114"/>
      <c r="TNA13" s="114"/>
      <c r="TNB13" s="114"/>
      <c r="TNC13" s="114"/>
      <c r="TND13" s="114"/>
      <c r="TNE13" s="114"/>
      <c r="TNF13" s="114"/>
      <c r="TNG13" s="114"/>
      <c r="TNH13" s="114"/>
      <c r="TNI13" s="114"/>
      <c r="TNJ13" s="114"/>
      <c r="TNK13" s="114"/>
      <c r="TNL13" s="114"/>
      <c r="TNM13" s="114"/>
      <c r="TNN13" s="114"/>
      <c r="TNO13" s="114"/>
      <c r="TNP13" s="114"/>
      <c r="TNQ13" s="114"/>
      <c r="TNR13" s="114"/>
      <c r="TNS13" s="114"/>
      <c r="TNT13" s="114"/>
      <c r="TNU13" s="114"/>
      <c r="TNV13" s="114"/>
      <c r="TNW13" s="114"/>
      <c r="TNX13" s="114"/>
      <c r="TNY13" s="114"/>
      <c r="TNZ13" s="114"/>
      <c r="TOA13" s="114"/>
      <c r="TOB13" s="114"/>
      <c r="TOC13" s="114"/>
      <c r="TOD13" s="114"/>
      <c r="TOE13" s="114"/>
      <c r="TOF13" s="114"/>
      <c r="TOG13" s="114"/>
      <c r="TOH13" s="114"/>
      <c r="TOI13" s="114"/>
      <c r="TOJ13" s="114"/>
      <c r="TOK13" s="114"/>
      <c r="TOL13" s="114"/>
      <c r="TOM13" s="114"/>
      <c r="TON13" s="114"/>
      <c r="TOO13" s="114"/>
      <c r="TOP13" s="114"/>
      <c r="TOQ13" s="114"/>
      <c r="TOR13" s="114"/>
      <c r="TOS13" s="114"/>
      <c r="TOT13" s="114"/>
      <c r="TOU13" s="114"/>
      <c r="TOV13" s="114"/>
      <c r="TOW13" s="114"/>
      <c r="TOX13" s="114"/>
      <c r="TOY13" s="114"/>
      <c r="TOZ13" s="114"/>
      <c r="TPA13" s="114"/>
      <c r="TPB13" s="114"/>
      <c r="TPC13" s="114"/>
      <c r="TPD13" s="114"/>
      <c r="TPE13" s="114"/>
      <c r="TPF13" s="114"/>
      <c r="TPG13" s="114"/>
      <c r="TPH13" s="114"/>
      <c r="TPI13" s="114"/>
      <c r="TPJ13" s="114"/>
      <c r="TPK13" s="114"/>
      <c r="TPL13" s="114"/>
      <c r="TPM13" s="114"/>
      <c r="TPN13" s="114"/>
      <c r="TPO13" s="114"/>
      <c r="TPP13" s="114"/>
      <c r="TPQ13" s="114"/>
      <c r="TPR13" s="114"/>
      <c r="TPS13" s="114"/>
      <c r="TPT13" s="114"/>
      <c r="TPU13" s="114"/>
      <c r="TPV13" s="114"/>
      <c r="TPW13" s="114"/>
      <c r="TPX13" s="114"/>
      <c r="TPY13" s="114"/>
      <c r="TPZ13" s="114"/>
      <c r="TQA13" s="114"/>
      <c r="TQB13" s="114"/>
      <c r="TQC13" s="114"/>
      <c r="TQD13" s="114"/>
      <c r="TQE13" s="114"/>
      <c r="TQF13" s="114"/>
      <c r="TQG13" s="114"/>
      <c r="TQH13" s="114"/>
      <c r="TQI13" s="114"/>
      <c r="TQJ13" s="114"/>
      <c r="TQK13" s="114"/>
      <c r="TQL13" s="114"/>
      <c r="TQM13" s="114"/>
      <c r="TQN13" s="114"/>
      <c r="TQO13" s="114"/>
      <c r="TQP13" s="114"/>
      <c r="TQQ13" s="114"/>
      <c r="TQR13" s="114"/>
      <c r="TQS13" s="114"/>
      <c r="TQT13" s="114"/>
      <c r="TQU13" s="114"/>
      <c r="TQV13" s="114"/>
      <c r="TQW13" s="114"/>
      <c r="TQX13" s="114"/>
      <c r="TQY13" s="114"/>
      <c r="TQZ13" s="114"/>
      <c r="TRA13" s="114"/>
      <c r="TRB13" s="114"/>
      <c r="TRC13" s="114"/>
      <c r="TRD13" s="114"/>
      <c r="TRE13" s="114"/>
      <c r="TRF13" s="114"/>
      <c r="TRG13" s="114"/>
      <c r="TRH13" s="114"/>
      <c r="TRI13" s="114"/>
      <c r="TRJ13" s="114"/>
      <c r="TRK13" s="114"/>
      <c r="TRL13" s="114"/>
      <c r="TRM13" s="114"/>
      <c r="TRN13" s="114"/>
      <c r="TRO13" s="114"/>
      <c r="TRP13" s="114"/>
      <c r="TRQ13" s="114"/>
      <c r="TRR13" s="114"/>
      <c r="TRS13" s="114"/>
      <c r="TRT13" s="114"/>
      <c r="TRU13" s="114"/>
      <c r="TRV13" s="114"/>
      <c r="TRW13" s="114"/>
      <c r="TRX13" s="114"/>
      <c r="TRY13" s="114"/>
      <c r="TRZ13" s="114"/>
      <c r="TSA13" s="114"/>
      <c r="TSB13" s="114"/>
      <c r="TSC13" s="114"/>
      <c r="TSD13" s="114"/>
      <c r="TSE13" s="114"/>
      <c r="TSF13" s="114"/>
      <c r="TSG13" s="114"/>
      <c r="TSH13" s="114"/>
      <c r="TSI13" s="114"/>
      <c r="TSJ13" s="114"/>
      <c r="TSK13" s="114"/>
      <c r="TSL13" s="114"/>
      <c r="TSM13" s="114"/>
      <c r="TSN13" s="114"/>
      <c r="TSO13" s="114"/>
      <c r="TSP13" s="114"/>
      <c r="TSQ13" s="114"/>
      <c r="TSR13" s="114"/>
      <c r="TSS13" s="114"/>
      <c r="TST13" s="114"/>
      <c r="TSU13" s="114"/>
      <c r="TSV13" s="114"/>
      <c r="TSW13" s="114"/>
      <c r="TSX13" s="114"/>
      <c r="TSY13" s="114"/>
      <c r="TSZ13" s="114"/>
      <c r="TTA13" s="114"/>
      <c r="TTB13" s="114"/>
      <c r="TTC13" s="114"/>
      <c r="TTD13" s="114"/>
      <c r="TTE13" s="114"/>
      <c r="TTF13" s="114"/>
      <c r="TTG13" s="114"/>
      <c r="TTH13" s="114"/>
      <c r="TTI13" s="114"/>
      <c r="TTJ13" s="114"/>
      <c r="TTK13" s="114"/>
      <c r="TTL13" s="114"/>
      <c r="TTM13" s="114"/>
      <c r="TTN13" s="114"/>
      <c r="TTO13" s="114"/>
      <c r="TTP13" s="114"/>
      <c r="TTQ13" s="114"/>
      <c r="TTR13" s="114"/>
      <c r="TTS13" s="114"/>
      <c r="TTT13" s="114"/>
      <c r="TTU13" s="114"/>
      <c r="TTV13" s="114"/>
      <c r="TTW13" s="114"/>
      <c r="TTX13" s="114"/>
      <c r="TTY13" s="114"/>
      <c r="TTZ13" s="114"/>
      <c r="TUA13" s="114"/>
      <c r="TUB13" s="114"/>
      <c r="TUC13" s="114"/>
      <c r="TUD13" s="114"/>
      <c r="TUE13" s="114"/>
      <c r="TUF13" s="114"/>
      <c r="TUG13" s="114"/>
      <c r="TUH13" s="114"/>
      <c r="TUI13" s="114"/>
      <c r="TUJ13" s="114"/>
      <c r="TUK13" s="114"/>
      <c r="TUL13" s="114"/>
      <c r="TUM13" s="114"/>
      <c r="TUN13" s="114"/>
      <c r="TUO13" s="114"/>
      <c r="TUP13" s="114"/>
      <c r="TUQ13" s="114"/>
      <c r="TUR13" s="114"/>
      <c r="TUS13" s="114"/>
      <c r="TUT13" s="114"/>
      <c r="TUU13" s="114"/>
      <c r="TUV13" s="114"/>
      <c r="TUW13" s="114"/>
      <c r="TUX13" s="114"/>
      <c r="TUY13" s="114"/>
      <c r="TUZ13" s="114"/>
      <c r="TVA13" s="114"/>
      <c r="TVB13" s="114"/>
      <c r="TVC13" s="114"/>
      <c r="TVD13" s="114"/>
      <c r="TVE13" s="114"/>
      <c r="TVF13" s="114"/>
      <c r="TVG13" s="114"/>
      <c r="TVH13" s="114"/>
      <c r="TVI13" s="114"/>
      <c r="TVJ13" s="114"/>
      <c r="TVK13" s="114"/>
      <c r="TVL13" s="114"/>
      <c r="TVM13" s="114"/>
      <c r="TVN13" s="114"/>
      <c r="TVO13" s="114"/>
      <c r="TVP13" s="114"/>
      <c r="TVQ13" s="114"/>
      <c r="TVR13" s="114"/>
      <c r="TVS13" s="114"/>
      <c r="TVT13" s="114"/>
      <c r="TVU13" s="114"/>
      <c r="TVV13" s="114"/>
      <c r="TVW13" s="114"/>
      <c r="TVX13" s="114"/>
      <c r="TVY13" s="114"/>
      <c r="TVZ13" s="114"/>
      <c r="TWA13" s="114"/>
      <c r="TWB13" s="114"/>
      <c r="TWC13" s="114"/>
      <c r="TWD13" s="114"/>
      <c r="TWE13" s="114"/>
      <c r="TWF13" s="114"/>
      <c r="TWG13" s="114"/>
      <c r="TWH13" s="114"/>
      <c r="TWI13" s="114"/>
      <c r="TWJ13" s="114"/>
      <c r="TWK13" s="114"/>
      <c r="TWL13" s="114"/>
      <c r="TWM13" s="114"/>
      <c r="TWN13" s="114"/>
      <c r="TWO13" s="114"/>
      <c r="TWP13" s="114"/>
      <c r="TWQ13" s="114"/>
      <c r="TWR13" s="114"/>
      <c r="TWS13" s="114"/>
      <c r="TWT13" s="114"/>
      <c r="TWU13" s="114"/>
      <c r="TWV13" s="114"/>
      <c r="TWW13" s="114"/>
      <c r="TWX13" s="114"/>
      <c r="TWY13" s="114"/>
      <c r="TWZ13" s="114"/>
      <c r="TXA13" s="114"/>
      <c r="TXB13" s="114"/>
      <c r="TXC13" s="114"/>
      <c r="TXD13" s="114"/>
      <c r="TXE13" s="114"/>
      <c r="TXF13" s="114"/>
      <c r="TXG13" s="114"/>
      <c r="TXH13" s="114"/>
      <c r="TXI13" s="114"/>
      <c r="TXJ13" s="114"/>
      <c r="TXK13" s="114"/>
      <c r="TXL13" s="114"/>
      <c r="TXM13" s="114"/>
      <c r="TXN13" s="114"/>
      <c r="TXO13" s="114"/>
      <c r="TXP13" s="114"/>
      <c r="TXQ13" s="114"/>
      <c r="TXR13" s="114"/>
      <c r="TXS13" s="114"/>
      <c r="TXT13" s="114"/>
      <c r="TXU13" s="114"/>
      <c r="TXV13" s="114"/>
      <c r="TXW13" s="114"/>
      <c r="TXX13" s="114"/>
      <c r="TXY13" s="114"/>
      <c r="TXZ13" s="114"/>
      <c r="TYA13" s="114"/>
      <c r="TYB13" s="114"/>
      <c r="TYC13" s="114"/>
      <c r="TYD13" s="114"/>
      <c r="TYE13" s="114"/>
      <c r="TYF13" s="114"/>
      <c r="TYG13" s="114"/>
      <c r="TYH13" s="114"/>
      <c r="TYI13" s="114"/>
      <c r="TYJ13" s="114"/>
      <c r="TYK13" s="114"/>
      <c r="TYL13" s="114"/>
      <c r="TYM13" s="114"/>
      <c r="TYN13" s="114"/>
      <c r="TYO13" s="114"/>
      <c r="TYP13" s="114"/>
      <c r="TYQ13" s="114"/>
      <c r="TYR13" s="114"/>
      <c r="TYS13" s="114"/>
      <c r="TYT13" s="114"/>
      <c r="TYU13" s="114"/>
      <c r="TYV13" s="114"/>
      <c r="TYW13" s="114"/>
      <c r="TYX13" s="114"/>
      <c r="TYY13" s="114"/>
      <c r="TYZ13" s="114"/>
      <c r="TZA13" s="114"/>
      <c r="TZB13" s="114"/>
      <c r="TZC13" s="114"/>
      <c r="TZD13" s="114"/>
      <c r="TZE13" s="114"/>
      <c r="TZF13" s="114"/>
      <c r="TZG13" s="114"/>
      <c r="TZH13" s="114"/>
      <c r="TZI13" s="114"/>
      <c r="TZJ13" s="114"/>
      <c r="TZK13" s="114"/>
      <c r="TZL13" s="114"/>
      <c r="TZM13" s="114"/>
      <c r="TZN13" s="114"/>
      <c r="TZO13" s="114"/>
      <c r="TZP13" s="114"/>
      <c r="TZQ13" s="114"/>
      <c r="TZR13" s="114"/>
      <c r="TZS13" s="114"/>
      <c r="TZT13" s="114"/>
      <c r="TZU13" s="114"/>
      <c r="TZV13" s="114"/>
      <c r="TZW13" s="114"/>
      <c r="TZX13" s="114"/>
      <c r="TZY13" s="114"/>
      <c r="TZZ13" s="114"/>
      <c r="UAA13" s="114"/>
      <c r="UAB13" s="114"/>
      <c r="UAC13" s="114"/>
      <c r="UAD13" s="114"/>
      <c r="UAE13" s="114"/>
      <c r="UAF13" s="114"/>
      <c r="UAG13" s="114"/>
      <c r="UAH13" s="114"/>
      <c r="UAI13" s="114"/>
      <c r="UAJ13" s="114"/>
      <c r="UAK13" s="114"/>
      <c r="UAL13" s="114"/>
      <c r="UAM13" s="114"/>
      <c r="UAN13" s="114"/>
      <c r="UAO13" s="114"/>
      <c r="UAP13" s="114"/>
      <c r="UAQ13" s="114"/>
      <c r="UAR13" s="114"/>
      <c r="UAS13" s="114"/>
      <c r="UAT13" s="114"/>
      <c r="UAU13" s="114"/>
      <c r="UAV13" s="114"/>
      <c r="UAW13" s="114"/>
      <c r="UAX13" s="114"/>
      <c r="UAY13" s="114"/>
      <c r="UAZ13" s="114"/>
      <c r="UBA13" s="114"/>
      <c r="UBB13" s="114"/>
      <c r="UBC13" s="114"/>
      <c r="UBD13" s="114"/>
      <c r="UBE13" s="114"/>
      <c r="UBF13" s="114"/>
      <c r="UBG13" s="114"/>
      <c r="UBH13" s="114"/>
      <c r="UBI13" s="114"/>
      <c r="UBJ13" s="114"/>
      <c r="UBK13" s="114"/>
      <c r="UBL13" s="114"/>
      <c r="UBM13" s="114"/>
      <c r="UBN13" s="114"/>
      <c r="UBO13" s="114"/>
      <c r="UBP13" s="114"/>
      <c r="UBQ13" s="114"/>
      <c r="UBR13" s="114"/>
      <c r="UBS13" s="114"/>
      <c r="UBT13" s="114"/>
      <c r="UBU13" s="114"/>
      <c r="UBV13" s="114"/>
      <c r="UBW13" s="114"/>
      <c r="UBX13" s="114"/>
      <c r="UBY13" s="114"/>
      <c r="UBZ13" s="114"/>
      <c r="UCA13" s="114"/>
      <c r="UCB13" s="114"/>
      <c r="UCC13" s="114"/>
      <c r="UCD13" s="114"/>
      <c r="UCE13" s="114"/>
      <c r="UCF13" s="114"/>
      <c r="UCG13" s="114"/>
      <c r="UCH13" s="114"/>
      <c r="UCI13" s="114"/>
      <c r="UCJ13" s="114"/>
      <c r="UCK13" s="114"/>
      <c r="UCL13" s="114"/>
      <c r="UCM13" s="114"/>
      <c r="UCN13" s="114"/>
      <c r="UCO13" s="114"/>
      <c r="UCP13" s="114"/>
      <c r="UCQ13" s="114"/>
      <c r="UCR13" s="114"/>
      <c r="UCS13" s="114"/>
      <c r="UCT13" s="114"/>
      <c r="UCU13" s="114"/>
      <c r="UCV13" s="114"/>
      <c r="UCW13" s="114"/>
      <c r="UCX13" s="114"/>
      <c r="UCY13" s="114"/>
      <c r="UCZ13" s="114"/>
      <c r="UDA13" s="114"/>
      <c r="UDB13" s="114"/>
      <c r="UDC13" s="114"/>
      <c r="UDD13" s="114"/>
      <c r="UDE13" s="114"/>
      <c r="UDF13" s="114"/>
      <c r="UDG13" s="114"/>
      <c r="UDH13" s="114"/>
      <c r="UDI13" s="114"/>
      <c r="UDJ13" s="114"/>
      <c r="UDK13" s="114"/>
      <c r="UDL13" s="114"/>
      <c r="UDM13" s="114"/>
      <c r="UDN13" s="114"/>
      <c r="UDO13" s="114"/>
      <c r="UDP13" s="114"/>
      <c r="UDQ13" s="114"/>
      <c r="UDR13" s="114"/>
      <c r="UDS13" s="114"/>
      <c r="UDT13" s="114"/>
      <c r="UDU13" s="114"/>
      <c r="UDV13" s="114"/>
      <c r="UDW13" s="114"/>
      <c r="UDX13" s="114"/>
      <c r="UDY13" s="114"/>
      <c r="UDZ13" s="114"/>
      <c r="UEA13" s="114"/>
      <c r="UEB13" s="114"/>
      <c r="UEC13" s="114"/>
      <c r="UED13" s="114"/>
      <c r="UEE13" s="114"/>
      <c r="UEF13" s="114"/>
      <c r="UEG13" s="114"/>
      <c r="UEH13" s="114"/>
      <c r="UEI13" s="114"/>
      <c r="UEJ13" s="114"/>
      <c r="UEK13" s="114"/>
      <c r="UEL13" s="114"/>
      <c r="UEM13" s="114"/>
      <c r="UEN13" s="114"/>
      <c r="UEO13" s="114"/>
      <c r="UEP13" s="114"/>
      <c r="UEQ13" s="114"/>
      <c r="UER13" s="114"/>
      <c r="UES13" s="114"/>
      <c r="UET13" s="114"/>
      <c r="UEU13" s="114"/>
      <c r="UEV13" s="114"/>
      <c r="UEW13" s="114"/>
      <c r="UEX13" s="114"/>
      <c r="UEY13" s="114"/>
      <c r="UEZ13" s="114"/>
      <c r="UFA13" s="114"/>
      <c r="UFB13" s="114"/>
      <c r="UFC13" s="114"/>
      <c r="UFD13" s="114"/>
      <c r="UFE13" s="114"/>
      <c r="UFF13" s="114"/>
      <c r="UFG13" s="114"/>
      <c r="UFH13" s="114"/>
      <c r="UFI13" s="114"/>
      <c r="UFJ13" s="114"/>
      <c r="UFK13" s="114"/>
      <c r="UFL13" s="114"/>
      <c r="UFM13" s="114"/>
      <c r="UFN13" s="114"/>
      <c r="UFO13" s="114"/>
      <c r="UFP13" s="114"/>
      <c r="UFQ13" s="114"/>
      <c r="UFR13" s="114"/>
      <c r="UFS13" s="114"/>
      <c r="UFT13" s="114"/>
      <c r="UFU13" s="114"/>
      <c r="UFV13" s="114"/>
      <c r="UFW13" s="114"/>
      <c r="UFX13" s="114"/>
      <c r="UFY13" s="114"/>
      <c r="UFZ13" s="114"/>
      <c r="UGA13" s="114"/>
      <c r="UGB13" s="114"/>
      <c r="UGC13" s="114"/>
      <c r="UGD13" s="114"/>
      <c r="UGE13" s="114"/>
      <c r="UGF13" s="114"/>
      <c r="UGG13" s="114"/>
      <c r="UGH13" s="114"/>
      <c r="UGI13" s="114"/>
      <c r="UGJ13" s="114"/>
      <c r="UGK13" s="114"/>
      <c r="UGL13" s="114"/>
      <c r="UGM13" s="114"/>
      <c r="UGN13" s="114"/>
      <c r="UGO13" s="114"/>
      <c r="UGP13" s="114"/>
      <c r="UGQ13" s="114"/>
      <c r="UGR13" s="114"/>
      <c r="UGS13" s="114"/>
      <c r="UGT13" s="114"/>
      <c r="UGU13" s="114"/>
      <c r="UGV13" s="114"/>
      <c r="UGW13" s="114"/>
      <c r="UGX13" s="114"/>
      <c r="UGY13" s="114"/>
      <c r="UGZ13" s="114"/>
      <c r="UHA13" s="114"/>
      <c r="UHB13" s="114"/>
      <c r="UHC13" s="114"/>
      <c r="UHD13" s="114"/>
      <c r="UHE13" s="114"/>
      <c r="UHF13" s="114"/>
      <c r="UHG13" s="114"/>
      <c r="UHH13" s="114"/>
      <c r="UHI13" s="114"/>
      <c r="UHJ13" s="114"/>
      <c r="UHK13" s="114"/>
      <c r="UHL13" s="114"/>
      <c r="UHM13" s="114"/>
      <c r="UHN13" s="114"/>
      <c r="UHO13" s="114"/>
      <c r="UHP13" s="114"/>
      <c r="UHQ13" s="114"/>
      <c r="UHR13" s="114"/>
      <c r="UHS13" s="114"/>
      <c r="UHT13" s="114"/>
      <c r="UHU13" s="114"/>
      <c r="UHV13" s="114"/>
      <c r="UHW13" s="114"/>
      <c r="UHX13" s="114"/>
      <c r="UHY13" s="114"/>
      <c r="UHZ13" s="114"/>
      <c r="UIA13" s="114"/>
      <c r="UIB13" s="114"/>
      <c r="UIC13" s="114"/>
      <c r="UID13" s="114"/>
      <c r="UIE13" s="114"/>
      <c r="UIF13" s="114"/>
      <c r="UIG13" s="114"/>
      <c r="UIH13" s="114"/>
      <c r="UII13" s="114"/>
      <c r="UIJ13" s="114"/>
      <c r="UIK13" s="114"/>
      <c r="UIL13" s="114"/>
      <c r="UIM13" s="114"/>
      <c r="UIN13" s="114"/>
      <c r="UIO13" s="114"/>
      <c r="UIP13" s="114"/>
      <c r="UIQ13" s="114"/>
      <c r="UIR13" s="114"/>
      <c r="UIS13" s="114"/>
      <c r="UIT13" s="114"/>
      <c r="UIU13" s="114"/>
      <c r="UIV13" s="114"/>
      <c r="UIW13" s="114"/>
      <c r="UIX13" s="114"/>
      <c r="UIY13" s="114"/>
      <c r="UIZ13" s="114"/>
      <c r="UJA13" s="114"/>
      <c r="UJB13" s="114"/>
      <c r="UJC13" s="114"/>
      <c r="UJD13" s="114"/>
      <c r="UJE13" s="114"/>
      <c r="UJF13" s="114"/>
      <c r="UJG13" s="114"/>
      <c r="UJH13" s="114"/>
      <c r="UJI13" s="114"/>
      <c r="UJJ13" s="114"/>
      <c r="UJK13" s="114"/>
      <c r="UJL13" s="114"/>
      <c r="UJM13" s="114"/>
      <c r="UJN13" s="114"/>
      <c r="UJO13" s="114"/>
      <c r="UJP13" s="114"/>
      <c r="UJQ13" s="114"/>
      <c r="UJR13" s="114"/>
      <c r="UJS13" s="114"/>
      <c r="UJT13" s="114"/>
      <c r="UJU13" s="114"/>
      <c r="UJV13" s="114"/>
      <c r="UJW13" s="114"/>
      <c r="UJX13" s="114"/>
      <c r="UJY13" s="114"/>
      <c r="UJZ13" s="114"/>
      <c r="UKA13" s="114"/>
      <c r="UKB13" s="114"/>
      <c r="UKC13" s="114"/>
      <c r="UKD13" s="114"/>
      <c r="UKE13" s="114"/>
      <c r="UKF13" s="114"/>
      <c r="UKG13" s="114"/>
      <c r="UKH13" s="114"/>
      <c r="UKI13" s="114"/>
      <c r="UKJ13" s="114"/>
      <c r="UKK13" s="114"/>
      <c r="UKL13" s="114"/>
      <c r="UKM13" s="114"/>
      <c r="UKN13" s="114"/>
      <c r="UKO13" s="114"/>
      <c r="UKP13" s="114"/>
      <c r="UKQ13" s="114"/>
      <c r="UKR13" s="114"/>
      <c r="UKS13" s="114"/>
      <c r="UKT13" s="114"/>
      <c r="UKU13" s="114"/>
      <c r="UKV13" s="114"/>
      <c r="UKW13" s="114"/>
      <c r="UKX13" s="114"/>
      <c r="UKY13" s="114"/>
      <c r="UKZ13" s="114"/>
      <c r="ULA13" s="114"/>
      <c r="ULB13" s="114"/>
      <c r="ULC13" s="114"/>
      <c r="ULD13" s="114"/>
      <c r="ULE13" s="114"/>
      <c r="ULF13" s="114"/>
      <c r="ULG13" s="114"/>
      <c r="ULH13" s="114"/>
      <c r="ULI13" s="114"/>
      <c r="ULJ13" s="114"/>
      <c r="ULK13" s="114"/>
      <c r="ULL13" s="114"/>
      <c r="ULM13" s="114"/>
      <c r="ULN13" s="114"/>
      <c r="ULO13" s="114"/>
      <c r="ULP13" s="114"/>
      <c r="ULQ13" s="114"/>
      <c r="ULR13" s="114"/>
      <c r="ULS13" s="114"/>
      <c r="ULT13" s="114"/>
      <c r="ULU13" s="114"/>
      <c r="ULV13" s="114"/>
      <c r="ULW13" s="114"/>
      <c r="ULX13" s="114"/>
      <c r="ULY13" s="114"/>
      <c r="ULZ13" s="114"/>
      <c r="UMA13" s="114"/>
      <c r="UMB13" s="114"/>
      <c r="UMC13" s="114"/>
      <c r="UMD13" s="114"/>
      <c r="UME13" s="114"/>
      <c r="UMF13" s="114"/>
      <c r="UMG13" s="114"/>
      <c r="UMH13" s="114"/>
      <c r="UMI13" s="114"/>
      <c r="UMJ13" s="114"/>
      <c r="UMK13" s="114"/>
      <c r="UML13" s="114"/>
      <c r="UMM13" s="114"/>
      <c r="UMN13" s="114"/>
      <c r="UMO13" s="114"/>
      <c r="UMP13" s="114"/>
      <c r="UMQ13" s="114"/>
      <c r="UMR13" s="114"/>
      <c r="UMS13" s="114"/>
      <c r="UMT13" s="114"/>
      <c r="UMU13" s="114"/>
      <c r="UMV13" s="114"/>
      <c r="UMW13" s="114"/>
      <c r="UMX13" s="114"/>
      <c r="UMY13" s="114"/>
      <c r="UMZ13" s="114"/>
      <c r="UNA13" s="114"/>
      <c r="UNB13" s="114"/>
      <c r="UNC13" s="114"/>
      <c r="UND13" s="114"/>
      <c r="UNE13" s="114"/>
      <c r="UNF13" s="114"/>
      <c r="UNG13" s="114"/>
      <c r="UNH13" s="114"/>
      <c r="UNI13" s="114"/>
      <c r="UNJ13" s="114"/>
      <c r="UNK13" s="114"/>
      <c r="UNL13" s="114"/>
      <c r="UNM13" s="114"/>
      <c r="UNN13" s="114"/>
      <c r="UNO13" s="114"/>
      <c r="UNP13" s="114"/>
      <c r="UNQ13" s="114"/>
      <c r="UNR13" s="114"/>
      <c r="UNS13" s="114"/>
      <c r="UNT13" s="114"/>
      <c r="UNU13" s="114"/>
      <c r="UNV13" s="114"/>
      <c r="UNW13" s="114"/>
      <c r="UNX13" s="114"/>
      <c r="UNY13" s="114"/>
      <c r="UNZ13" s="114"/>
      <c r="UOA13" s="114"/>
      <c r="UOB13" s="114"/>
      <c r="UOC13" s="114"/>
      <c r="UOD13" s="114"/>
      <c r="UOE13" s="114"/>
      <c r="UOF13" s="114"/>
      <c r="UOG13" s="114"/>
      <c r="UOH13" s="114"/>
      <c r="UOI13" s="114"/>
      <c r="UOJ13" s="114"/>
      <c r="UOK13" s="114"/>
      <c r="UOL13" s="114"/>
      <c r="UOM13" s="114"/>
      <c r="UON13" s="114"/>
      <c r="UOO13" s="114"/>
      <c r="UOP13" s="114"/>
      <c r="UOQ13" s="114"/>
      <c r="UOR13" s="114"/>
      <c r="UOS13" s="114"/>
      <c r="UOT13" s="114"/>
      <c r="UOU13" s="114"/>
      <c r="UOV13" s="114"/>
      <c r="UOW13" s="114"/>
      <c r="UOX13" s="114"/>
      <c r="UOY13" s="114"/>
      <c r="UOZ13" s="114"/>
      <c r="UPA13" s="114"/>
      <c r="UPB13" s="114"/>
      <c r="UPC13" s="114"/>
      <c r="UPD13" s="114"/>
      <c r="UPE13" s="114"/>
      <c r="UPF13" s="114"/>
      <c r="UPG13" s="114"/>
      <c r="UPH13" s="114"/>
      <c r="UPI13" s="114"/>
      <c r="UPJ13" s="114"/>
      <c r="UPK13" s="114"/>
      <c r="UPL13" s="114"/>
      <c r="UPM13" s="114"/>
      <c r="UPN13" s="114"/>
      <c r="UPO13" s="114"/>
      <c r="UPP13" s="114"/>
      <c r="UPQ13" s="114"/>
      <c r="UPR13" s="114"/>
      <c r="UPS13" s="114"/>
      <c r="UPT13" s="114"/>
      <c r="UPU13" s="114"/>
      <c r="UPV13" s="114"/>
      <c r="UPW13" s="114"/>
      <c r="UPX13" s="114"/>
      <c r="UPY13" s="114"/>
      <c r="UPZ13" s="114"/>
      <c r="UQA13" s="114"/>
      <c r="UQB13" s="114"/>
      <c r="UQC13" s="114"/>
      <c r="UQD13" s="114"/>
      <c r="UQE13" s="114"/>
      <c r="UQF13" s="114"/>
      <c r="UQG13" s="114"/>
      <c r="UQH13" s="114"/>
      <c r="UQI13" s="114"/>
      <c r="UQJ13" s="114"/>
      <c r="UQK13" s="114"/>
      <c r="UQL13" s="114"/>
      <c r="UQM13" s="114"/>
      <c r="UQN13" s="114"/>
      <c r="UQO13" s="114"/>
      <c r="UQP13" s="114"/>
      <c r="UQQ13" s="114"/>
      <c r="UQR13" s="114"/>
      <c r="UQS13" s="114"/>
      <c r="UQT13" s="114"/>
      <c r="UQU13" s="114"/>
      <c r="UQV13" s="114"/>
      <c r="UQW13" s="114"/>
      <c r="UQX13" s="114"/>
      <c r="UQY13" s="114"/>
      <c r="UQZ13" s="114"/>
      <c r="URA13" s="114"/>
      <c r="URB13" s="114"/>
      <c r="URC13" s="114"/>
      <c r="URD13" s="114"/>
      <c r="URE13" s="114"/>
      <c r="URF13" s="114"/>
      <c r="URG13" s="114"/>
      <c r="URH13" s="114"/>
      <c r="URI13" s="114"/>
      <c r="URJ13" s="114"/>
      <c r="URK13" s="114"/>
      <c r="URL13" s="114"/>
      <c r="URM13" s="114"/>
      <c r="URN13" s="114"/>
      <c r="URO13" s="114"/>
      <c r="URP13" s="114"/>
      <c r="URQ13" s="114"/>
      <c r="URR13" s="114"/>
      <c r="URS13" s="114"/>
      <c r="URT13" s="114"/>
      <c r="URU13" s="114"/>
      <c r="URV13" s="114"/>
      <c r="URW13" s="114"/>
      <c r="URX13" s="114"/>
      <c r="URY13" s="114"/>
      <c r="URZ13" s="114"/>
      <c r="USA13" s="114"/>
      <c r="USB13" s="114"/>
      <c r="USC13" s="114"/>
      <c r="USD13" s="114"/>
      <c r="USE13" s="114"/>
      <c r="USF13" s="114"/>
      <c r="USG13" s="114"/>
      <c r="USH13" s="114"/>
      <c r="USI13" s="114"/>
      <c r="USJ13" s="114"/>
      <c r="USK13" s="114"/>
      <c r="USL13" s="114"/>
      <c r="USM13" s="114"/>
      <c r="USN13" s="114"/>
      <c r="USO13" s="114"/>
      <c r="USP13" s="114"/>
      <c r="USQ13" s="114"/>
      <c r="USR13" s="114"/>
      <c r="USS13" s="114"/>
      <c r="UST13" s="114"/>
      <c r="USU13" s="114"/>
      <c r="USV13" s="114"/>
      <c r="USW13" s="114"/>
      <c r="USX13" s="114"/>
      <c r="USY13" s="114"/>
      <c r="USZ13" s="114"/>
      <c r="UTA13" s="114"/>
      <c r="UTB13" s="114"/>
      <c r="UTC13" s="114"/>
      <c r="UTD13" s="114"/>
      <c r="UTE13" s="114"/>
      <c r="UTF13" s="114"/>
      <c r="UTG13" s="114"/>
      <c r="UTH13" s="114"/>
      <c r="UTI13" s="114"/>
      <c r="UTJ13" s="114"/>
      <c r="UTK13" s="114"/>
      <c r="UTL13" s="114"/>
      <c r="UTM13" s="114"/>
      <c r="UTN13" s="114"/>
      <c r="UTO13" s="114"/>
      <c r="UTP13" s="114"/>
      <c r="UTQ13" s="114"/>
      <c r="UTR13" s="114"/>
      <c r="UTS13" s="114"/>
      <c r="UTT13" s="114"/>
      <c r="UTU13" s="114"/>
      <c r="UTV13" s="114"/>
      <c r="UTW13" s="114"/>
      <c r="UTX13" s="114"/>
      <c r="UTY13" s="114"/>
      <c r="UTZ13" s="114"/>
      <c r="UUA13" s="114"/>
      <c r="UUB13" s="114"/>
      <c r="UUC13" s="114"/>
      <c r="UUD13" s="114"/>
      <c r="UUE13" s="114"/>
      <c r="UUF13" s="114"/>
      <c r="UUG13" s="114"/>
      <c r="UUH13" s="114"/>
      <c r="UUI13" s="114"/>
      <c r="UUJ13" s="114"/>
      <c r="UUK13" s="114"/>
      <c r="UUL13" s="114"/>
      <c r="UUM13" s="114"/>
      <c r="UUN13" s="114"/>
      <c r="UUO13" s="114"/>
      <c r="UUP13" s="114"/>
      <c r="UUQ13" s="114"/>
      <c r="UUR13" s="114"/>
      <c r="UUS13" s="114"/>
      <c r="UUT13" s="114"/>
      <c r="UUU13" s="114"/>
      <c r="UUV13" s="114"/>
      <c r="UUW13" s="114"/>
      <c r="UUX13" s="114"/>
      <c r="UUY13" s="114"/>
      <c r="UUZ13" s="114"/>
      <c r="UVA13" s="114"/>
      <c r="UVB13" s="114"/>
      <c r="UVC13" s="114"/>
      <c r="UVD13" s="114"/>
      <c r="UVE13" s="114"/>
      <c r="UVF13" s="114"/>
      <c r="UVG13" s="114"/>
      <c r="UVH13" s="114"/>
      <c r="UVI13" s="114"/>
      <c r="UVJ13" s="114"/>
      <c r="UVK13" s="114"/>
      <c r="UVL13" s="114"/>
      <c r="UVM13" s="114"/>
      <c r="UVN13" s="114"/>
      <c r="UVO13" s="114"/>
      <c r="UVP13" s="114"/>
      <c r="UVQ13" s="114"/>
      <c r="UVR13" s="114"/>
      <c r="UVS13" s="114"/>
      <c r="UVT13" s="114"/>
      <c r="UVU13" s="114"/>
      <c r="UVV13" s="114"/>
      <c r="UVW13" s="114"/>
      <c r="UVX13" s="114"/>
      <c r="UVY13" s="114"/>
      <c r="UVZ13" s="114"/>
      <c r="UWA13" s="114"/>
      <c r="UWB13" s="114"/>
      <c r="UWC13" s="114"/>
      <c r="UWD13" s="114"/>
      <c r="UWE13" s="114"/>
      <c r="UWF13" s="114"/>
      <c r="UWG13" s="114"/>
      <c r="UWH13" s="114"/>
      <c r="UWI13" s="114"/>
      <c r="UWJ13" s="114"/>
      <c r="UWK13" s="114"/>
      <c r="UWL13" s="114"/>
      <c r="UWM13" s="114"/>
      <c r="UWN13" s="114"/>
      <c r="UWO13" s="114"/>
      <c r="UWP13" s="114"/>
      <c r="UWQ13" s="114"/>
      <c r="UWR13" s="114"/>
      <c r="UWS13" s="114"/>
      <c r="UWT13" s="114"/>
      <c r="UWU13" s="114"/>
      <c r="UWV13" s="114"/>
      <c r="UWW13" s="114"/>
      <c r="UWX13" s="114"/>
      <c r="UWY13" s="114"/>
      <c r="UWZ13" s="114"/>
      <c r="UXA13" s="114"/>
      <c r="UXB13" s="114"/>
      <c r="UXC13" s="114"/>
      <c r="UXD13" s="114"/>
      <c r="UXE13" s="114"/>
      <c r="UXF13" s="114"/>
      <c r="UXG13" s="114"/>
      <c r="UXH13" s="114"/>
      <c r="UXI13" s="114"/>
      <c r="UXJ13" s="114"/>
      <c r="UXK13" s="114"/>
      <c r="UXL13" s="114"/>
      <c r="UXM13" s="114"/>
      <c r="UXN13" s="114"/>
      <c r="UXO13" s="114"/>
      <c r="UXP13" s="114"/>
      <c r="UXQ13" s="114"/>
      <c r="UXR13" s="114"/>
      <c r="UXS13" s="114"/>
      <c r="UXT13" s="114"/>
      <c r="UXU13" s="114"/>
      <c r="UXV13" s="114"/>
      <c r="UXW13" s="114"/>
      <c r="UXX13" s="114"/>
      <c r="UXY13" s="114"/>
      <c r="UXZ13" s="114"/>
      <c r="UYA13" s="114"/>
      <c r="UYB13" s="114"/>
      <c r="UYC13" s="114"/>
      <c r="UYD13" s="114"/>
      <c r="UYE13" s="114"/>
      <c r="UYF13" s="114"/>
      <c r="UYG13" s="114"/>
      <c r="UYH13" s="114"/>
      <c r="UYI13" s="114"/>
      <c r="UYJ13" s="114"/>
      <c r="UYK13" s="114"/>
      <c r="UYL13" s="114"/>
      <c r="UYM13" s="114"/>
      <c r="UYN13" s="114"/>
      <c r="UYO13" s="114"/>
      <c r="UYP13" s="114"/>
      <c r="UYQ13" s="114"/>
      <c r="UYR13" s="114"/>
      <c r="UYS13" s="114"/>
      <c r="UYT13" s="114"/>
      <c r="UYU13" s="114"/>
      <c r="UYV13" s="114"/>
      <c r="UYW13" s="114"/>
      <c r="UYX13" s="114"/>
      <c r="UYY13" s="114"/>
      <c r="UYZ13" s="114"/>
      <c r="UZA13" s="114"/>
      <c r="UZB13" s="114"/>
      <c r="UZC13" s="114"/>
      <c r="UZD13" s="114"/>
      <c r="UZE13" s="114"/>
      <c r="UZF13" s="114"/>
      <c r="UZG13" s="114"/>
      <c r="UZH13" s="114"/>
      <c r="UZI13" s="114"/>
      <c r="UZJ13" s="114"/>
      <c r="UZK13" s="114"/>
      <c r="UZL13" s="114"/>
      <c r="UZM13" s="114"/>
      <c r="UZN13" s="114"/>
      <c r="UZO13" s="114"/>
      <c r="UZP13" s="114"/>
      <c r="UZQ13" s="114"/>
      <c r="UZR13" s="114"/>
      <c r="UZS13" s="114"/>
      <c r="UZT13" s="114"/>
      <c r="UZU13" s="114"/>
      <c r="UZV13" s="114"/>
      <c r="UZW13" s="114"/>
      <c r="UZX13" s="114"/>
      <c r="UZY13" s="114"/>
      <c r="UZZ13" s="114"/>
      <c r="VAA13" s="114"/>
      <c r="VAB13" s="114"/>
      <c r="VAC13" s="114"/>
      <c r="VAD13" s="114"/>
      <c r="VAE13" s="114"/>
      <c r="VAF13" s="114"/>
      <c r="VAG13" s="114"/>
      <c r="VAH13" s="114"/>
      <c r="VAI13" s="114"/>
      <c r="VAJ13" s="114"/>
      <c r="VAK13" s="114"/>
      <c r="VAL13" s="114"/>
      <c r="VAM13" s="114"/>
      <c r="VAN13" s="114"/>
      <c r="VAO13" s="114"/>
      <c r="VAP13" s="114"/>
      <c r="VAQ13" s="114"/>
      <c r="VAR13" s="114"/>
      <c r="VAS13" s="114"/>
      <c r="VAT13" s="114"/>
      <c r="VAU13" s="114"/>
      <c r="VAV13" s="114"/>
      <c r="VAW13" s="114"/>
      <c r="VAX13" s="114"/>
      <c r="VAY13" s="114"/>
      <c r="VAZ13" s="114"/>
      <c r="VBA13" s="114"/>
      <c r="VBB13" s="114"/>
      <c r="VBC13" s="114"/>
      <c r="VBD13" s="114"/>
      <c r="VBE13" s="114"/>
      <c r="VBF13" s="114"/>
      <c r="VBG13" s="114"/>
      <c r="VBH13" s="114"/>
      <c r="VBI13" s="114"/>
      <c r="VBJ13" s="114"/>
      <c r="VBK13" s="114"/>
      <c r="VBL13" s="114"/>
      <c r="VBM13" s="114"/>
      <c r="VBN13" s="114"/>
      <c r="VBO13" s="114"/>
      <c r="VBP13" s="114"/>
      <c r="VBQ13" s="114"/>
      <c r="VBR13" s="114"/>
      <c r="VBS13" s="114"/>
      <c r="VBT13" s="114"/>
      <c r="VBU13" s="114"/>
      <c r="VBV13" s="114"/>
      <c r="VBW13" s="114"/>
      <c r="VBX13" s="114"/>
      <c r="VBY13" s="114"/>
      <c r="VBZ13" s="114"/>
      <c r="VCA13" s="114"/>
      <c r="VCB13" s="114"/>
      <c r="VCC13" s="114"/>
      <c r="VCD13" s="114"/>
      <c r="VCE13" s="114"/>
      <c r="VCF13" s="114"/>
      <c r="VCG13" s="114"/>
      <c r="VCH13" s="114"/>
      <c r="VCI13" s="114"/>
      <c r="VCJ13" s="114"/>
      <c r="VCK13" s="114"/>
      <c r="VCL13" s="114"/>
      <c r="VCM13" s="114"/>
      <c r="VCN13" s="114"/>
      <c r="VCO13" s="114"/>
      <c r="VCP13" s="114"/>
      <c r="VCQ13" s="114"/>
      <c r="VCR13" s="114"/>
      <c r="VCS13" s="114"/>
      <c r="VCT13" s="114"/>
      <c r="VCU13" s="114"/>
      <c r="VCV13" s="114"/>
      <c r="VCW13" s="114"/>
      <c r="VCX13" s="114"/>
      <c r="VCY13" s="114"/>
      <c r="VCZ13" s="114"/>
      <c r="VDA13" s="114"/>
      <c r="VDB13" s="114"/>
      <c r="VDC13" s="114"/>
      <c r="VDD13" s="114"/>
      <c r="VDE13" s="114"/>
      <c r="VDF13" s="114"/>
      <c r="VDG13" s="114"/>
      <c r="VDH13" s="114"/>
      <c r="VDI13" s="114"/>
      <c r="VDJ13" s="114"/>
      <c r="VDK13" s="114"/>
      <c r="VDL13" s="114"/>
      <c r="VDM13" s="114"/>
      <c r="VDN13" s="114"/>
      <c r="VDO13" s="114"/>
      <c r="VDP13" s="114"/>
      <c r="VDQ13" s="114"/>
      <c r="VDR13" s="114"/>
      <c r="VDS13" s="114"/>
      <c r="VDT13" s="114"/>
      <c r="VDU13" s="114"/>
      <c r="VDV13" s="114"/>
      <c r="VDW13" s="114"/>
      <c r="VDX13" s="114"/>
      <c r="VDY13" s="114"/>
      <c r="VDZ13" s="114"/>
      <c r="VEA13" s="114"/>
      <c r="VEB13" s="114"/>
      <c r="VEC13" s="114"/>
      <c r="VED13" s="114"/>
      <c r="VEE13" s="114"/>
      <c r="VEF13" s="114"/>
      <c r="VEG13" s="114"/>
      <c r="VEH13" s="114"/>
      <c r="VEI13" s="114"/>
      <c r="VEJ13" s="114"/>
      <c r="VEK13" s="114"/>
      <c r="VEL13" s="114"/>
      <c r="VEM13" s="114"/>
      <c r="VEN13" s="114"/>
      <c r="VEO13" s="114"/>
      <c r="VEP13" s="114"/>
      <c r="VEQ13" s="114"/>
      <c r="VER13" s="114"/>
      <c r="VES13" s="114"/>
      <c r="VET13" s="114"/>
      <c r="VEU13" s="114"/>
      <c r="VEV13" s="114"/>
      <c r="VEW13" s="114"/>
      <c r="VEX13" s="114"/>
      <c r="VEY13" s="114"/>
      <c r="VEZ13" s="114"/>
      <c r="VFA13" s="114"/>
      <c r="VFB13" s="114"/>
      <c r="VFC13" s="114"/>
      <c r="VFD13" s="114"/>
      <c r="VFE13" s="114"/>
      <c r="VFF13" s="114"/>
      <c r="VFG13" s="114"/>
      <c r="VFH13" s="114"/>
      <c r="VFI13" s="114"/>
      <c r="VFJ13" s="114"/>
      <c r="VFK13" s="114"/>
      <c r="VFL13" s="114"/>
      <c r="VFM13" s="114"/>
      <c r="VFN13" s="114"/>
      <c r="VFO13" s="114"/>
      <c r="VFP13" s="114"/>
      <c r="VFQ13" s="114"/>
      <c r="VFR13" s="114"/>
      <c r="VFS13" s="114"/>
      <c r="VFT13" s="114"/>
      <c r="VFU13" s="114"/>
      <c r="VFV13" s="114"/>
      <c r="VFW13" s="114"/>
      <c r="VFX13" s="114"/>
      <c r="VFY13" s="114"/>
      <c r="VFZ13" s="114"/>
      <c r="VGA13" s="114"/>
      <c r="VGB13" s="114"/>
      <c r="VGC13" s="114"/>
      <c r="VGD13" s="114"/>
      <c r="VGE13" s="114"/>
      <c r="VGF13" s="114"/>
      <c r="VGG13" s="114"/>
      <c r="VGH13" s="114"/>
      <c r="VGI13" s="114"/>
      <c r="VGJ13" s="114"/>
      <c r="VGK13" s="114"/>
      <c r="VGL13" s="114"/>
      <c r="VGM13" s="114"/>
      <c r="VGN13" s="114"/>
      <c r="VGO13" s="114"/>
      <c r="VGP13" s="114"/>
      <c r="VGQ13" s="114"/>
      <c r="VGR13" s="114"/>
      <c r="VGS13" s="114"/>
      <c r="VGT13" s="114"/>
      <c r="VGU13" s="114"/>
      <c r="VGV13" s="114"/>
      <c r="VGW13" s="114"/>
      <c r="VGX13" s="114"/>
      <c r="VGY13" s="114"/>
      <c r="VGZ13" s="114"/>
      <c r="VHA13" s="114"/>
      <c r="VHB13" s="114"/>
      <c r="VHC13" s="114"/>
      <c r="VHD13" s="114"/>
      <c r="VHE13" s="114"/>
      <c r="VHF13" s="114"/>
      <c r="VHG13" s="114"/>
      <c r="VHH13" s="114"/>
      <c r="VHI13" s="114"/>
      <c r="VHJ13" s="114"/>
      <c r="VHK13" s="114"/>
      <c r="VHL13" s="114"/>
      <c r="VHM13" s="114"/>
      <c r="VHN13" s="114"/>
      <c r="VHO13" s="114"/>
      <c r="VHP13" s="114"/>
      <c r="VHQ13" s="114"/>
      <c r="VHR13" s="114"/>
      <c r="VHS13" s="114"/>
      <c r="VHT13" s="114"/>
      <c r="VHU13" s="114"/>
      <c r="VHV13" s="114"/>
      <c r="VHW13" s="114"/>
      <c r="VHX13" s="114"/>
      <c r="VHY13" s="114"/>
      <c r="VHZ13" s="114"/>
      <c r="VIA13" s="114"/>
      <c r="VIB13" s="114"/>
      <c r="VIC13" s="114"/>
      <c r="VID13" s="114"/>
      <c r="VIE13" s="114"/>
      <c r="VIF13" s="114"/>
      <c r="VIG13" s="114"/>
      <c r="VIH13" s="114"/>
      <c r="VII13" s="114"/>
      <c r="VIJ13" s="114"/>
      <c r="VIK13" s="114"/>
      <c r="VIL13" s="114"/>
      <c r="VIM13" s="114"/>
      <c r="VIN13" s="114"/>
      <c r="VIO13" s="114"/>
      <c r="VIP13" s="114"/>
      <c r="VIQ13" s="114"/>
      <c r="VIR13" s="114"/>
      <c r="VIS13" s="114"/>
      <c r="VIT13" s="114"/>
      <c r="VIU13" s="114"/>
      <c r="VIV13" s="114"/>
      <c r="VIW13" s="114"/>
      <c r="VIX13" s="114"/>
      <c r="VIY13" s="114"/>
      <c r="VIZ13" s="114"/>
      <c r="VJA13" s="114"/>
      <c r="VJB13" s="114"/>
      <c r="VJC13" s="114"/>
      <c r="VJD13" s="114"/>
      <c r="VJE13" s="114"/>
      <c r="VJF13" s="114"/>
      <c r="VJG13" s="114"/>
      <c r="VJH13" s="114"/>
      <c r="VJI13" s="114"/>
      <c r="VJJ13" s="114"/>
      <c r="VJK13" s="114"/>
      <c r="VJL13" s="114"/>
      <c r="VJM13" s="114"/>
      <c r="VJN13" s="114"/>
      <c r="VJO13" s="114"/>
      <c r="VJP13" s="114"/>
      <c r="VJQ13" s="114"/>
      <c r="VJR13" s="114"/>
      <c r="VJS13" s="114"/>
      <c r="VJT13" s="114"/>
      <c r="VJU13" s="114"/>
      <c r="VJV13" s="114"/>
      <c r="VJW13" s="114"/>
      <c r="VJX13" s="114"/>
      <c r="VJY13" s="114"/>
      <c r="VJZ13" s="114"/>
      <c r="VKA13" s="114"/>
      <c r="VKB13" s="114"/>
      <c r="VKC13" s="114"/>
      <c r="VKD13" s="114"/>
      <c r="VKE13" s="114"/>
      <c r="VKF13" s="114"/>
      <c r="VKG13" s="114"/>
      <c r="VKH13" s="114"/>
      <c r="VKI13" s="114"/>
      <c r="VKJ13" s="114"/>
      <c r="VKK13" s="114"/>
      <c r="VKL13" s="114"/>
      <c r="VKM13" s="114"/>
      <c r="VKN13" s="114"/>
      <c r="VKO13" s="114"/>
      <c r="VKP13" s="114"/>
      <c r="VKQ13" s="114"/>
      <c r="VKR13" s="114"/>
      <c r="VKS13" s="114"/>
      <c r="VKT13" s="114"/>
      <c r="VKU13" s="114"/>
      <c r="VKV13" s="114"/>
      <c r="VKW13" s="114"/>
      <c r="VKX13" s="114"/>
      <c r="VKY13" s="114"/>
      <c r="VKZ13" s="114"/>
      <c r="VLA13" s="114"/>
      <c r="VLB13" s="114"/>
      <c r="VLC13" s="114"/>
      <c r="VLD13" s="114"/>
      <c r="VLE13" s="114"/>
      <c r="VLF13" s="114"/>
      <c r="VLG13" s="114"/>
      <c r="VLH13" s="114"/>
      <c r="VLI13" s="114"/>
      <c r="VLJ13" s="114"/>
      <c r="VLK13" s="114"/>
      <c r="VLL13" s="114"/>
      <c r="VLM13" s="114"/>
      <c r="VLN13" s="114"/>
      <c r="VLO13" s="114"/>
      <c r="VLP13" s="114"/>
      <c r="VLQ13" s="114"/>
      <c r="VLR13" s="114"/>
      <c r="VLS13" s="114"/>
      <c r="VLT13" s="114"/>
      <c r="VLU13" s="114"/>
      <c r="VLV13" s="114"/>
      <c r="VLW13" s="114"/>
      <c r="VLX13" s="114"/>
      <c r="VLY13" s="114"/>
      <c r="VLZ13" s="114"/>
      <c r="VMA13" s="114"/>
      <c r="VMB13" s="114"/>
      <c r="VMC13" s="114"/>
      <c r="VMD13" s="114"/>
      <c r="VME13" s="114"/>
      <c r="VMF13" s="114"/>
      <c r="VMG13" s="114"/>
      <c r="VMH13" s="114"/>
      <c r="VMI13" s="114"/>
      <c r="VMJ13" s="114"/>
      <c r="VMK13" s="114"/>
      <c r="VML13" s="114"/>
      <c r="VMM13" s="114"/>
      <c r="VMN13" s="114"/>
      <c r="VMO13" s="114"/>
      <c r="VMP13" s="114"/>
      <c r="VMQ13" s="114"/>
      <c r="VMR13" s="114"/>
      <c r="VMS13" s="114"/>
      <c r="VMT13" s="114"/>
      <c r="VMU13" s="114"/>
      <c r="VMV13" s="114"/>
      <c r="VMW13" s="114"/>
      <c r="VMX13" s="114"/>
      <c r="VMY13" s="114"/>
      <c r="VMZ13" s="114"/>
      <c r="VNA13" s="114"/>
      <c r="VNB13" s="114"/>
      <c r="VNC13" s="114"/>
      <c r="VND13" s="114"/>
      <c r="VNE13" s="114"/>
      <c r="VNF13" s="114"/>
      <c r="VNG13" s="114"/>
      <c r="VNH13" s="114"/>
      <c r="VNI13" s="114"/>
      <c r="VNJ13" s="114"/>
      <c r="VNK13" s="114"/>
      <c r="VNL13" s="114"/>
      <c r="VNM13" s="114"/>
      <c r="VNN13" s="114"/>
      <c r="VNO13" s="114"/>
      <c r="VNP13" s="114"/>
      <c r="VNQ13" s="114"/>
      <c r="VNR13" s="114"/>
      <c r="VNS13" s="114"/>
      <c r="VNT13" s="114"/>
      <c r="VNU13" s="114"/>
      <c r="VNV13" s="114"/>
      <c r="VNW13" s="114"/>
      <c r="VNX13" s="114"/>
      <c r="VNY13" s="114"/>
      <c r="VNZ13" s="114"/>
      <c r="VOA13" s="114"/>
      <c r="VOB13" s="114"/>
      <c r="VOC13" s="114"/>
      <c r="VOD13" s="114"/>
      <c r="VOE13" s="114"/>
      <c r="VOF13" s="114"/>
      <c r="VOG13" s="114"/>
      <c r="VOH13" s="114"/>
      <c r="VOI13" s="114"/>
      <c r="VOJ13" s="114"/>
      <c r="VOK13" s="114"/>
      <c r="VOL13" s="114"/>
      <c r="VOM13" s="114"/>
      <c r="VON13" s="114"/>
      <c r="VOO13" s="114"/>
      <c r="VOP13" s="114"/>
      <c r="VOQ13" s="114"/>
      <c r="VOR13" s="114"/>
      <c r="VOS13" s="114"/>
      <c r="VOT13" s="114"/>
      <c r="VOU13" s="114"/>
      <c r="VOV13" s="114"/>
      <c r="VOW13" s="114"/>
      <c r="VOX13" s="114"/>
      <c r="VOY13" s="114"/>
      <c r="VOZ13" s="114"/>
      <c r="VPA13" s="114"/>
      <c r="VPB13" s="114"/>
      <c r="VPC13" s="114"/>
      <c r="VPD13" s="114"/>
      <c r="VPE13" s="114"/>
      <c r="VPF13" s="114"/>
      <c r="VPG13" s="114"/>
      <c r="VPH13" s="114"/>
      <c r="VPI13" s="114"/>
      <c r="VPJ13" s="114"/>
      <c r="VPK13" s="114"/>
      <c r="VPL13" s="114"/>
      <c r="VPM13" s="114"/>
      <c r="VPN13" s="114"/>
      <c r="VPO13" s="114"/>
      <c r="VPP13" s="114"/>
      <c r="VPQ13" s="114"/>
      <c r="VPR13" s="114"/>
      <c r="VPS13" s="114"/>
      <c r="VPT13" s="114"/>
      <c r="VPU13" s="114"/>
      <c r="VPV13" s="114"/>
      <c r="VPW13" s="114"/>
      <c r="VPX13" s="114"/>
      <c r="VPY13" s="114"/>
      <c r="VPZ13" s="114"/>
      <c r="VQA13" s="114"/>
      <c r="VQB13" s="114"/>
      <c r="VQC13" s="114"/>
      <c r="VQD13" s="114"/>
      <c r="VQE13" s="114"/>
      <c r="VQF13" s="114"/>
      <c r="VQG13" s="114"/>
      <c r="VQH13" s="114"/>
      <c r="VQI13" s="114"/>
      <c r="VQJ13" s="114"/>
      <c r="VQK13" s="114"/>
      <c r="VQL13" s="114"/>
      <c r="VQM13" s="114"/>
      <c r="VQN13" s="114"/>
      <c r="VQO13" s="114"/>
      <c r="VQP13" s="114"/>
      <c r="VQQ13" s="114"/>
      <c r="VQR13" s="114"/>
      <c r="VQS13" s="114"/>
      <c r="VQT13" s="114"/>
      <c r="VQU13" s="114"/>
      <c r="VQV13" s="114"/>
      <c r="VQW13" s="114"/>
      <c r="VQX13" s="114"/>
      <c r="VQY13" s="114"/>
      <c r="VQZ13" s="114"/>
      <c r="VRA13" s="114"/>
      <c r="VRB13" s="114"/>
      <c r="VRC13" s="114"/>
      <c r="VRD13" s="114"/>
      <c r="VRE13" s="114"/>
      <c r="VRF13" s="114"/>
      <c r="VRG13" s="114"/>
      <c r="VRH13" s="114"/>
      <c r="VRI13" s="114"/>
      <c r="VRJ13" s="114"/>
      <c r="VRK13" s="114"/>
      <c r="VRL13" s="114"/>
      <c r="VRM13" s="114"/>
      <c r="VRN13" s="114"/>
      <c r="VRO13" s="114"/>
      <c r="VRP13" s="114"/>
      <c r="VRQ13" s="114"/>
      <c r="VRR13" s="114"/>
      <c r="VRS13" s="114"/>
      <c r="VRT13" s="114"/>
      <c r="VRU13" s="114"/>
      <c r="VRV13" s="114"/>
      <c r="VRW13" s="114"/>
      <c r="VRX13" s="114"/>
      <c r="VRY13" s="114"/>
      <c r="VRZ13" s="114"/>
      <c r="VSA13" s="114"/>
      <c r="VSB13" s="114"/>
      <c r="VSC13" s="114"/>
      <c r="VSD13" s="114"/>
      <c r="VSE13" s="114"/>
      <c r="VSF13" s="114"/>
      <c r="VSG13" s="114"/>
      <c r="VSH13" s="114"/>
      <c r="VSI13" s="114"/>
      <c r="VSJ13" s="114"/>
      <c r="VSK13" s="114"/>
      <c r="VSL13" s="114"/>
      <c r="VSM13" s="114"/>
      <c r="VSN13" s="114"/>
      <c r="VSO13" s="114"/>
      <c r="VSP13" s="114"/>
      <c r="VSQ13" s="114"/>
      <c r="VSR13" s="114"/>
      <c r="VSS13" s="114"/>
      <c r="VST13" s="114"/>
      <c r="VSU13" s="114"/>
      <c r="VSV13" s="114"/>
      <c r="VSW13" s="114"/>
      <c r="VSX13" s="114"/>
      <c r="VSY13" s="114"/>
      <c r="VSZ13" s="114"/>
      <c r="VTA13" s="114"/>
      <c r="VTB13" s="114"/>
      <c r="VTC13" s="114"/>
      <c r="VTD13" s="114"/>
      <c r="VTE13" s="114"/>
      <c r="VTF13" s="114"/>
      <c r="VTG13" s="114"/>
      <c r="VTH13" s="114"/>
      <c r="VTI13" s="114"/>
      <c r="VTJ13" s="114"/>
      <c r="VTK13" s="114"/>
      <c r="VTL13" s="114"/>
      <c r="VTM13" s="114"/>
      <c r="VTN13" s="114"/>
      <c r="VTO13" s="114"/>
      <c r="VTP13" s="114"/>
      <c r="VTQ13" s="114"/>
      <c r="VTR13" s="114"/>
      <c r="VTS13" s="114"/>
      <c r="VTT13" s="114"/>
      <c r="VTU13" s="114"/>
      <c r="VTV13" s="114"/>
      <c r="VTW13" s="114"/>
      <c r="VTX13" s="114"/>
      <c r="VTY13" s="114"/>
      <c r="VTZ13" s="114"/>
      <c r="VUA13" s="114"/>
      <c r="VUB13" s="114"/>
      <c r="VUC13" s="114"/>
      <c r="VUD13" s="114"/>
      <c r="VUE13" s="114"/>
      <c r="VUF13" s="114"/>
      <c r="VUG13" s="114"/>
      <c r="VUH13" s="114"/>
      <c r="VUI13" s="114"/>
      <c r="VUJ13" s="114"/>
      <c r="VUK13" s="114"/>
      <c r="VUL13" s="114"/>
      <c r="VUM13" s="114"/>
      <c r="VUN13" s="114"/>
      <c r="VUO13" s="114"/>
      <c r="VUP13" s="114"/>
      <c r="VUQ13" s="114"/>
      <c r="VUR13" s="114"/>
      <c r="VUS13" s="114"/>
      <c r="VUT13" s="114"/>
      <c r="VUU13" s="114"/>
      <c r="VUV13" s="114"/>
      <c r="VUW13" s="114"/>
      <c r="VUX13" s="114"/>
      <c r="VUY13" s="114"/>
      <c r="VUZ13" s="114"/>
      <c r="VVA13" s="114"/>
      <c r="VVB13" s="114"/>
      <c r="VVC13" s="114"/>
      <c r="VVD13" s="114"/>
      <c r="VVE13" s="114"/>
      <c r="VVF13" s="114"/>
      <c r="VVG13" s="114"/>
      <c r="VVH13" s="114"/>
      <c r="VVI13" s="114"/>
      <c r="VVJ13" s="114"/>
      <c r="VVK13" s="114"/>
      <c r="VVL13" s="114"/>
      <c r="VVM13" s="114"/>
      <c r="VVN13" s="114"/>
      <c r="VVO13" s="114"/>
      <c r="VVP13" s="114"/>
      <c r="VVQ13" s="114"/>
      <c r="VVR13" s="114"/>
      <c r="VVS13" s="114"/>
      <c r="VVT13" s="114"/>
      <c r="VVU13" s="114"/>
      <c r="VVV13" s="114"/>
      <c r="VVW13" s="114"/>
      <c r="VVX13" s="114"/>
      <c r="VVY13" s="114"/>
      <c r="VVZ13" s="114"/>
      <c r="VWA13" s="114"/>
      <c r="VWB13" s="114"/>
      <c r="VWC13" s="114"/>
      <c r="VWD13" s="114"/>
      <c r="VWE13" s="114"/>
      <c r="VWF13" s="114"/>
      <c r="VWG13" s="114"/>
      <c r="VWH13" s="114"/>
      <c r="VWI13" s="114"/>
      <c r="VWJ13" s="114"/>
      <c r="VWK13" s="114"/>
      <c r="VWL13" s="114"/>
      <c r="VWM13" s="114"/>
      <c r="VWN13" s="114"/>
      <c r="VWO13" s="114"/>
      <c r="VWP13" s="114"/>
      <c r="VWQ13" s="114"/>
      <c r="VWR13" s="114"/>
      <c r="VWS13" s="114"/>
      <c r="VWT13" s="114"/>
      <c r="VWU13" s="114"/>
      <c r="VWV13" s="114"/>
      <c r="VWW13" s="114"/>
      <c r="VWX13" s="114"/>
      <c r="VWY13" s="114"/>
      <c r="VWZ13" s="114"/>
      <c r="VXA13" s="114"/>
      <c r="VXB13" s="114"/>
      <c r="VXC13" s="114"/>
      <c r="VXD13" s="114"/>
      <c r="VXE13" s="114"/>
      <c r="VXF13" s="114"/>
      <c r="VXG13" s="114"/>
      <c r="VXH13" s="114"/>
      <c r="VXI13" s="114"/>
      <c r="VXJ13" s="114"/>
      <c r="VXK13" s="114"/>
      <c r="VXL13" s="114"/>
      <c r="VXM13" s="114"/>
      <c r="VXN13" s="114"/>
      <c r="VXO13" s="114"/>
      <c r="VXP13" s="114"/>
      <c r="VXQ13" s="114"/>
      <c r="VXR13" s="114"/>
      <c r="VXS13" s="114"/>
      <c r="VXT13" s="114"/>
      <c r="VXU13" s="114"/>
      <c r="VXV13" s="114"/>
      <c r="VXW13" s="114"/>
      <c r="VXX13" s="114"/>
      <c r="VXY13" s="114"/>
      <c r="VXZ13" s="114"/>
      <c r="VYA13" s="114"/>
      <c r="VYB13" s="114"/>
      <c r="VYC13" s="114"/>
      <c r="VYD13" s="114"/>
      <c r="VYE13" s="114"/>
      <c r="VYF13" s="114"/>
      <c r="VYG13" s="114"/>
      <c r="VYH13" s="114"/>
      <c r="VYI13" s="114"/>
      <c r="VYJ13" s="114"/>
      <c r="VYK13" s="114"/>
      <c r="VYL13" s="114"/>
      <c r="VYM13" s="114"/>
      <c r="VYN13" s="114"/>
      <c r="VYO13" s="114"/>
      <c r="VYP13" s="114"/>
      <c r="VYQ13" s="114"/>
      <c r="VYR13" s="114"/>
      <c r="VYS13" s="114"/>
      <c r="VYT13" s="114"/>
      <c r="VYU13" s="114"/>
      <c r="VYV13" s="114"/>
      <c r="VYW13" s="114"/>
      <c r="VYX13" s="114"/>
      <c r="VYY13" s="114"/>
      <c r="VYZ13" s="114"/>
      <c r="VZA13" s="114"/>
      <c r="VZB13" s="114"/>
      <c r="VZC13" s="114"/>
      <c r="VZD13" s="114"/>
      <c r="VZE13" s="114"/>
      <c r="VZF13" s="114"/>
      <c r="VZG13" s="114"/>
      <c r="VZH13" s="114"/>
      <c r="VZI13" s="114"/>
      <c r="VZJ13" s="114"/>
      <c r="VZK13" s="114"/>
      <c r="VZL13" s="114"/>
      <c r="VZM13" s="114"/>
      <c r="VZN13" s="114"/>
      <c r="VZO13" s="114"/>
      <c r="VZP13" s="114"/>
      <c r="VZQ13" s="114"/>
      <c r="VZR13" s="114"/>
      <c r="VZS13" s="114"/>
      <c r="VZT13" s="114"/>
      <c r="VZU13" s="114"/>
      <c r="VZV13" s="114"/>
      <c r="VZW13" s="114"/>
      <c r="VZX13" s="114"/>
      <c r="VZY13" s="114"/>
      <c r="VZZ13" s="114"/>
      <c r="WAA13" s="114"/>
      <c r="WAB13" s="114"/>
      <c r="WAC13" s="114"/>
      <c r="WAD13" s="114"/>
      <c r="WAE13" s="114"/>
      <c r="WAF13" s="114"/>
      <c r="WAG13" s="114"/>
      <c r="WAH13" s="114"/>
      <c r="WAI13" s="114"/>
      <c r="WAJ13" s="114"/>
      <c r="WAK13" s="114"/>
      <c r="WAL13" s="114"/>
      <c r="WAM13" s="114"/>
      <c r="WAN13" s="114"/>
      <c r="WAO13" s="114"/>
      <c r="WAP13" s="114"/>
      <c r="WAQ13" s="114"/>
      <c r="WAR13" s="114"/>
      <c r="WAS13" s="114"/>
      <c r="WAT13" s="114"/>
      <c r="WAU13" s="114"/>
      <c r="WAV13" s="114"/>
      <c r="WAW13" s="114"/>
      <c r="WAX13" s="114"/>
      <c r="WAY13" s="114"/>
      <c r="WAZ13" s="114"/>
      <c r="WBA13" s="114"/>
      <c r="WBB13" s="114"/>
      <c r="WBC13" s="114"/>
      <c r="WBD13" s="114"/>
      <c r="WBE13" s="114"/>
      <c r="WBF13" s="114"/>
      <c r="WBG13" s="114"/>
      <c r="WBH13" s="114"/>
      <c r="WBI13" s="114"/>
      <c r="WBJ13" s="114"/>
      <c r="WBK13" s="114"/>
      <c r="WBL13" s="114"/>
      <c r="WBM13" s="114"/>
      <c r="WBN13" s="114"/>
      <c r="WBO13" s="114"/>
      <c r="WBP13" s="114"/>
      <c r="WBQ13" s="114"/>
      <c r="WBR13" s="114"/>
      <c r="WBS13" s="114"/>
      <c r="WBT13" s="114"/>
      <c r="WBU13" s="114"/>
      <c r="WBV13" s="114"/>
      <c r="WBW13" s="114"/>
      <c r="WBX13" s="114"/>
      <c r="WBY13" s="114"/>
      <c r="WBZ13" s="114"/>
      <c r="WCA13" s="114"/>
      <c r="WCB13" s="114"/>
      <c r="WCC13" s="114"/>
      <c r="WCD13" s="114"/>
      <c r="WCE13" s="114"/>
      <c r="WCF13" s="114"/>
      <c r="WCG13" s="114"/>
      <c r="WCH13" s="114"/>
      <c r="WCI13" s="114"/>
      <c r="WCJ13" s="114"/>
      <c r="WCK13" s="114"/>
      <c r="WCL13" s="114"/>
      <c r="WCM13" s="114"/>
      <c r="WCN13" s="114"/>
      <c r="WCO13" s="114"/>
      <c r="WCP13" s="114"/>
      <c r="WCQ13" s="114"/>
      <c r="WCR13" s="114"/>
      <c r="WCS13" s="114"/>
      <c r="WCT13" s="114"/>
      <c r="WCU13" s="114"/>
      <c r="WCV13" s="114"/>
      <c r="WCW13" s="114"/>
      <c r="WCX13" s="114"/>
      <c r="WCY13" s="114"/>
      <c r="WCZ13" s="114"/>
      <c r="WDA13" s="114"/>
      <c r="WDB13" s="114"/>
      <c r="WDC13" s="114"/>
      <c r="WDD13" s="114"/>
      <c r="WDE13" s="114"/>
      <c r="WDF13" s="114"/>
      <c r="WDG13" s="114"/>
      <c r="WDH13" s="114"/>
      <c r="WDI13" s="114"/>
      <c r="WDJ13" s="114"/>
      <c r="WDK13" s="114"/>
      <c r="WDL13" s="114"/>
      <c r="WDM13" s="114"/>
      <c r="WDN13" s="114"/>
      <c r="WDO13" s="114"/>
      <c r="WDP13" s="114"/>
      <c r="WDQ13" s="114"/>
      <c r="WDR13" s="114"/>
      <c r="WDS13" s="114"/>
      <c r="WDT13" s="114"/>
      <c r="WDU13" s="114"/>
      <c r="WDV13" s="114"/>
      <c r="WDW13" s="114"/>
      <c r="WDX13" s="114"/>
      <c r="WDY13" s="114"/>
      <c r="WDZ13" s="114"/>
      <c r="WEA13" s="114"/>
      <c r="WEB13" s="114"/>
      <c r="WEC13" s="114"/>
      <c r="WED13" s="114"/>
      <c r="WEE13" s="114"/>
      <c r="WEF13" s="114"/>
      <c r="WEG13" s="114"/>
      <c r="WEH13" s="114"/>
      <c r="WEI13" s="114"/>
      <c r="WEJ13" s="114"/>
      <c r="WEK13" s="114"/>
      <c r="WEL13" s="114"/>
      <c r="WEM13" s="114"/>
      <c r="WEN13" s="114"/>
      <c r="WEO13" s="114"/>
      <c r="WEP13" s="114"/>
      <c r="WEQ13" s="114"/>
      <c r="WER13" s="114"/>
      <c r="WES13" s="114"/>
      <c r="WET13" s="114"/>
      <c r="WEU13" s="114"/>
      <c r="WEV13" s="114"/>
      <c r="WEW13" s="114"/>
      <c r="WEX13" s="114"/>
      <c r="WEY13" s="114"/>
      <c r="WEZ13" s="114"/>
      <c r="WFA13" s="114"/>
      <c r="WFB13" s="114"/>
      <c r="WFC13" s="114"/>
      <c r="WFD13" s="114"/>
      <c r="WFE13" s="114"/>
      <c r="WFF13" s="114"/>
      <c r="WFG13" s="114"/>
      <c r="WFH13" s="114"/>
      <c r="WFI13" s="114"/>
      <c r="WFJ13" s="114"/>
      <c r="WFK13" s="114"/>
      <c r="WFL13" s="114"/>
      <c r="WFM13" s="114"/>
      <c r="WFN13" s="114"/>
      <c r="WFO13" s="114"/>
      <c r="WFP13" s="114"/>
      <c r="WFQ13" s="114"/>
      <c r="WFR13" s="114"/>
      <c r="WFS13" s="114"/>
      <c r="WFT13" s="114"/>
      <c r="WFU13" s="114"/>
      <c r="WFV13" s="114"/>
      <c r="WFW13" s="114"/>
      <c r="WFX13" s="114"/>
      <c r="WFY13" s="114"/>
      <c r="WFZ13" s="114"/>
      <c r="WGA13" s="114"/>
      <c r="WGB13" s="114"/>
      <c r="WGC13" s="114"/>
      <c r="WGD13" s="114"/>
      <c r="WGE13" s="114"/>
      <c r="WGF13" s="114"/>
      <c r="WGG13" s="114"/>
      <c r="WGH13" s="114"/>
      <c r="WGI13" s="114"/>
      <c r="WGJ13" s="114"/>
      <c r="WGK13" s="114"/>
      <c r="WGL13" s="114"/>
      <c r="WGM13" s="114"/>
      <c r="WGN13" s="114"/>
      <c r="WGO13" s="114"/>
      <c r="WGP13" s="114"/>
      <c r="WGQ13" s="114"/>
      <c r="WGR13" s="114"/>
      <c r="WGS13" s="114"/>
      <c r="WGT13" s="114"/>
      <c r="WGU13" s="114"/>
      <c r="WGV13" s="114"/>
      <c r="WGW13" s="114"/>
      <c r="WGX13" s="114"/>
      <c r="WGY13" s="114"/>
      <c r="WGZ13" s="114"/>
      <c r="WHA13" s="114"/>
      <c r="WHB13" s="114"/>
      <c r="WHC13" s="114"/>
      <c r="WHD13" s="114"/>
      <c r="WHE13" s="114"/>
      <c r="WHF13" s="114"/>
      <c r="WHG13" s="114"/>
      <c r="WHH13" s="114"/>
      <c r="WHI13" s="114"/>
      <c r="WHJ13" s="114"/>
      <c r="WHK13" s="114"/>
      <c r="WHL13" s="114"/>
      <c r="WHM13" s="114"/>
      <c r="WHN13" s="114"/>
      <c r="WHO13" s="114"/>
      <c r="WHP13" s="114"/>
      <c r="WHQ13" s="114"/>
      <c r="WHR13" s="114"/>
      <c r="WHS13" s="114"/>
      <c r="WHT13" s="114"/>
      <c r="WHU13" s="114"/>
      <c r="WHV13" s="114"/>
      <c r="WHW13" s="114"/>
      <c r="WHX13" s="114"/>
      <c r="WHY13" s="114"/>
      <c r="WHZ13" s="114"/>
      <c r="WIA13" s="114"/>
      <c r="WIB13" s="114"/>
      <c r="WIC13" s="114"/>
      <c r="WID13" s="114"/>
      <c r="WIE13" s="114"/>
      <c r="WIF13" s="114"/>
      <c r="WIG13" s="114"/>
      <c r="WIH13" s="114"/>
      <c r="WII13" s="114"/>
      <c r="WIJ13" s="114"/>
      <c r="WIK13" s="114"/>
      <c r="WIL13" s="114"/>
      <c r="WIM13" s="114"/>
      <c r="WIN13" s="114"/>
      <c r="WIO13" s="114"/>
      <c r="WIP13" s="114"/>
      <c r="WIQ13" s="114"/>
      <c r="WIR13" s="114"/>
      <c r="WIS13" s="114"/>
      <c r="WIT13" s="114"/>
      <c r="WIU13" s="114"/>
      <c r="WIV13" s="114"/>
      <c r="WIW13" s="114"/>
      <c r="WIX13" s="114"/>
      <c r="WIY13" s="114"/>
      <c r="WIZ13" s="114"/>
      <c r="WJA13" s="114"/>
      <c r="WJB13" s="114"/>
      <c r="WJC13" s="114"/>
      <c r="WJD13" s="114"/>
      <c r="WJE13" s="114"/>
      <c r="WJF13" s="114"/>
      <c r="WJG13" s="114"/>
      <c r="WJH13" s="114"/>
      <c r="WJI13" s="114"/>
      <c r="WJJ13" s="114"/>
      <c r="WJK13" s="114"/>
      <c r="WJL13" s="114"/>
      <c r="WJM13" s="114"/>
      <c r="WJN13" s="114"/>
      <c r="WJO13" s="114"/>
      <c r="WJP13" s="114"/>
      <c r="WJQ13" s="114"/>
      <c r="WJR13" s="114"/>
      <c r="WJS13" s="114"/>
      <c r="WJT13" s="114"/>
      <c r="WJU13" s="114"/>
      <c r="WJV13" s="114"/>
      <c r="WJW13" s="114"/>
      <c r="WJX13" s="114"/>
      <c r="WJY13" s="114"/>
      <c r="WJZ13" s="114"/>
      <c r="WKA13" s="114"/>
      <c r="WKB13" s="114"/>
      <c r="WKC13" s="114"/>
      <c r="WKD13" s="114"/>
      <c r="WKE13" s="114"/>
      <c r="WKF13" s="114"/>
      <c r="WKG13" s="114"/>
      <c r="WKH13" s="114"/>
      <c r="WKI13" s="114"/>
      <c r="WKJ13" s="114"/>
      <c r="WKK13" s="114"/>
      <c r="WKL13" s="114"/>
      <c r="WKM13" s="114"/>
      <c r="WKN13" s="114"/>
      <c r="WKO13" s="114"/>
      <c r="WKP13" s="114"/>
      <c r="WKQ13" s="114"/>
      <c r="WKR13" s="114"/>
      <c r="WKS13" s="114"/>
      <c r="WKT13" s="114"/>
      <c r="WKU13" s="114"/>
      <c r="WKV13" s="114"/>
      <c r="WKW13" s="114"/>
      <c r="WKX13" s="114"/>
      <c r="WKY13" s="114"/>
      <c r="WKZ13" s="114"/>
      <c r="WLA13" s="114"/>
      <c r="WLB13" s="114"/>
      <c r="WLC13" s="114"/>
      <c r="WLD13" s="114"/>
      <c r="WLE13" s="114"/>
      <c r="WLF13" s="114"/>
      <c r="WLG13" s="114"/>
      <c r="WLH13" s="114"/>
      <c r="WLI13" s="114"/>
      <c r="WLJ13" s="114"/>
      <c r="WLK13" s="114"/>
      <c r="WLL13" s="114"/>
      <c r="WLM13" s="114"/>
      <c r="WLN13" s="114"/>
      <c r="WLO13" s="114"/>
      <c r="WLP13" s="114"/>
      <c r="WLQ13" s="114"/>
      <c r="WLR13" s="114"/>
      <c r="WLS13" s="114"/>
      <c r="WLT13" s="114"/>
      <c r="WLU13" s="114"/>
      <c r="WLV13" s="114"/>
      <c r="WLW13" s="114"/>
      <c r="WLX13" s="114"/>
      <c r="WLY13" s="114"/>
      <c r="WLZ13" s="114"/>
      <c r="WMA13" s="114"/>
      <c r="WMB13" s="114"/>
      <c r="WMC13" s="114"/>
      <c r="WMD13" s="114"/>
      <c r="WME13" s="114"/>
      <c r="WMF13" s="114"/>
      <c r="WMG13" s="114"/>
      <c r="WMH13" s="114"/>
      <c r="WMI13" s="114"/>
      <c r="WMJ13" s="114"/>
      <c r="WMK13" s="114"/>
      <c r="WML13" s="114"/>
      <c r="WMM13" s="114"/>
      <c r="WMN13" s="114"/>
      <c r="WMO13" s="114"/>
      <c r="WMP13" s="114"/>
      <c r="WMQ13" s="114"/>
      <c r="WMR13" s="114"/>
      <c r="WMS13" s="114"/>
      <c r="WMT13" s="114"/>
      <c r="WMU13" s="114"/>
      <c r="WMV13" s="114"/>
      <c r="WMW13" s="114"/>
      <c r="WMX13" s="114"/>
      <c r="WMY13" s="114"/>
      <c r="WMZ13" s="114"/>
      <c r="WNA13" s="114"/>
      <c r="WNB13" s="114"/>
      <c r="WNC13" s="114"/>
      <c r="WND13" s="114"/>
      <c r="WNE13" s="114"/>
      <c r="WNF13" s="114"/>
      <c r="WNG13" s="114"/>
      <c r="WNH13" s="114"/>
      <c r="WNI13" s="114"/>
      <c r="WNJ13" s="114"/>
      <c r="WNK13" s="114"/>
      <c r="WNL13" s="114"/>
      <c r="WNM13" s="114"/>
      <c r="WNN13" s="114"/>
      <c r="WNO13" s="114"/>
      <c r="WNP13" s="114"/>
      <c r="WNQ13" s="114"/>
      <c r="WNR13" s="114"/>
      <c r="WNS13" s="114"/>
      <c r="WNT13" s="114"/>
      <c r="WNU13" s="114"/>
      <c r="WNV13" s="114"/>
      <c r="WNW13" s="114"/>
      <c r="WNX13" s="114"/>
      <c r="WNY13" s="114"/>
      <c r="WNZ13" s="114"/>
      <c r="WOA13" s="114"/>
      <c r="WOB13" s="114"/>
      <c r="WOC13" s="114"/>
      <c r="WOD13" s="114"/>
      <c r="WOE13" s="114"/>
      <c r="WOF13" s="114"/>
      <c r="WOG13" s="114"/>
      <c r="WOH13" s="114"/>
      <c r="WOI13" s="114"/>
      <c r="WOJ13" s="114"/>
      <c r="WOK13" s="114"/>
      <c r="WOL13" s="114"/>
      <c r="WOM13" s="114"/>
      <c r="WON13" s="114"/>
      <c r="WOO13" s="114"/>
      <c r="WOP13" s="114"/>
      <c r="WOQ13" s="114"/>
      <c r="WOR13" s="114"/>
      <c r="WOS13" s="114"/>
      <c r="WOT13" s="114"/>
      <c r="WOU13" s="114"/>
      <c r="WOV13" s="114"/>
      <c r="WOW13" s="114"/>
      <c r="WOX13" s="114"/>
      <c r="WOY13" s="114"/>
      <c r="WOZ13" s="114"/>
      <c r="WPA13" s="114"/>
      <c r="WPB13" s="114"/>
      <c r="WPC13" s="114"/>
      <c r="WPD13" s="114"/>
      <c r="WPE13" s="114"/>
      <c r="WPF13" s="114"/>
      <c r="WPG13" s="114"/>
      <c r="WPH13" s="114"/>
      <c r="WPI13" s="114"/>
      <c r="WPJ13" s="114"/>
      <c r="WPK13" s="114"/>
      <c r="WPL13" s="114"/>
      <c r="WPM13" s="114"/>
      <c r="WPN13" s="114"/>
      <c r="WPO13" s="114"/>
      <c r="WPP13" s="114"/>
      <c r="WPQ13" s="114"/>
      <c r="WPR13" s="114"/>
      <c r="WPS13" s="114"/>
      <c r="WPT13" s="114"/>
      <c r="WPU13" s="114"/>
      <c r="WPV13" s="114"/>
      <c r="WPW13" s="114"/>
      <c r="WPX13" s="114"/>
      <c r="WPY13" s="114"/>
      <c r="WPZ13" s="114"/>
      <c r="WQA13" s="114"/>
      <c r="WQB13" s="114"/>
      <c r="WQC13" s="114"/>
      <c r="WQD13" s="114"/>
      <c r="WQE13" s="114"/>
      <c r="WQF13" s="114"/>
      <c r="WQG13" s="114"/>
      <c r="WQH13" s="114"/>
      <c r="WQI13" s="114"/>
      <c r="WQJ13" s="114"/>
      <c r="WQK13" s="114"/>
      <c r="WQL13" s="114"/>
      <c r="WQM13" s="114"/>
      <c r="WQN13" s="114"/>
      <c r="WQO13" s="114"/>
      <c r="WQP13" s="114"/>
      <c r="WQQ13" s="114"/>
      <c r="WQR13" s="114"/>
      <c r="WQS13" s="114"/>
      <c r="WQT13" s="114"/>
      <c r="WQU13" s="114"/>
      <c r="WQV13" s="114"/>
      <c r="WQW13" s="114"/>
      <c r="WQX13" s="114"/>
      <c r="WQY13" s="114"/>
      <c r="WQZ13" s="114"/>
      <c r="WRA13" s="114"/>
      <c r="WRB13" s="114"/>
      <c r="WRC13" s="114"/>
      <c r="WRD13" s="114"/>
      <c r="WRE13" s="114"/>
      <c r="WRF13" s="114"/>
      <c r="WRG13" s="114"/>
      <c r="WRH13" s="114"/>
      <c r="WRI13" s="114"/>
      <c r="WRJ13" s="114"/>
      <c r="WRK13" s="114"/>
      <c r="WRL13" s="114"/>
      <c r="WRM13" s="114"/>
      <c r="WRN13" s="114"/>
      <c r="WRO13" s="114"/>
      <c r="WRP13" s="114"/>
      <c r="WRQ13" s="114"/>
      <c r="WRR13" s="114"/>
      <c r="WRS13" s="114"/>
      <c r="WRT13" s="114"/>
      <c r="WRU13" s="114"/>
      <c r="WRV13" s="114"/>
      <c r="WRW13" s="114"/>
      <c r="WRX13" s="114"/>
      <c r="WRY13" s="114"/>
      <c r="WRZ13" s="114"/>
      <c r="WSA13" s="114"/>
      <c r="WSB13" s="114"/>
      <c r="WSC13" s="114"/>
      <c r="WSD13" s="114"/>
      <c r="WSE13" s="114"/>
      <c r="WSF13" s="114"/>
      <c r="WSG13" s="114"/>
      <c r="WSH13" s="114"/>
      <c r="WSI13" s="114"/>
      <c r="WSJ13" s="114"/>
      <c r="WSK13" s="114"/>
      <c r="WSL13" s="114"/>
      <c r="WSM13" s="114"/>
      <c r="WSN13" s="114"/>
      <c r="WSO13" s="114"/>
      <c r="WSP13" s="114"/>
      <c r="WSQ13" s="114"/>
      <c r="WSR13" s="114"/>
      <c r="WSS13" s="114"/>
      <c r="WST13" s="114"/>
      <c r="WSU13" s="114"/>
      <c r="WSV13" s="114"/>
      <c r="WSW13" s="114"/>
      <c r="WSX13" s="114"/>
      <c r="WSY13" s="114"/>
      <c r="WSZ13" s="114"/>
      <c r="WTA13" s="114"/>
      <c r="WTB13" s="114"/>
      <c r="WTC13" s="114"/>
      <c r="WTD13" s="114"/>
      <c r="WTE13" s="114"/>
      <c r="WTF13" s="114"/>
      <c r="WTG13" s="114"/>
      <c r="WTH13" s="114"/>
      <c r="WTI13" s="114"/>
      <c r="WTJ13" s="114"/>
      <c r="WTK13" s="114"/>
      <c r="WTL13" s="114"/>
      <c r="WTM13" s="114"/>
      <c r="WTN13" s="114"/>
      <c r="WTO13" s="114"/>
      <c r="WTP13" s="114"/>
      <c r="WTQ13" s="114"/>
      <c r="WTR13" s="114"/>
      <c r="WTS13" s="114"/>
      <c r="WTT13" s="114"/>
      <c r="WTU13" s="114"/>
      <c r="WTV13" s="114"/>
      <c r="WTW13" s="114"/>
      <c r="WTX13" s="114"/>
      <c r="WTY13" s="114"/>
      <c r="WTZ13" s="114"/>
      <c r="WUA13" s="114"/>
      <c r="WUB13" s="114"/>
      <c r="WUC13" s="114"/>
      <c r="WUD13" s="114"/>
      <c r="WUE13" s="114"/>
      <c r="WUF13" s="114"/>
      <c r="WUG13" s="114"/>
      <c r="WUH13" s="114"/>
      <c r="WUI13" s="114"/>
      <c r="WUJ13" s="114"/>
      <c r="WUK13" s="114"/>
      <c r="WUL13" s="114"/>
      <c r="WUM13" s="114"/>
      <c r="WUN13" s="114"/>
      <c r="WUO13" s="114"/>
      <c r="WUP13" s="114"/>
      <c r="WUQ13" s="114"/>
      <c r="WUR13" s="114"/>
      <c r="WUS13" s="114"/>
      <c r="WUT13" s="114"/>
      <c r="WUU13" s="114"/>
      <c r="WUV13" s="114"/>
      <c r="WUW13" s="114"/>
      <c r="WUX13" s="114"/>
      <c r="WUY13" s="114"/>
      <c r="WUZ13" s="114"/>
      <c r="WVA13" s="114"/>
      <c r="WVB13" s="114"/>
      <c r="WVC13" s="114"/>
      <c r="WVD13" s="114"/>
      <c r="WVE13" s="114"/>
      <c r="WVF13" s="114"/>
      <c r="WVG13" s="114"/>
      <c r="WVH13" s="114"/>
      <c r="WVI13" s="114"/>
      <c r="WVJ13" s="114"/>
      <c r="WVK13" s="114"/>
      <c r="WVL13" s="114"/>
      <c r="WVM13" s="114"/>
      <c r="WVN13" s="114"/>
      <c r="WVO13" s="114"/>
      <c r="WVP13" s="114"/>
      <c r="WVQ13" s="114"/>
      <c r="WVR13" s="114"/>
      <c r="WVS13" s="114"/>
      <c r="WVT13" s="114"/>
      <c r="WVU13" s="114"/>
      <c r="WVV13" s="114"/>
      <c r="WVW13" s="114"/>
      <c r="WVX13" s="114"/>
      <c r="WVY13" s="114"/>
      <c r="WVZ13" s="114"/>
      <c r="WWA13" s="114"/>
      <c r="WWB13" s="114"/>
      <c r="WWC13" s="114"/>
      <c r="WWD13" s="114"/>
      <c r="WWE13" s="114"/>
      <c r="WWF13" s="114"/>
      <c r="WWG13" s="114"/>
      <c r="WWH13" s="114"/>
      <c r="WWI13" s="114"/>
      <c r="WWJ13" s="114"/>
      <c r="WWK13" s="114"/>
      <c r="WWL13" s="114"/>
      <c r="WWM13" s="114"/>
      <c r="WWN13" s="114"/>
      <c r="WWO13" s="114"/>
      <c r="WWP13" s="114"/>
      <c r="WWQ13" s="114"/>
      <c r="WWR13" s="114"/>
      <c r="WWS13" s="114"/>
      <c r="WWT13" s="114"/>
      <c r="WWU13" s="114"/>
      <c r="WWV13" s="114"/>
      <c r="WWW13" s="114"/>
      <c r="WWX13" s="114"/>
      <c r="WWY13" s="114"/>
      <c r="WWZ13" s="114"/>
      <c r="WXA13" s="114"/>
      <c r="WXB13" s="114"/>
      <c r="WXC13" s="114"/>
      <c r="WXD13" s="114"/>
      <c r="WXE13" s="114"/>
      <c r="WXF13" s="114"/>
      <c r="WXG13" s="114"/>
      <c r="WXH13" s="114"/>
      <c r="WXI13" s="114"/>
      <c r="WXJ13" s="114"/>
      <c r="WXK13" s="114"/>
      <c r="WXL13" s="114"/>
      <c r="WXM13" s="114"/>
      <c r="WXN13" s="114"/>
      <c r="WXO13" s="114"/>
      <c r="WXP13" s="114"/>
      <c r="WXQ13" s="114"/>
      <c r="WXR13" s="114"/>
      <c r="WXS13" s="114"/>
      <c r="WXT13" s="114"/>
      <c r="WXU13" s="114"/>
      <c r="WXV13" s="114"/>
      <c r="WXW13" s="114"/>
      <c r="WXX13" s="114"/>
      <c r="WXY13" s="114"/>
      <c r="WXZ13" s="114"/>
      <c r="WYA13" s="114"/>
      <c r="WYB13" s="114"/>
      <c r="WYC13" s="114"/>
      <c r="WYD13" s="114"/>
      <c r="WYE13" s="114"/>
      <c r="WYF13" s="114"/>
      <c r="WYG13" s="114"/>
      <c r="WYH13" s="114"/>
      <c r="WYI13" s="114"/>
      <c r="WYJ13" s="114"/>
      <c r="WYK13" s="114"/>
      <c r="WYL13" s="114"/>
      <c r="WYM13" s="114"/>
      <c r="WYN13" s="114"/>
      <c r="WYO13" s="114"/>
      <c r="WYP13" s="114"/>
      <c r="WYQ13" s="114"/>
      <c r="WYR13" s="114"/>
      <c r="WYS13" s="114"/>
      <c r="WYT13" s="114"/>
      <c r="WYU13" s="114"/>
      <c r="WYV13" s="114"/>
      <c r="WYW13" s="114"/>
      <c r="WYX13" s="114"/>
      <c r="WYY13" s="114"/>
      <c r="WYZ13" s="114"/>
      <c r="WZA13" s="114"/>
      <c r="WZB13" s="114"/>
      <c r="WZC13" s="114"/>
      <c r="WZD13" s="114"/>
      <c r="WZE13" s="114"/>
      <c r="WZF13" s="114"/>
      <c r="WZG13" s="114"/>
      <c r="WZH13" s="114"/>
      <c r="WZI13" s="114"/>
      <c r="WZJ13" s="114"/>
      <c r="WZK13" s="114"/>
      <c r="WZL13" s="114"/>
      <c r="WZM13" s="114"/>
      <c r="WZN13" s="114"/>
      <c r="WZO13" s="114"/>
      <c r="WZP13" s="114"/>
      <c r="WZQ13" s="114"/>
      <c r="WZR13" s="114"/>
      <c r="WZS13" s="114"/>
      <c r="WZT13" s="114"/>
      <c r="WZU13" s="114"/>
      <c r="WZV13" s="114"/>
      <c r="WZW13" s="114"/>
      <c r="WZX13" s="114"/>
      <c r="WZY13" s="114"/>
      <c r="WZZ13" s="114"/>
      <c r="XAA13" s="114"/>
      <c r="XAB13" s="114"/>
      <c r="XAC13" s="114"/>
      <c r="XAD13" s="114"/>
      <c r="XAE13" s="114"/>
      <c r="XAF13" s="114"/>
      <c r="XAG13" s="114"/>
      <c r="XAH13" s="114"/>
      <c r="XAI13" s="114"/>
      <c r="XAJ13" s="114"/>
      <c r="XAK13" s="114"/>
      <c r="XAL13" s="114"/>
      <c r="XAM13" s="114"/>
      <c r="XAN13" s="114"/>
      <c r="XAO13" s="114"/>
      <c r="XAP13" s="114"/>
      <c r="XAQ13" s="114"/>
      <c r="XAR13" s="114"/>
      <c r="XAS13" s="114"/>
      <c r="XAT13" s="114"/>
      <c r="XAU13" s="114"/>
      <c r="XAV13" s="114"/>
      <c r="XAW13" s="114"/>
      <c r="XAX13" s="114"/>
      <c r="XAY13" s="114"/>
      <c r="XAZ13" s="114"/>
      <c r="XBA13" s="114"/>
      <c r="XBB13" s="114"/>
      <c r="XBC13" s="114"/>
      <c r="XBD13" s="114"/>
      <c r="XBE13" s="114"/>
      <c r="XBF13" s="114"/>
      <c r="XBG13" s="114"/>
      <c r="XBH13" s="114"/>
      <c r="XBI13" s="114"/>
      <c r="XBJ13" s="114"/>
      <c r="XBK13" s="114"/>
      <c r="XBL13" s="114"/>
      <c r="XBM13" s="114"/>
      <c r="XBN13" s="114"/>
      <c r="XBO13" s="114"/>
      <c r="XBP13" s="114"/>
      <c r="XBQ13" s="114"/>
      <c r="XBR13" s="114"/>
      <c r="XBS13" s="114"/>
      <c r="XBT13" s="114"/>
      <c r="XBU13" s="114"/>
      <c r="XBV13" s="114"/>
      <c r="XBW13" s="114"/>
      <c r="XBX13" s="114"/>
      <c r="XBY13" s="114"/>
      <c r="XBZ13" s="114"/>
      <c r="XCA13" s="114"/>
      <c r="XCB13" s="114"/>
      <c r="XCC13" s="114"/>
      <c r="XCD13" s="114"/>
      <c r="XCE13" s="114"/>
      <c r="XCF13" s="114"/>
      <c r="XCG13" s="114"/>
      <c r="XCH13" s="114"/>
      <c r="XCI13" s="114"/>
      <c r="XCJ13" s="114"/>
      <c r="XCK13" s="114"/>
      <c r="XCL13" s="114"/>
      <c r="XCM13" s="114"/>
      <c r="XCN13" s="114"/>
      <c r="XCO13" s="114"/>
      <c r="XCP13" s="114"/>
      <c r="XCQ13" s="114"/>
      <c r="XCR13" s="114"/>
      <c r="XCS13" s="114"/>
      <c r="XCT13" s="114"/>
      <c r="XCU13" s="114"/>
      <c r="XCV13" s="114"/>
      <c r="XCW13" s="114"/>
      <c r="XCX13" s="114"/>
      <c r="XCY13" s="114"/>
      <c r="XCZ13" s="114"/>
      <c r="XDA13" s="114"/>
      <c r="XDB13" s="114"/>
      <c r="XDC13" s="114"/>
      <c r="XDD13" s="114"/>
      <c r="XDE13" s="114"/>
      <c r="XDF13" s="114"/>
      <c r="XDG13" s="114"/>
      <c r="XDH13" s="114"/>
      <c r="XDI13" s="114"/>
      <c r="XDJ13" s="114"/>
      <c r="XDK13" s="114"/>
      <c r="XDL13" s="114"/>
      <c r="XDM13" s="114"/>
      <c r="XDN13" s="114"/>
      <c r="XDO13" s="114"/>
      <c r="XDP13" s="114"/>
      <c r="XDQ13" s="114"/>
      <c r="XDR13" s="114"/>
      <c r="XDS13" s="114"/>
      <c r="XDT13" s="114"/>
      <c r="XDU13" s="114"/>
      <c r="XDV13" s="114"/>
      <c r="XDW13" s="114"/>
      <c r="XDX13" s="114"/>
      <c r="XDY13" s="114"/>
      <c r="XDZ13" s="114"/>
      <c r="XEA13" s="114"/>
      <c r="XEB13" s="114"/>
      <c r="XEC13" s="114"/>
      <c r="XED13" s="114"/>
      <c r="XEE13" s="114"/>
      <c r="XEF13" s="114"/>
      <c r="XEG13" s="114"/>
      <c r="XEH13" s="114"/>
      <c r="XEI13" s="114"/>
      <c r="XEJ13" s="114"/>
      <c r="XEK13" s="114"/>
      <c r="XEL13" s="114"/>
      <c r="XEM13" s="114"/>
      <c r="XEN13" s="114"/>
      <c r="XEO13" s="114"/>
      <c r="XEP13" s="114"/>
      <c r="XEQ13" s="114"/>
      <c r="XER13" s="114"/>
      <c r="XES13" s="114"/>
      <c r="XET13" s="114"/>
      <c r="XEU13" s="114"/>
      <c r="XEV13" s="114"/>
    </row>
    <row r="14" spans="1:16376" ht="13" x14ac:dyDescent="0.3">
      <c r="A14" s="82"/>
      <c r="B14" s="154">
        <v>24022</v>
      </c>
      <c r="C14" s="118" t="s">
        <v>164</v>
      </c>
      <c r="D14" s="111" t="s">
        <v>2154</v>
      </c>
      <c r="E14" s="111"/>
      <c r="F14" s="119" t="s">
        <v>2057</v>
      </c>
      <c r="G14" s="111" t="s">
        <v>2155</v>
      </c>
      <c r="H14" s="70" t="s">
        <v>2177</v>
      </c>
      <c r="I14" s="111" t="s">
        <v>2031</v>
      </c>
      <c r="J14" s="111"/>
      <c r="K14" s="70"/>
      <c r="L14" s="74"/>
      <c r="M14" s="158" t="s">
        <v>6</v>
      </c>
      <c r="N14" s="118" t="s">
        <v>1854</v>
      </c>
      <c r="O14" s="113">
        <v>45470</v>
      </c>
      <c r="P14" s="117">
        <v>45555</v>
      </c>
      <c r="Q14" s="187">
        <v>45554</v>
      </c>
      <c r="R14" s="161" t="s">
        <v>6</v>
      </c>
      <c r="S14" s="113"/>
      <c r="T14" s="70"/>
      <c r="U14" s="70"/>
      <c r="V14" s="70"/>
      <c r="W14" s="114" t="s">
        <v>1894</v>
      </c>
      <c r="X14" s="194">
        <v>250</v>
      </c>
      <c r="Y14" s="194">
        <v>0</v>
      </c>
      <c r="Z14" s="196">
        <v>250</v>
      </c>
      <c r="AA14" s="148"/>
      <c r="AB14" s="70" t="s">
        <v>2179</v>
      </c>
      <c r="AC14" s="70"/>
      <c r="AD14" s="165" t="s">
        <v>2229</v>
      </c>
      <c r="AE14" s="165" t="s">
        <v>2230</v>
      </c>
      <c r="AF14" s="114"/>
      <c r="AG14" s="114"/>
      <c r="AH14" s="114"/>
      <c r="AI14" s="114"/>
      <c r="AJ14" s="114"/>
      <c r="AK14" s="114"/>
      <c r="AL14" s="114"/>
      <c r="AM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  <c r="BP14" s="114"/>
      <c r="BQ14" s="114"/>
      <c r="BR14" s="114"/>
      <c r="BS14" s="114"/>
      <c r="BT14" s="114"/>
      <c r="BU14" s="114"/>
      <c r="BV14" s="114"/>
      <c r="BW14" s="114"/>
      <c r="BX14" s="114"/>
      <c r="BY14" s="114"/>
      <c r="BZ14" s="114"/>
      <c r="CA14" s="114"/>
      <c r="CB14" s="114"/>
      <c r="CC14" s="114"/>
      <c r="CD14" s="114"/>
      <c r="CE14" s="114"/>
      <c r="CF14" s="114"/>
      <c r="CG14" s="114"/>
      <c r="CH14" s="114"/>
      <c r="CI14" s="114"/>
      <c r="CJ14" s="114"/>
      <c r="CK14" s="114"/>
      <c r="CL14" s="114"/>
      <c r="CM14" s="114"/>
      <c r="CN14" s="114"/>
      <c r="CO14" s="114"/>
      <c r="CP14" s="114"/>
      <c r="CQ14" s="114"/>
      <c r="CR14" s="114"/>
      <c r="CS14" s="114"/>
      <c r="CT14" s="114"/>
      <c r="CU14" s="114"/>
      <c r="CV14" s="114"/>
      <c r="CW14" s="114"/>
      <c r="CX14" s="114"/>
      <c r="CY14" s="114"/>
      <c r="CZ14" s="114"/>
      <c r="DA14" s="114"/>
      <c r="DB14" s="114"/>
      <c r="DC14" s="114"/>
      <c r="DD14" s="114"/>
      <c r="DE14" s="114"/>
      <c r="DF14" s="114"/>
      <c r="DG14" s="114"/>
      <c r="DH14" s="114"/>
      <c r="DI14" s="114"/>
      <c r="DJ14" s="114"/>
      <c r="DK14" s="114"/>
      <c r="DL14" s="114"/>
      <c r="DM14" s="114"/>
      <c r="DN14" s="114"/>
      <c r="DO14" s="114"/>
      <c r="DP14" s="114"/>
      <c r="DQ14" s="114"/>
      <c r="DR14" s="114"/>
      <c r="DS14" s="114"/>
      <c r="DT14" s="114"/>
      <c r="DU14" s="114"/>
      <c r="DV14" s="114"/>
      <c r="DW14" s="114"/>
      <c r="DX14" s="114"/>
      <c r="DY14" s="114"/>
      <c r="DZ14" s="114"/>
      <c r="EA14" s="114"/>
      <c r="EB14" s="114"/>
      <c r="EC14" s="114"/>
      <c r="ED14" s="114"/>
      <c r="EE14" s="114"/>
      <c r="EF14" s="114"/>
      <c r="EG14" s="114"/>
      <c r="EH14" s="114"/>
      <c r="EI14" s="114"/>
      <c r="EJ14" s="114"/>
      <c r="EK14" s="114"/>
      <c r="EL14" s="114"/>
      <c r="EM14" s="114"/>
      <c r="EN14" s="114"/>
      <c r="EO14" s="114"/>
      <c r="EP14" s="114"/>
      <c r="EQ14" s="114"/>
      <c r="ER14" s="114"/>
      <c r="ES14" s="114"/>
      <c r="ET14" s="114"/>
      <c r="EU14" s="114"/>
      <c r="EV14" s="114"/>
      <c r="EW14" s="114"/>
      <c r="EX14" s="114"/>
      <c r="EY14" s="114"/>
      <c r="EZ14" s="114"/>
      <c r="FA14" s="114"/>
      <c r="FB14" s="114"/>
      <c r="FC14" s="114"/>
      <c r="FD14" s="114"/>
      <c r="FE14" s="114"/>
      <c r="FF14" s="114"/>
      <c r="FG14" s="114"/>
      <c r="FH14" s="114"/>
      <c r="FI14" s="114"/>
      <c r="FJ14" s="114"/>
      <c r="FK14" s="114"/>
      <c r="FL14" s="114"/>
      <c r="FM14" s="114"/>
      <c r="FN14" s="114"/>
      <c r="FO14" s="114"/>
      <c r="FP14" s="114"/>
      <c r="FQ14" s="114"/>
      <c r="FR14" s="114"/>
      <c r="FS14" s="114"/>
      <c r="FT14" s="114"/>
      <c r="FU14" s="114"/>
      <c r="FV14" s="114"/>
      <c r="FW14" s="114"/>
      <c r="FX14" s="114"/>
      <c r="FY14" s="114"/>
      <c r="FZ14" s="114"/>
      <c r="GA14" s="114"/>
      <c r="GB14" s="114"/>
      <c r="GC14" s="114"/>
      <c r="GD14" s="114"/>
      <c r="GE14" s="114"/>
      <c r="GF14" s="114"/>
      <c r="GG14" s="114"/>
      <c r="GH14" s="114"/>
      <c r="GI14" s="114"/>
      <c r="GJ14" s="114"/>
      <c r="GK14" s="114"/>
      <c r="GL14" s="114"/>
      <c r="GM14" s="114"/>
      <c r="GN14" s="114"/>
      <c r="GO14" s="114"/>
      <c r="GP14" s="114"/>
      <c r="GQ14" s="114"/>
      <c r="GR14" s="114"/>
      <c r="GS14" s="114"/>
      <c r="GT14" s="114"/>
      <c r="GU14" s="114"/>
      <c r="GV14" s="114"/>
      <c r="GW14" s="114"/>
      <c r="GX14" s="114"/>
      <c r="GY14" s="114"/>
      <c r="GZ14" s="114"/>
      <c r="HA14" s="114"/>
      <c r="HB14" s="114"/>
      <c r="HC14" s="114"/>
      <c r="HD14" s="114"/>
      <c r="HE14" s="114"/>
      <c r="HF14" s="114"/>
      <c r="HG14" s="114"/>
      <c r="HH14" s="114"/>
      <c r="HI14" s="114"/>
      <c r="HJ14" s="114"/>
      <c r="HK14" s="114"/>
      <c r="HL14" s="114"/>
      <c r="HM14" s="114"/>
      <c r="HN14" s="114"/>
      <c r="HO14" s="114"/>
      <c r="HP14" s="114"/>
      <c r="HQ14" s="114"/>
      <c r="HR14" s="114"/>
      <c r="HS14" s="114"/>
      <c r="HT14" s="114"/>
      <c r="HU14" s="114"/>
      <c r="HV14" s="114"/>
      <c r="HW14" s="114"/>
      <c r="HX14" s="114"/>
      <c r="HY14" s="114"/>
      <c r="HZ14" s="114"/>
      <c r="IA14" s="114"/>
      <c r="IB14" s="114"/>
      <c r="IC14" s="114"/>
      <c r="ID14" s="114"/>
      <c r="IE14" s="114"/>
      <c r="IF14" s="114"/>
      <c r="IG14" s="114"/>
      <c r="IH14" s="114"/>
      <c r="II14" s="114"/>
      <c r="IJ14" s="114"/>
      <c r="IK14" s="114"/>
      <c r="IL14" s="114"/>
      <c r="IM14" s="114"/>
      <c r="IN14" s="114"/>
      <c r="IO14" s="114"/>
      <c r="IP14" s="114"/>
      <c r="IQ14" s="114"/>
      <c r="IR14" s="114"/>
      <c r="IS14" s="114"/>
      <c r="IT14" s="114"/>
      <c r="IU14" s="114"/>
      <c r="IV14" s="114"/>
      <c r="IW14" s="114"/>
      <c r="IX14" s="114"/>
      <c r="IY14" s="114"/>
      <c r="IZ14" s="114"/>
      <c r="JA14" s="114"/>
      <c r="JB14" s="114"/>
      <c r="JC14" s="114"/>
      <c r="JD14" s="114"/>
      <c r="JE14" s="114"/>
      <c r="JF14" s="114"/>
      <c r="JG14" s="114"/>
      <c r="JH14" s="114"/>
      <c r="JI14" s="114"/>
      <c r="JJ14" s="114"/>
      <c r="JK14" s="114"/>
      <c r="JL14" s="114"/>
      <c r="JM14" s="114"/>
      <c r="JN14" s="114"/>
      <c r="JO14" s="114"/>
      <c r="JP14" s="114"/>
      <c r="JQ14" s="114"/>
      <c r="JR14" s="114"/>
      <c r="JS14" s="114"/>
      <c r="JT14" s="114"/>
      <c r="JU14" s="114"/>
      <c r="JV14" s="114"/>
      <c r="JW14" s="114"/>
      <c r="JX14" s="114"/>
      <c r="JY14" s="114"/>
      <c r="JZ14" s="114"/>
      <c r="KA14" s="114"/>
      <c r="KB14" s="114"/>
      <c r="KC14" s="114"/>
      <c r="KD14" s="114"/>
      <c r="KE14" s="114"/>
      <c r="KF14" s="114"/>
      <c r="KG14" s="114"/>
      <c r="KH14" s="114"/>
      <c r="KI14" s="114"/>
      <c r="KJ14" s="114"/>
      <c r="KK14" s="114"/>
      <c r="KL14" s="114"/>
      <c r="KM14" s="114"/>
      <c r="KN14" s="114"/>
      <c r="KO14" s="114"/>
      <c r="KP14" s="114"/>
      <c r="KQ14" s="114"/>
      <c r="KR14" s="114"/>
      <c r="KS14" s="114"/>
      <c r="KT14" s="114"/>
      <c r="KU14" s="114"/>
      <c r="KV14" s="114"/>
      <c r="KW14" s="114"/>
      <c r="KX14" s="114"/>
      <c r="KY14" s="114"/>
      <c r="KZ14" s="114"/>
      <c r="LA14" s="114"/>
      <c r="LB14" s="114"/>
      <c r="LC14" s="114"/>
      <c r="LD14" s="114"/>
      <c r="LE14" s="114"/>
      <c r="LF14" s="114"/>
      <c r="LG14" s="114"/>
      <c r="LH14" s="114"/>
      <c r="LI14" s="114"/>
      <c r="LJ14" s="114"/>
      <c r="LK14" s="114"/>
      <c r="LL14" s="114"/>
      <c r="LM14" s="114"/>
      <c r="LN14" s="114"/>
      <c r="LO14" s="114"/>
      <c r="LP14" s="114"/>
      <c r="LQ14" s="114"/>
      <c r="LR14" s="114"/>
      <c r="LS14" s="114"/>
      <c r="LT14" s="114"/>
      <c r="LU14" s="114"/>
      <c r="LV14" s="114"/>
      <c r="LW14" s="114"/>
      <c r="LX14" s="114"/>
      <c r="LY14" s="114"/>
      <c r="LZ14" s="114"/>
      <c r="MA14" s="114"/>
      <c r="MB14" s="114"/>
      <c r="MC14" s="114"/>
      <c r="MD14" s="114"/>
      <c r="ME14" s="114"/>
      <c r="MF14" s="114"/>
      <c r="MG14" s="114"/>
      <c r="MH14" s="114"/>
      <c r="MI14" s="114"/>
      <c r="MJ14" s="114"/>
      <c r="MK14" s="114"/>
      <c r="ML14" s="114"/>
      <c r="MM14" s="114"/>
      <c r="MN14" s="114"/>
      <c r="MO14" s="114"/>
      <c r="MP14" s="114"/>
      <c r="MQ14" s="114"/>
      <c r="MR14" s="114"/>
      <c r="MS14" s="114"/>
      <c r="MT14" s="114"/>
      <c r="MU14" s="114"/>
      <c r="MV14" s="114"/>
      <c r="MW14" s="114"/>
      <c r="MX14" s="114"/>
      <c r="MY14" s="114"/>
      <c r="MZ14" s="114"/>
      <c r="NA14" s="114"/>
      <c r="NB14" s="114"/>
      <c r="NC14" s="114"/>
      <c r="ND14" s="114"/>
      <c r="NE14" s="114"/>
      <c r="NF14" s="114"/>
      <c r="NG14" s="114"/>
      <c r="NH14" s="114"/>
      <c r="NI14" s="114"/>
      <c r="NJ14" s="114"/>
      <c r="NK14" s="114"/>
      <c r="NL14" s="114"/>
      <c r="NM14" s="114"/>
      <c r="NN14" s="114"/>
      <c r="NO14" s="114"/>
      <c r="NP14" s="114"/>
      <c r="NQ14" s="114"/>
      <c r="NR14" s="114"/>
      <c r="NS14" s="114"/>
      <c r="NT14" s="114"/>
      <c r="NU14" s="114"/>
      <c r="NV14" s="114"/>
      <c r="NW14" s="114"/>
      <c r="NX14" s="114"/>
      <c r="NY14" s="114"/>
      <c r="NZ14" s="114"/>
      <c r="OA14" s="114"/>
      <c r="OB14" s="114"/>
      <c r="OC14" s="114"/>
      <c r="OD14" s="114"/>
      <c r="OE14" s="114"/>
      <c r="OF14" s="114"/>
      <c r="OG14" s="114"/>
      <c r="OH14" s="114"/>
      <c r="OI14" s="114"/>
      <c r="OJ14" s="114"/>
      <c r="OK14" s="114"/>
      <c r="OL14" s="114"/>
      <c r="OM14" s="114"/>
      <c r="ON14" s="114"/>
      <c r="OO14" s="114"/>
      <c r="OP14" s="114"/>
      <c r="OQ14" s="114"/>
      <c r="OR14" s="114"/>
      <c r="OS14" s="114"/>
      <c r="OT14" s="114"/>
      <c r="OU14" s="114"/>
      <c r="OV14" s="114"/>
      <c r="OW14" s="114"/>
      <c r="OX14" s="114"/>
      <c r="OY14" s="114"/>
      <c r="OZ14" s="114"/>
      <c r="PA14" s="114"/>
      <c r="PB14" s="114"/>
      <c r="PC14" s="114"/>
      <c r="PD14" s="114"/>
      <c r="PE14" s="114"/>
      <c r="PF14" s="114"/>
      <c r="PG14" s="114"/>
      <c r="PH14" s="114"/>
      <c r="PI14" s="114"/>
      <c r="PJ14" s="114"/>
      <c r="PK14" s="114"/>
      <c r="PL14" s="114"/>
      <c r="PM14" s="114"/>
      <c r="PN14" s="114"/>
      <c r="PO14" s="114"/>
      <c r="PP14" s="114"/>
      <c r="PQ14" s="114"/>
      <c r="PR14" s="114"/>
      <c r="PS14" s="114"/>
      <c r="PT14" s="114"/>
      <c r="PU14" s="114"/>
      <c r="PV14" s="114"/>
      <c r="PW14" s="114"/>
      <c r="PX14" s="114"/>
      <c r="PY14" s="114"/>
      <c r="PZ14" s="114"/>
      <c r="QA14" s="114"/>
      <c r="QB14" s="114"/>
      <c r="QC14" s="114"/>
      <c r="QD14" s="114"/>
      <c r="QE14" s="114"/>
      <c r="QF14" s="114"/>
      <c r="QG14" s="114"/>
      <c r="QH14" s="114"/>
      <c r="QI14" s="114"/>
      <c r="QJ14" s="114"/>
      <c r="QK14" s="114"/>
      <c r="QL14" s="114"/>
      <c r="QM14" s="114"/>
      <c r="QN14" s="114"/>
      <c r="QO14" s="114"/>
      <c r="QP14" s="114"/>
      <c r="QQ14" s="114"/>
      <c r="QR14" s="114"/>
      <c r="QS14" s="114"/>
      <c r="QT14" s="114"/>
      <c r="QU14" s="114"/>
      <c r="QV14" s="114"/>
      <c r="QW14" s="114"/>
      <c r="QX14" s="114"/>
      <c r="QY14" s="114"/>
      <c r="QZ14" s="114"/>
      <c r="RA14" s="114"/>
      <c r="RB14" s="114"/>
      <c r="RC14" s="114"/>
      <c r="RD14" s="114"/>
      <c r="RE14" s="114"/>
      <c r="RF14" s="114"/>
      <c r="RG14" s="114"/>
      <c r="RH14" s="114"/>
      <c r="RI14" s="114"/>
      <c r="RJ14" s="114"/>
      <c r="RK14" s="114"/>
      <c r="RL14" s="114"/>
      <c r="RM14" s="114"/>
      <c r="RN14" s="114"/>
      <c r="RO14" s="114"/>
      <c r="RP14" s="114"/>
      <c r="RQ14" s="114"/>
      <c r="RR14" s="114"/>
      <c r="RS14" s="114"/>
      <c r="RT14" s="114"/>
      <c r="RU14" s="114"/>
      <c r="RV14" s="114"/>
      <c r="RW14" s="114"/>
      <c r="RX14" s="114"/>
      <c r="RY14" s="114"/>
      <c r="RZ14" s="114"/>
      <c r="SA14" s="114"/>
      <c r="SB14" s="114"/>
      <c r="SC14" s="114"/>
      <c r="SD14" s="114"/>
      <c r="SE14" s="114"/>
      <c r="SF14" s="114"/>
      <c r="SG14" s="114"/>
      <c r="SH14" s="114"/>
      <c r="SI14" s="114"/>
      <c r="SJ14" s="114"/>
      <c r="SK14" s="114"/>
      <c r="SL14" s="114"/>
      <c r="SM14" s="114"/>
      <c r="SN14" s="114"/>
      <c r="SO14" s="114"/>
      <c r="SP14" s="114"/>
      <c r="SQ14" s="114"/>
      <c r="SR14" s="114"/>
      <c r="SS14" s="114"/>
      <c r="ST14" s="114"/>
      <c r="SU14" s="114"/>
      <c r="SV14" s="114"/>
      <c r="SW14" s="114"/>
      <c r="SX14" s="114"/>
      <c r="SY14" s="114"/>
      <c r="SZ14" s="114"/>
      <c r="TA14" s="114"/>
      <c r="TB14" s="114"/>
      <c r="TC14" s="114"/>
      <c r="TD14" s="114"/>
      <c r="TE14" s="114"/>
      <c r="TF14" s="114"/>
      <c r="TG14" s="114"/>
      <c r="TH14" s="114"/>
      <c r="TI14" s="114"/>
      <c r="TJ14" s="114"/>
      <c r="TK14" s="114"/>
      <c r="TL14" s="114"/>
      <c r="TM14" s="114"/>
      <c r="TN14" s="114"/>
      <c r="TO14" s="114"/>
      <c r="TP14" s="114"/>
      <c r="TQ14" s="114"/>
      <c r="TR14" s="114"/>
      <c r="TS14" s="114"/>
      <c r="TT14" s="114"/>
      <c r="TU14" s="114"/>
      <c r="TV14" s="114"/>
      <c r="TW14" s="114"/>
      <c r="TX14" s="114"/>
      <c r="TY14" s="114"/>
      <c r="TZ14" s="114"/>
      <c r="UA14" s="114"/>
      <c r="UB14" s="114"/>
      <c r="UC14" s="114"/>
      <c r="UD14" s="114"/>
      <c r="UE14" s="114"/>
      <c r="UF14" s="114"/>
      <c r="UG14" s="114"/>
      <c r="UH14" s="114"/>
      <c r="UI14" s="114"/>
      <c r="UJ14" s="114"/>
      <c r="UK14" s="114"/>
      <c r="UL14" s="114"/>
      <c r="UM14" s="114"/>
      <c r="UN14" s="114"/>
      <c r="UO14" s="114"/>
      <c r="UP14" s="114"/>
      <c r="UQ14" s="114"/>
      <c r="UR14" s="114"/>
      <c r="US14" s="114"/>
      <c r="UT14" s="114"/>
      <c r="UU14" s="114"/>
      <c r="UV14" s="114"/>
      <c r="UW14" s="114"/>
      <c r="UX14" s="114"/>
      <c r="UY14" s="114"/>
      <c r="UZ14" s="114"/>
      <c r="VA14" s="114"/>
      <c r="VB14" s="114"/>
      <c r="VC14" s="114"/>
      <c r="VD14" s="114"/>
      <c r="VE14" s="114"/>
      <c r="VF14" s="114"/>
      <c r="VG14" s="114"/>
      <c r="VH14" s="114"/>
      <c r="VI14" s="114"/>
      <c r="VJ14" s="114"/>
      <c r="VK14" s="114"/>
      <c r="VL14" s="114"/>
      <c r="VM14" s="114"/>
      <c r="VN14" s="114"/>
      <c r="VO14" s="114"/>
      <c r="VP14" s="114"/>
      <c r="VQ14" s="114"/>
      <c r="VR14" s="114"/>
      <c r="VS14" s="114"/>
      <c r="VT14" s="114"/>
      <c r="VU14" s="114"/>
      <c r="VV14" s="114"/>
      <c r="VW14" s="114"/>
      <c r="VX14" s="114"/>
      <c r="VY14" s="114"/>
      <c r="VZ14" s="114"/>
      <c r="WA14" s="114"/>
      <c r="WB14" s="114"/>
      <c r="WC14" s="114"/>
      <c r="WD14" s="114"/>
      <c r="WE14" s="114"/>
      <c r="WF14" s="114"/>
      <c r="WG14" s="114"/>
      <c r="WH14" s="114"/>
      <c r="WI14" s="114"/>
      <c r="WJ14" s="114"/>
      <c r="WK14" s="114"/>
      <c r="WL14" s="114"/>
      <c r="WM14" s="114"/>
      <c r="WN14" s="114"/>
      <c r="WO14" s="114"/>
      <c r="WP14" s="114"/>
      <c r="WQ14" s="114"/>
      <c r="WR14" s="114"/>
      <c r="WS14" s="114"/>
      <c r="WT14" s="114"/>
      <c r="WU14" s="114"/>
      <c r="WV14" s="114"/>
      <c r="WW14" s="114"/>
      <c r="WX14" s="114"/>
      <c r="WY14" s="114"/>
      <c r="WZ14" s="114"/>
      <c r="XA14" s="114"/>
      <c r="XB14" s="114"/>
      <c r="XC14" s="114"/>
      <c r="XD14" s="114"/>
      <c r="XE14" s="114"/>
      <c r="XF14" s="114"/>
      <c r="XG14" s="114"/>
      <c r="XH14" s="114"/>
      <c r="XI14" s="114"/>
      <c r="XJ14" s="114"/>
      <c r="XK14" s="114"/>
      <c r="XL14" s="114"/>
      <c r="XM14" s="114"/>
      <c r="XN14" s="114"/>
      <c r="XO14" s="114"/>
      <c r="XP14" s="114"/>
      <c r="XQ14" s="114"/>
      <c r="XR14" s="114"/>
      <c r="XS14" s="114"/>
      <c r="XT14" s="114"/>
      <c r="XU14" s="114"/>
      <c r="XV14" s="114"/>
      <c r="XW14" s="114"/>
      <c r="XX14" s="114"/>
      <c r="XY14" s="114"/>
      <c r="XZ14" s="114"/>
      <c r="YA14" s="114"/>
      <c r="YB14" s="114"/>
      <c r="YC14" s="114"/>
      <c r="YD14" s="114"/>
      <c r="YE14" s="114"/>
      <c r="YF14" s="114"/>
      <c r="YG14" s="114"/>
      <c r="YH14" s="114"/>
      <c r="YI14" s="114"/>
      <c r="YJ14" s="114"/>
      <c r="YK14" s="114"/>
      <c r="YL14" s="114"/>
      <c r="YM14" s="114"/>
      <c r="YN14" s="114"/>
      <c r="YO14" s="114"/>
      <c r="YP14" s="114"/>
      <c r="YQ14" s="114"/>
      <c r="YR14" s="114"/>
      <c r="YS14" s="114"/>
      <c r="YT14" s="114"/>
      <c r="YU14" s="114"/>
      <c r="YV14" s="114"/>
      <c r="YW14" s="114"/>
      <c r="YX14" s="114"/>
      <c r="YY14" s="114"/>
      <c r="YZ14" s="114"/>
      <c r="ZA14" s="114"/>
      <c r="ZB14" s="114"/>
      <c r="ZC14" s="114"/>
      <c r="ZD14" s="114"/>
      <c r="ZE14" s="114"/>
      <c r="ZF14" s="114"/>
      <c r="ZG14" s="114"/>
      <c r="ZH14" s="114"/>
      <c r="ZI14" s="114"/>
      <c r="ZJ14" s="114"/>
      <c r="ZK14" s="114"/>
      <c r="ZL14" s="114"/>
      <c r="ZM14" s="114"/>
      <c r="ZN14" s="114"/>
      <c r="ZO14" s="114"/>
      <c r="ZP14" s="114"/>
      <c r="ZQ14" s="114"/>
      <c r="ZR14" s="114"/>
      <c r="ZS14" s="114"/>
      <c r="ZT14" s="114"/>
      <c r="ZU14" s="114"/>
      <c r="ZV14" s="114"/>
      <c r="ZW14" s="114"/>
      <c r="ZX14" s="114"/>
      <c r="ZY14" s="114"/>
      <c r="ZZ14" s="114"/>
      <c r="AAA14" s="114"/>
      <c r="AAB14" s="114"/>
      <c r="AAC14" s="114"/>
      <c r="AAD14" s="114"/>
      <c r="AAE14" s="114"/>
      <c r="AAF14" s="114"/>
      <c r="AAG14" s="114"/>
      <c r="AAH14" s="114"/>
      <c r="AAI14" s="114"/>
      <c r="AAJ14" s="114"/>
      <c r="AAK14" s="114"/>
      <c r="AAL14" s="114"/>
      <c r="AAM14" s="114"/>
      <c r="AAN14" s="114"/>
      <c r="AAO14" s="114"/>
      <c r="AAP14" s="114"/>
      <c r="AAQ14" s="114"/>
      <c r="AAR14" s="114"/>
      <c r="AAS14" s="114"/>
      <c r="AAT14" s="114"/>
      <c r="AAU14" s="114"/>
      <c r="AAV14" s="114"/>
      <c r="AAW14" s="114"/>
      <c r="AAX14" s="114"/>
      <c r="AAY14" s="114"/>
      <c r="AAZ14" s="114"/>
      <c r="ABA14" s="114"/>
      <c r="ABB14" s="114"/>
      <c r="ABC14" s="114"/>
      <c r="ABD14" s="114"/>
      <c r="ABE14" s="114"/>
      <c r="ABF14" s="114"/>
      <c r="ABG14" s="114"/>
      <c r="ABH14" s="114"/>
      <c r="ABI14" s="114"/>
      <c r="ABJ14" s="114"/>
      <c r="ABK14" s="114"/>
      <c r="ABL14" s="114"/>
      <c r="ABM14" s="114"/>
      <c r="ABN14" s="114"/>
      <c r="ABO14" s="114"/>
      <c r="ABP14" s="114"/>
      <c r="ABQ14" s="114"/>
      <c r="ABR14" s="114"/>
      <c r="ABS14" s="114"/>
      <c r="ABT14" s="114"/>
      <c r="ABU14" s="114"/>
      <c r="ABV14" s="114"/>
      <c r="ABW14" s="114"/>
      <c r="ABX14" s="114"/>
      <c r="ABY14" s="114"/>
      <c r="ABZ14" s="114"/>
      <c r="ACA14" s="114"/>
      <c r="ACB14" s="114"/>
      <c r="ACC14" s="114"/>
      <c r="ACD14" s="114"/>
      <c r="ACE14" s="114"/>
      <c r="ACF14" s="114"/>
      <c r="ACG14" s="114"/>
      <c r="ACH14" s="114"/>
      <c r="ACI14" s="114"/>
      <c r="ACJ14" s="114"/>
      <c r="ACK14" s="114"/>
      <c r="ACL14" s="114"/>
      <c r="ACM14" s="114"/>
      <c r="ACN14" s="114"/>
      <c r="ACO14" s="114"/>
      <c r="ACP14" s="114"/>
      <c r="ACQ14" s="114"/>
      <c r="ACR14" s="114"/>
      <c r="ACS14" s="114"/>
      <c r="ACT14" s="114"/>
      <c r="ACU14" s="114"/>
      <c r="ACV14" s="114"/>
      <c r="ACW14" s="114"/>
      <c r="ACX14" s="114"/>
      <c r="ACY14" s="114"/>
      <c r="ACZ14" s="114"/>
      <c r="ADA14" s="114"/>
      <c r="ADB14" s="114"/>
      <c r="ADC14" s="114"/>
      <c r="ADD14" s="114"/>
      <c r="ADE14" s="114"/>
      <c r="ADF14" s="114"/>
      <c r="ADG14" s="114"/>
      <c r="ADH14" s="114"/>
      <c r="ADI14" s="114"/>
      <c r="ADJ14" s="114"/>
      <c r="ADK14" s="114"/>
      <c r="ADL14" s="114"/>
      <c r="ADM14" s="114"/>
      <c r="ADN14" s="114"/>
      <c r="ADO14" s="114"/>
      <c r="ADP14" s="114"/>
      <c r="ADQ14" s="114"/>
      <c r="ADR14" s="114"/>
      <c r="ADS14" s="114"/>
      <c r="ADT14" s="114"/>
      <c r="ADU14" s="114"/>
      <c r="ADV14" s="114"/>
      <c r="ADW14" s="114"/>
      <c r="ADX14" s="114"/>
      <c r="ADY14" s="114"/>
      <c r="ADZ14" s="114"/>
      <c r="AEA14" s="114"/>
      <c r="AEB14" s="114"/>
      <c r="AEC14" s="114"/>
      <c r="AED14" s="114"/>
      <c r="AEE14" s="114"/>
      <c r="AEF14" s="114"/>
      <c r="AEG14" s="114"/>
      <c r="AEH14" s="114"/>
      <c r="AEI14" s="114"/>
      <c r="AEJ14" s="114"/>
      <c r="AEK14" s="114"/>
      <c r="AEL14" s="114"/>
      <c r="AEM14" s="114"/>
      <c r="AEN14" s="114"/>
      <c r="AEO14" s="114"/>
      <c r="AEP14" s="114"/>
      <c r="AEQ14" s="114"/>
      <c r="AER14" s="114"/>
      <c r="AES14" s="114"/>
      <c r="AET14" s="114"/>
      <c r="AEU14" s="114"/>
      <c r="AEV14" s="114"/>
      <c r="AEW14" s="114"/>
      <c r="AEX14" s="114"/>
      <c r="AEY14" s="114"/>
      <c r="AEZ14" s="114"/>
      <c r="AFA14" s="114"/>
      <c r="AFB14" s="114"/>
      <c r="AFC14" s="114"/>
      <c r="AFD14" s="114"/>
      <c r="AFE14" s="114"/>
      <c r="AFF14" s="114"/>
      <c r="AFG14" s="114"/>
      <c r="AFH14" s="114"/>
      <c r="AFI14" s="114"/>
      <c r="AFJ14" s="114"/>
      <c r="AFK14" s="114"/>
      <c r="AFL14" s="114"/>
      <c r="AFM14" s="114"/>
      <c r="AFN14" s="114"/>
      <c r="AFO14" s="114"/>
      <c r="AFP14" s="114"/>
      <c r="AFQ14" s="114"/>
      <c r="AFR14" s="114"/>
      <c r="AFS14" s="114"/>
      <c r="AFT14" s="114"/>
      <c r="AFU14" s="114"/>
      <c r="AFV14" s="114"/>
      <c r="AFW14" s="114"/>
      <c r="AFX14" s="114"/>
      <c r="AFY14" s="114"/>
      <c r="AFZ14" s="114"/>
      <c r="AGA14" s="114"/>
      <c r="AGB14" s="114"/>
      <c r="AGC14" s="114"/>
      <c r="AGD14" s="114"/>
      <c r="AGE14" s="114"/>
      <c r="AGF14" s="114"/>
      <c r="AGG14" s="114"/>
      <c r="AGH14" s="114"/>
      <c r="AGI14" s="114"/>
      <c r="AGJ14" s="114"/>
      <c r="AGK14" s="114"/>
      <c r="AGL14" s="114"/>
      <c r="AGM14" s="114"/>
      <c r="AGN14" s="114"/>
      <c r="AGO14" s="114"/>
      <c r="AGP14" s="114"/>
      <c r="AGQ14" s="114"/>
      <c r="AGR14" s="114"/>
      <c r="AGS14" s="114"/>
      <c r="AGT14" s="114"/>
      <c r="AGU14" s="114"/>
      <c r="AGV14" s="114"/>
      <c r="AGW14" s="114"/>
      <c r="AGX14" s="114"/>
      <c r="AGY14" s="114"/>
      <c r="AGZ14" s="114"/>
      <c r="AHA14" s="114"/>
      <c r="AHB14" s="114"/>
      <c r="AHC14" s="114"/>
      <c r="AHD14" s="114"/>
      <c r="AHE14" s="114"/>
      <c r="AHF14" s="114"/>
      <c r="AHG14" s="114"/>
      <c r="AHH14" s="114"/>
      <c r="AHI14" s="114"/>
      <c r="AHJ14" s="114"/>
      <c r="AHK14" s="114"/>
      <c r="AHL14" s="114"/>
      <c r="AHM14" s="114"/>
      <c r="AHN14" s="114"/>
      <c r="AHO14" s="114"/>
      <c r="AHP14" s="114"/>
      <c r="AHQ14" s="114"/>
      <c r="AHR14" s="114"/>
      <c r="AHS14" s="114"/>
      <c r="AHT14" s="114"/>
      <c r="AHU14" s="114"/>
      <c r="AHV14" s="114"/>
      <c r="AHW14" s="114"/>
      <c r="AHX14" s="114"/>
      <c r="AHY14" s="114"/>
      <c r="AHZ14" s="114"/>
      <c r="AIA14" s="114"/>
      <c r="AIB14" s="114"/>
      <c r="AIC14" s="114"/>
      <c r="AID14" s="114"/>
      <c r="AIE14" s="114"/>
      <c r="AIF14" s="114"/>
      <c r="AIG14" s="114"/>
      <c r="AIH14" s="114"/>
      <c r="AII14" s="114"/>
      <c r="AIJ14" s="114"/>
      <c r="AIK14" s="114"/>
      <c r="AIL14" s="114"/>
      <c r="AIM14" s="114"/>
      <c r="AIN14" s="114"/>
      <c r="AIO14" s="114"/>
      <c r="AIP14" s="114"/>
      <c r="AIQ14" s="114"/>
      <c r="AIR14" s="114"/>
      <c r="AIS14" s="114"/>
      <c r="AIT14" s="114"/>
      <c r="AIU14" s="114"/>
      <c r="AIV14" s="114"/>
      <c r="AIW14" s="114"/>
      <c r="AIX14" s="114"/>
      <c r="AIY14" s="114"/>
      <c r="AIZ14" s="114"/>
      <c r="AJA14" s="114"/>
      <c r="AJB14" s="114"/>
      <c r="AJC14" s="114"/>
      <c r="AJD14" s="114"/>
      <c r="AJE14" s="114"/>
      <c r="AJF14" s="114"/>
      <c r="AJG14" s="114"/>
      <c r="AJH14" s="114"/>
      <c r="AJI14" s="114"/>
      <c r="AJJ14" s="114"/>
      <c r="AJK14" s="114"/>
      <c r="AJL14" s="114"/>
      <c r="AJM14" s="114"/>
      <c r="AJN14" s="114"/>
      <c r="AJO14" s="114"/>
      <c r="AJP14" s="114"/>
      <c r="AJQ14" s="114"/>
      <c r="AJR14" s="114"/>
      <c r="AJS14" s="114"/>
      <c r="AJT14" s="114"/>
      <c r="AJU14" s="114"/>
      <c r="AJV14" s="114"/>
      <c r="AJW14" s="114"/>
      <c r="AJX14" s="114"/>
      <c r="AJY14" s="114"/>
      <c r="AJZ14" s="114"/>
      <c r="AKA14" s="114"/>
      <c r="AKB14" s="114"/>
      <c r="AKC14" s="114"/>
      <c r="AKD14" s="114"/>
      <c r="AKE14" s="114"/>
      <c r="AKF14" s="114"/>
      <c r="AKG14" s="114"/>
      <c r="AKH14" s="114"/>
      <c r="AKI14" s="114"/>
      <c r="AKJ14" s="114"/>
      <c r="AKK14" s="114"/>
      <c r="AKL14" s="114"/>
      <c r="AKM14" s="114"/>
      <c r="AKN14" s="114"/>
      <c r="AKO14" s="114"/>
      <c r="AKP14" s="114"/>
      <c r="AKQ14" s="114"/>
      <c r="AKR14" s="114"/>
      <c r="AKS14" s="114"/>
      <c r="AKT14" s="114"/>
      <c r="AKU14" s="114"/>
      <c r="AKV14" s="114"/>
      <c r="AKW14" s="114"/>
      <c r="AKX14" s="114"/>
      <c r="AKY14" s="114"/>
      <c r="AKZ14" s="114"/>
      <c r="ALA14" s="114"/>
      <c r="ALB14" s="114"/>
      <c r="ALC14" s="114"/>
      <c r="ALD14" s="114"/>
      <c r="ALE14" s="114"/>
      <c r="ALF14" s="114"/>
      <c r="ALG14" s="114"/>
      <c r="ALH14" s="114"/>
      <c r="ALI14" s="114"/>
      <c r="ALJ14" s="114"/>
      <c r="ALK14" s="114"/>
      <c r="ALL14" s="114"/>
      <c r="ALM14" s="114"/>
      <c r="ALN14" s="114"/>
      <c r="ALO14" s="114"/>
      <c r="ALP14" s="114"/>
      <c r="ALQ14" s="114"/>
      <c r="ALR14" s="114"/>
      <c r="ALS14" s="114"/>
      <c r="ALT14" s="114"/>
      <c r="ALU14" s="114"/>
      <c r="ALV14" s="114"/>
      <c r="ALW14" s="114"/>
      <c r="ALX14" s="114"/>
      <c r="ALY14" s="114"/>
      <c r="ALZ14" s="114"/>
      <c r="AMA14" s="114"/>
      <c r="AMB14" s="114"/>
      <c r="AMC14" s="114"/>
      <c r="AMD14" s="114"/>
      <c r="AME14" s="114"/>
      <c r="AMF14" s="114"/>
      <c r="AMG14" s="114"/>
      <c r="AMH14" s="114"/>
      <c r="AMI14" s="114"/>
      <c r="AMJ14" s="114"/>
      <c r="AMK14" s="114"/>
      <c r="AML14" s="114"/>
      <c r="AMM14" s="114"/>
      <c r="AMN14" s="114"/>
      <c r="AMO14" s="114"/>
      <c r="AMP14" s="114"/>
      <c r="AMQ14" s="114"/>
      <c r="AMR14" s="114"/>
      <c r="AMS14" s="114"/>
      <c r="AMT14" s="114"/>
      <c r="AMU14" s="114"/>
      <c r="AMV14" s="114"/>
      <c r="AMW14" s="114"/>
      <c r="AMX14" s="114"/>
      <c r="AMY14" s="114"/>
      <c r="AMZ14" s="114"/>
      <c r="ANA14" s="114"/>
      <c r="ANB14" s="114"/>
      <c r="ANC14" s="114"/>
      <c r="AND14" s="114"/>
      <c r="ANE14" s="114"/>
      <c r="ANF14" s="114"/>
      <c r="ANG14" s="114"/>
      <c r="ANH14" s="114"/>
      <c r="ANI14" s="114"/>
      <c r="ANJ14" s="114"/>
      <c r="ANK14" s="114"/>
      <c r="ANL14" s="114"/>
      <c r="ANM14" s="114"/>
      <c r="ANN14" s="114"/>
      <c r="ANO14" s="114"/>
      <c r="ANP14" s="114"/>
      <c r="ANQ14" s="114"/>
      <c r="ANR14" s="114"/>
      <c r="ANS14" s="114"/>
      <c r="ANT14" s="114"/>
      <c r="ANU14" s="114"/>
      <c r="ANV14" s="114"/>
      <c r="ANW14" s="114"/>
      <c r="ANX14" s="114"/>
      <c r="ANY14" s="114"/>
      <c r="ANZ14" s="114"/>
      <c r="AOA14" s="114"/>
      <c r="AOB14" s="114"/>
      <c r="AOC14" s="114"/>
      <c r="AOD14" s="114"/>
      <c r="AOE14" s="114"/>
      <c r="AOF14" s="114"/>
      <c r="AOG14" s="114"/>
      <c r="AOH14" s="114"/>
      <c r="AOI14" s="114"/>
      <c r="AOJ14" s="114"/>
      <c r="AOK14" s="114"/>
      <c r="AOL14" s="114"/>
      <c r="AOM14" s="114"/>
      <c r="AON14" s="114"/>
      <c r="AOO14" s="114"/>
      <c r="AOP14" s="114"/>
      <c r="AOQ14" s="114"/>
      <c r="AOR14" s="114"/>
      <c r="AOS14" s="114"/>
      <c r="AOT14" s="114"/>
      <c r="AOU14" s="114"/>
      <c r="AOV14" s="114"/>
      <c r="AOW14" s="114"/>
      <c r="AOX14" s="114"/>
      <c r="AOY14" s="114"/>
      <c r="AOZ14" s="114"/>
      <c r="APA14" s="114"/>
      <c r="APB14" s="114"/>
      <c r="APC14" s="114"/>
      <c r="APD14" s="114"/>
      <c r="APE14" s="114"/>
      <c r="APF14" s="114"/>
      <c r="APG14" s="114"/>
      <c r="APH14" s="114"/>
      <c r="API14" s="114"/>
      <c r="APJ14" s="114"/>
      <c r="APK14" s="114"/>
      <c r="APL14" s="114"/>
      <c r="APM14" s="114"/>
      <c r="APN14" s="114"/>
      <c r="APO14" s="114"/>
      <c r="APP14" s="114"/>
      <c r="APQ14" s="114"/>
      <c r="APR14" s="114"/>
      <c r="APS14" s="114"/>
      <c r="APT14" s="114"/>
      <c r="APU14" s="114"/>
      <c r="APV14" s="114"/>
      <c r="APW14" s="114"/>
      <c r="APX14" s="114"/>
      <c r="APY14" s="114"/>
      <c r="APZ14" s="114"/>
      <c r="AQA14" s="114"/>
      <c r="AQB14" s="114"/>
      <c r="AQC14" s="114"/>
      <c r="AQD14" s="114"/>
      <c r="AQE14" s="114"/>
      <c r="AQF14" s="114"/>
      <c r="AQG14" s="114"/>
      <c r="AQH14" s="114"/>
      <c r="AQI14" s="114"/>
      <c r="AQJ14" s="114"/>
      <c r="AQK14" s="114"/>
      <c r="AQL14" s="114"/>
      <c r="AQM14" s="114"/>
      <c r="AQN14" s="114"/>
      <c r="AQO14" s="114"/>
      <c r="AQP14" s="114"/>
      <c r="AQQ14" s="114"/>
      <c r="AQR14" s="114"/>
      <c r="AQS14" s="114"/>
      <c r="AQT14" s="114"/>
      <c r="AQU14" s="114"/>
      <c r="AQV14" s="114"/>
      <c r="AQW14" s="114"/>
      <c r="AQX14" s="114"/>
      <c r="AQY14" s="114"/>
      <c r="AQZ14" s="114"/>
      <c r="ARA14" s="114"/>
      <c r="ARB14" s="114"/>
      <c r="ARC14" s="114"/>
      <c r="ARD14" s="114"/>
      <c r="ARE14" s="114"/>
      <c r="ARF14" s="114"/>
      <c r="ARG14" s="114"/>
      <c r="ARH14" s="114"/>
      <c r="ARI14" s="114"/>
      <c r="ARJ14" s="114"/>
      <c r="ARK14" s="114"/>
      <c r="ARL14" s="114"/>
      <c r="ARM14" s="114"/>
      <c r="ARN14" s="114"/>
      <c r="ARO14" s="114"/>
      <c r="ARP14" s="114"/>
      <c r="ARQ14" s="114"/>
      <c r="ARR14" s="114"/>
      <c r="ARS14" s="114"/>
      <c r="ART14" s="114"/>
      <c r="ARU14" s="114"/>
      <c r="ARV14" s="114"/>
      <c r="ARW14" s="114"/>
      <c r="ARX14" s="114"/>
      <c r="ARY14" s="114"/>
      <c r="ARZ14" s="114"/>
      <c r="ASA14" s="114"/>
      <c r="ASB14" s="114"/>
      <c r="ASC14" s="114"/>
      <c r="ASD14" s="114"/>
      <c r="ASE14" s="114"/>
      <c r="ASF14" s="114"/>
      <c r="ASG14" s="114"/>
      <c r="ASH14" s="114"/>
      <c r="ASI14" s="114"/>
      <c r="ASJ14" s="114"/>
      <c r="ASK14" s="114"/>
      <c r="ASL14" s="114"/>
      <c r="ASM14" s="114"/>
      <c r="ASN14" s="114"/>
      <c r="ASO14" s="114"/>
      <c r="ASP14" s="114"/>
      <c r="ASQ14" s="114"/>
      <c r="ASR14" s="114"/>
      <c r="ASS14" s="114"/>
      <c r="AST14" s="114"/>
      <c r="ASU14" s="114"/>
      <c r="ASV14" s="114"/>
      <c r="ASW14" s="114"/>
      <c r="ASX14" s="114"/>
      <c r="ASY14" s="114"/>
      <c r="ASZ14" s="114"/>
      <c r="ATA14" s="114"/>
      <c r="ATB14" s="114"/>
      <c r="ATC14" s="114"/>
      <c r="ATD14" s="114"/>
      <c r="ATE14" s="114"/>
      <c r="ATF14" s="114"/>
      <c r="ATG14" s="114"/>
      <c r="ATH14" s="114"/>
      <c r="ATI14" s="114"/>
      <c r="ATJ14" s="114"/>
      <c r="ATK14" s="114"/>
      <c r="ATL14" s="114"/>
      <c r="ATM14" s="114"/>
      <c r="ATN14" s="114"/>
      <c r="ATO14" s="114"/>
      <c r="ATP14" s="114"/>
      <c r="ATQ14" s="114"/>
      <c r="ATR14" s="114"/>
      <c r="ATS14" s="114"/>
      <c r="ATT14" s="114"/>
      <c r="ATU14" s="114"/>
      <c r="ATV14" s="114"/>
      <c r="ATW14" s="114"/>
      <c r="ATX14" s="114"/>
      <c r="ATY14" s="114"/>
      <c r="ATZ14" s="114"/>
      <c r="AUA14" s="114"/>
      <c r="AUB14" s="114"/>
      <c r="AUC14" s="114"/>
      <c r="AUD14" s="114"/>
      <c r="AUE14" s="114"/>
      <c r="AUF14" s="114"/>
      <c r="AUG14" s="114"/>
      <c r="AUH14" s="114"/>
      <c r="AUI14" s="114"/>
      <c r="AUJ14" s="114"/>
      <c r="AUK14" s="114"/>
      <c r="AUL14" s="114"/>
      <c r="AUM14" s="114"/>
      <c r="AUN14" s="114"/>
      <c r="AUO14" s="114"/>
      <c r="AUP14" s="114"/>
      <c r="AUQ14" s="114"/>
      <c r="AUR14" s="114"/>
      <c r="AUS14" s="114"/>
      <c r="AUT14" s="114"/>
      <c r="AUU14" s="114"/>
      <c r="AUV14" s="114"/>
      <c r="AUW14" s="114"/>
      <c r="AUX14" s="114"/>
      <c r="AUY14" s="114"/>
      <c r="AUZ14" s="114"/>
      <c r="AVA14" s="114"/>
      <c r="AVB14" s="114"/>
      <c r="AVC14" s="114"/>
      <c r="AVD14" s="114"/>
      <c r="AVE14" s="114"/>
      <c r="AVF14" s="114"/>
      <c r="AVG14" s="114"/>
      <c r="AVH14" s="114"/>
      <c r="AVI14" s="114"/>
      <c r="AVJ14" s="114"/>
      <c r="AVK14" s="114"/>
      <c r="AVL14" s="114"/>
      <c r="AVM14" s="114"/>
      <c r="AVN14" s="114"/>
      <c r="AVO14" s="114"/>
      <c r="AVP14" s="114"/>
      <c r="AVQ14" s="114"/>
      <c r="AVR14" s="114"/>
      <c r="AVS14" s="114"/>
      <c r="AVT14" s="114"/>
      <c r="AVU14" s="114"/>
      <c r="AVV14" s="114"/>
      <c r="AVW14" s="114"/>
      <c r="AVX14" s="114"/>
      <c r="AVY14" s="114"/>
      <c r="AVZ14" s="114"/>
      <c r="AWA14" s="114"/>
      <c r="AWB14" s="114"/>
      <c r="AWC14" s="114"/>
      <c r="AWD14" s="114"/>
      <c r="AWE14" s="114"/>
      <c r="AWF14" s="114"/>
      <c r="AWG14" s="114"/>
      <c r="AWH14" s="114"/>
      <c r="AWI14" s="114"/>
      <c r="AWJ14" s="114"/>
      <c r="AWK14" s="114"/>
      <c r="AWL14" s="114"/>
      <c r="AWM14" s="114"/>
      <c r="AWN14" s="114"/>
      <c r="AWO14" s="114"/>
      <c r="AWP14" s="114"/>
      <c r="AWQ14" s="114"/>
      <c r="AWR14" s="114"/>
      <c r="AWS14" s="114"/>
      <c r="AWT14" s="114"/>
      <c r="AWU14" s="114"/>
      <c r="AWV14" s="114"/>
      <c r="AWW14" s="114"/>
      <c r="AWX14" s="114"/>
      <c r="AWY14" s="114"/>
      <c r="AWZ14" s="114"/>
      <c r="AXA14" s="114"/>
      <c r="AXB14" s="114"/>
      <c r="AXC14" s="114"/>
      <c r="AXD14" s="114"/>
      <c r="AXE14" s="114"/>
      <c r="AXF14" s="114"/>
      <c r="AXG14" s="114"/>
      <c r="AXH14" s="114"/>
      <c r="AXI14" s="114"/>
      <c r="AXJ14" s="114"/>
      <c r="AXK14" s="114"/>
      <c r="AXL14" s="114"/>
      <c r="AXM14" s="114"/>
      <c r="AXN14" s="114"/>
      <c r="AXO14" s="114"/>
      <c r="AXP14" s="114"/>
      <c r="AXQ14" s="114"/>
      <c r="AXR14" s="114"/>
      <c r="AXS14" s="114"/>
      <c r="AXT14" s="114"/>
      <c r="AXU14" s="114"/>
      <c r="AXV14" s="114"/>
      <c r="AXW14" s="114"/>
      <c r="AXX14" s="114"/>
      <c r="AXY14" s="114"/>
      <c r="AXZ14" s="114"/>
      <c r="AYA14" s="114"/>
      <c r="AYB14" s="114"/>
      <c r="AYC14" s="114"/>
      <c r="AYD14" s="114"/>
      <c r="AYE14" s="114"/>
      <c r="AYF14" s="114"/>
      <c r="AYG14" s="114"/>
      <c r="AYH14" s="114"/>
      <c r="AYI14" s="114"/>
      <c r="AYJ14" s="114"/>
      <c r="AYK14" s="114"/>
      <c r="AYL14" s="114"/>
      <c r="AYM14" s="114"/>
      <c r="AYN14" s="114"/>
      <c r="AYO14" s="114"/>
      <c r="AYP14" s="114"/>
      <c r="AYQ14" s="114"/>
      <c r="AYR14" s="114"/>
      <c r="AYS14" s="114"/>
      <c r="AYT14" s="114"/>
      <c r="AYU14" s="114"/>
      <c r="AYV14" s="114"/>
      <c r="AYW14" s="114"/>
      <c r="AYX14" s="114"/>
      <c r="AYY14" s="114"/>
      <c r="AYZ14" s="114"/>
      <c r="AZA14" s="114"/>
      <c r="AZB14" s="114"/>
      <c r="AZC14" s="114"/>
      <c r="AZD14" s="114"/>
      <c r="AZE14" s="114"/>
      <c r="AZF14" s="114"/>
      <c r="AZG14" s="114"/>
      <c r="AZH14" s="114"/>
      <c r="AZI14" s="114"/>
      <c r="AZJ14" s="114"/>
      <c r="AZK14" s="114"/>
      <c r="AZL14" s="114"/>
      <c r="AZM14" s="114"/>
      <c r="AZN14" s="114"/>
      <c r="AZO14" s="114"/>
      <c r="AZP14" s="114"/>
      <c r="AZQ14" s="114"/>
      <c r="AZR14" s="114"/>
      <c r="AZS14" s="114"/>
      <c r="AZT14" s="114"/>
      <c r="AZU14" s="114"/>
      <c r="AZV14" s="114"/>
      <c r="AZW14" s="114"/>
      <c r="AZX14" s="114"/>
      <c r="AZY14" s="114"/>
      <c r="AZZ14" s="114"/>
      <c r="BAA14" s="114"/>
      <c r="BAB14" s="114"/>
      <c r="BAC14" s="114"/>
      <c r="BAD14" s="114"/>
      <c r="BAE14" s="114"/>
      <c r="BAF14" s="114"/>
      <c r="BAG14" s="114"/>
      <c r="BAH14" s="114"/>
      <c r="BAI14" s="114"/>
      <c r="BAJ14" s="114"/>
      <c r="BAK14" s="114"/>
      <c r="BAL14" s="114"/>
      <c r="BAM14" s="114"/>
      <c r="BAN14" s="114"/>
      <c r="BAO14" s="114"/>
      <c r="BAP14" s="114"/>
      <c r="BAQ14" s="114"/>
      <c r="BAR14" s="114"/>
      <c r="BAS14" s="114"/>
      <c r="BAT14" s="114"/>
      <c r="BAU14" s="114"/>
      <c r="BAV14" s="114"/>
      <c r="BAW14" s="114"/>
      <c r="BAX14" s="114"/>
      <c r="BAY14" s="114"/>
      <c r="BAZ14" s="114"/>
      <c r="BBA14" s="114"/>
      <c r="BBB14" s="114"/>
      <c r="BBC14" s="114"/>
      <c r="BBD14" s="114"/>
      <c r="BBE14" s="114"/>
      <c r="BBF14" s="114"/>
      <c r="BBG14" s="114"/>
      <c r="BBH14" s="114"/>
      <c r="BBI14" s="114"/>
      <c r="BBJ14" s="114"/>
      <c r="BBK14" s="114"/>
      <c r="BBL14" s="114"/>
      <c r="BBM14" s="114"/>
      <c r="BBN14" s="114"/>
      <c r="BBO14" s="114"/>
      <c r="BBP14" s="114"/>
      <c r="BBQ14" s="114"/>
      <c r="BBR14" s="114"/>
      <c r="BBS14" s="114"/>
      <c r="BBT14" s="114"/>
      <c r="BBU14" s="114"/>
      <c r="BBV14" s="114"/>
      <c r="BBW14" s="114"/>
      <c r="BBX14" s="114"/>
      <c r="BBY14" s="114"/>
      <c r="BBZ14" s="114"/>
      <c r="BCA14" s="114"/>
      <c r="BCB14" s="114"/>
      <c r="BCC14" s="114"/>
      <c r="BCD14" s="114"/>
      <c r="BCE14" s="114"/>
      <c r="BCF14" s="114"/>
      <c r="BCG14" s="114"/>
      <c r="BCH14" s="114"/>
      <c r="BCI14" s="114"/>
      <c r="BCJ14" s="114"/>
      <c r="BCK14" s="114"/>
      <c r="BCL14" s="114"/>
      <c r="BCM14" s="114"/>
      <c r="BCN14" s="114"/>
      <c r="BCO14" s="114"/>
      <c r="BCP14" s="114"/>
      <c r="BCQ14" s="114"/>
      <c r="BCR14" s="114"/>
      <c r="BCS14" s="114"/>
      <c r="BCT14" s="114"/>
      <c r="BCU14" s="114"/>
      <c r="BCV14" s="114"/>
      <c r="BCW14" s="114"/>
      <c r="BCX14" s="114"/>
      <c r="BCY14" s="114"/>
      <c r="BCZ14" s="114"/>
      <c r="BDA14" s="114"/>
      <c r="BDB14" s="114"/>
      <c r="BDC14" s="114"/>
      <c r="BDD14" s="114"/>
      <c r="BDE14" s="114"/>
      <c r="BDF14" s="114"/>
      <c r="BDG14" s="114"/>
      <c r="BDH14" s="114"/>
      <c r="BDI14" s="114"/>
      <c r="BDJ14" s="114"/>
      <c r="BDK14" s="114"/>
      <c r="BDL14" s="114"/>
      <c r="BDM14" s="114"/>
      <c r="BDN14" s="114"/>
      <c r="BDO14" s="114"/>
      <c r="BDP14" s="114"/>
      <c r="BDQ14" s="114"/>
      <c r="BDR14" s="114"/>
      <c r="BDS14" s="114"/>
      <c r="BDT14" s="114"/>
      <c r="BDU14" s="114"/>
      <c r="BDV14" s="114"/>
      <c r="BDW14" s="114"/>
      <c r="BDX14" s="114"/>
      <c r="BDY14" s="114"/>
      <c r="BDZ14" s="114"/>
      <c r="BEA14" s="114"/>
      <c r="BEB14" s="114"/>
      <c r="BEC14" s="114"/>
      <c r="BED14" s="114"/>
      <c r="BEE14" s="114"/>
      <c r="BEF14" s="114"/>
      <c r="BEG14" s="114"/>
      <c r="BEH14" s="114"/>
      <c r="BEI14" s="114"/>
      <c r="BEJ14" s="114"/>
      <c r="BEK14" s="114"/>
      <c r="BEL14" s="114"/>
      <c r="BEM14" s="114"/>
      <c r="BEN14" s="114"/>
      <c r="BEO14" s="114"/>
      <c r="BEP14" s="114"/>
      <c r="BEQ14" s="114"/>
      <c r="BER14" s="114"/>
      <c r="BES14" s="114"/>
      <c r="BET14" s="114"/>
      <c r="BEU14" s="114"/>
      <c r="BEV14" s="114"/>
      <c r="BEW14" s="114"/>
      <c r="BEX14" s="114"/>
      <c r="BEY14" s="114"/>
      <c r="BEZ14" s="114"/>
      <c r="BFA14" s="114"/>
      <c r="BFB14" s="114"/>
      <c r="BFC14" s="114"/>
      <c r="BFD14" s="114"/>
      <c r="BFE14" s="114"/>
      <c r="BFF14" s="114"/>
      <c r="BFG14" s="114"/>
      <c r="BFH14" s="114"/>
      <c r="BFI14" s="114"/>
      <c r="BFJ14" s="114"/>
      <c r="BFK14" s="114"/>
      <c r="BFL14" s="114"/>
      <c r="BFM14" s="114"/>
      <c r="BFN14" s="114"/>
      <c r="BFO14" s="114"/>
      <c r="BFP14" s="114"/>
      <c r="BFQ14" s="114"/>
      <c r="BFR14" s="114"/>
      <c r="BFS14" s="114"/>
      <c r="BFT14" s="114"/>
      <c r="BFU14" s="114"/>
      <c r="BFV14" s="114"/>
      <c r="BFW14" s="114"/>
      <c r="BFX14" s="114"/>
      <c r="BFY14" s="114"/>
      <c r="BFZ14" s="114"/>
      <c r="BGA14" s="114"/>
      <c r="BGB14" s="114"/>
      <c r="BGC14" s="114"/>
      <c r="BGD14" s="114"/>
      <c r="BGE14" s="114"/>
      <c r="BGF14" s="114"/>
      <c r="BGG14" s="114"/>
      <c r="BGH14" s="114"/>
      <c r="BGI14" s="114"/>
      <c r="BGJ14" s="114"/>
      <c r="BGK14" s="114"/>
      <c r="BGL14" s="114"/>
      <c r="BGM14" s="114"/>
      <c r="BGN14" s="114"/>
      <c r="BGO14" s="114"/>
      <c r="BGP14" s="114"/>
      <c r="BGQ14" s="114"/>
      <c r="BGR14" s="114"/>
      <c r="BGS14" s="114"/>
      <c r="BGT14" s="114"/>
      <c r="BGU14" s="114"/>
      <c r="BGV14" s="114"/>
      <c r="BGW14" s="114"/>
      <c r="BGX14" s="114"/>
      <c r="BGY14" s="114"/>
      <c r="BGZ14" s="114"/>
      <c r="BHA14" s="114"/>
      <c r="BHB14" s="114"/>
      <c r="BHC14" s="114"/>
      <c r="BHD14" s="114"/>
      <c r="BHE14" s="114"/>
      <c r="BHF14" s="114"/>
      <c r="BHG14" s="114"/>
      <c r="BHH14" s="114"/>
      <c r="BHI14" s="114"/>
      <c r="BHJ14" s="114"/>
      <c r="BHK14" s="114"/>
      <c r="BHL14" s="114"/>
      <c r="BHM14" s="114"/>
      <c r="BHN14" s="114"/>
      <c r="BHO14" s="114"/>
      <c r="BHP14" s="114"/>
      <c r="BHQ14" s="114"/>
      <c r="BHR14" s="114"/>
      <c r="BHS14" s="114"/>
      <c r="BHT14" s="114"/>
      <c r="BHU14" s="114"/>
      <c r="BHV14" s="114"/>
      <c r="BHW14" s="114"/>
      <c r="BHX14" s="114"/>
      <c r="BHY14" s="114"/>
      <c r="BHZ14" s="114"/>
      <c r="BIA14" s="114"/>
      <c r="BIB14" s="114"/>
      <c r="BIC14" s="114"/>
      <c r="BID14" s="114"/>
      <c r="BIE14" s="114"/>
      <c r="BIF14" s="114"/>
      <c r="BIG14" s="114"/>
      <c r="BIH14" s="114"/>
      <c r="BII14" s="114"/>
      <c r="BIJ14" s="114"/>
      <c r="BIK14" s="114"/>
      <c r="BIL14" s="114"/>
      <c r="BIM14" s="114"/>
      <c r="BIN14" s="114"/>
      <c r="BIO14" s="114"/>
      <c r="BIP14" s="114"/>
      <c r="BIQ14" s="114"/>
      <c r="BIR14" s="114"/>
      <c r="BIS14" s="114"/>
      <c r="BIT14" s="114"/>
      <c r="BIU14" s="114"/>
      <c r="BIV14" s="114"/>
      <c r="BIW14" s="114"/>
      <c r="BIX14" s="114"/>
      <c r="BIY14" s="114"/>
      <c r="BIZ14" s="114"/>
      <c r="BJA14" s="114"/>
      <c r="BJB14" s="114"/>
      <c r="BJC14" s="114"/>
      <c r="BJD14" s="114"/>
      <c r="BJE14" s="114"/>
      <c r="BJF14" s="114"/>
      <c r="BJG14" s="114"/>
      <c r="BJH14" s="114"/>
      <c r="BJI14" s="114"/>
      <c r="BJJ14" s="114"/>
      <c r="BJK14" s="114"/>
      <c r="BJL14" s="114"/>
      <c r="BJM14" s="114"/>
      <c r="BJN14" s="114"/>
      <c r="BJO14" s="114"/>
      <c r="BJP14" s="114"/>
      <c r="BJQ14" s="114"/>
      <c r="BJR14" s="114"/>
      <c r="BJS14" s="114"/>
      <c r="BJT14" s="114"/>
      <c r="BJU14" s="114"/>
      <c r="BJV14" s="114"/>
      <c r="BJW14" s="114"/>
      <c r="BJX14" s="114"/>
      <c r="BJY14" s="114"/>
      <c r="BJZ14" s="114"/>
      <c r="BKA14" s="114"/>
      <c r="BKB14" s="114"/>
      <c r="BKC14" s="114"/>
      <c r="BKD14" s="114"/>
      <c r="BKE14" s="114"/>
      <c r="BKF14" s="114"/>
      <c r="BKG14" s="114"/>
      <c r="BKH14" s="114"/>
      <c r="BKI14" s="114"/>
      <c r="BKJ14" s="114"/>
      <c r="BKK14" s="114"/>
      <c r="BKL14" s="114"/>
      <c r="BKM14" s="114"/>
      <c r="BKN14" s="114"/>
      <c r="BKO14" s="114"/>
      <c r="BKP14" s="114"/>
      <c r="BKQ14" s="114"/>
      <c r="BKR14" s="114"/>
      <c r="BKS14" s="114"/>
      <c r="BKT14" s="114"/>
      <c r="BKU14" s="114"/>
      <c r="BKV14" s="114"/>
      <c r="BKW14" s="114"/>
      <c r="BKX14" s="114"/>
      <c r="BKY14" s="114"/>
      <c r="BKZ14" s="114"/>
      <c r="BLA14" s="114"/>
      <c r="BLB14" s="114"/>
      <c r="BLC14" s="114"/>
      <c r="BLD14" s="114"/>
      <c r="BLE14" s="114"/>
      <c r="BLF14" s="114"/>
      <c r="BLG14" s="114"/>
      <c r="BLH14" s="114"/>
      <c r="BLI14" s="114"/>
      <c r="BLJ14" s="114"/>
      <c r="BLK14" s="114"/>
      <c r="BLL14" s="114"/>
      <c r="BLM14" s="114"/>
      <c r="BLN14" s="114"/>
      <c r="BLO14" s="114"/>
      <c r="BLP14" s="114"/>
      <c r="BLQ14" s="114"/>
      <c r="BLR14" s="114"/>
      <c r="BLS14" s="114"/>
      <c r="BLT14" s="114"/>
      <c r="BLU14" s="114"/>
      <c r="BLV14" s="114"/>
      <c r="BLW14" s="114"/>
      <c r="BLX14" s="114"/>
      <c r="BLY14" s="114"/>
      <c r="BLZ14" s="114"/>
      <c r="BMA14" s="114"/>
      <c r="BMB14" s="114"/>
      <c r="BMC14" s="114"/>
      <c r="BMD14" s="114"/>
      <c r="BME14" s="114"/>
      <c r="BMF14" s="114"/>
      <c r="BMG14" s="114"/>
      <c r="BMH14" s="114"/>
      <c r="BMI14" s="114"/>
      <c r="BMJ14" s="114"/>
      <c r="BMK14" s="114"/>
      <c r="BML14" s="114"/>
      <c r="BMM14" s="114"/>
      <c r="BMN14" s="114"/>
      <c r="BMO14" s="114"/>
      <c r="BMP14" s="114"/>
      <c r="BMQ14" s="114"/>
      <c r="BMR14" s="114"/>
      <c r="BMS14" s="114"/>
      <c r="BMT14" s="114"/>
      <c r="BMU14" s="114"/>
      <c r="BMV14" s="114"/>
      <c r="BMW14" s="114"/>
      <c r="BMX14" s="114"/>
      <c r="BMY14" s="114"/>
      <c r="BMZ14" s="114"/>
      <c r="BNA14" s="114"/>
      <c r="BNB14" s="114"/>
      <c r="BNC14" s="114"/>
      <c r="BND14" s="114"/>
      <c r="BNE14" s="114"/>
      <c r="BNF14" s="114"/>
      <c r="BNG14" s="114"/>
      <c r="BNH14" s="114"/>
      <c r="BNI14" s="114"/>
      <c r="BNJ14" s="114"/>
      <c r="BNK14" s="114"/>
      <c r="BNL14" s="114"/>
      <c r="BNM14" s="114"/>
      <c r="BNN14" s="114"/>
      <c r="BNO14" s="114"/>
      <c r="BNP14" s="114"/>
      <c r="BNQ14" s="114"/>
      <c r="BNR14" s="114"/>
      <c r="BNS14" s="114"/>
      <c r="BNT14" s="114"/>
      <c r="BNU14" s="114"/>
      <c r="BNV14" s="114"/>
      <c r="BNW14" s="114"/>
      <c r="BNX14" s="114"/>
      <c r="BNY14" s="114"/>
      <c r="BNZ14" s="114"/>
      <c r="BOA14" s="114"/>
      <c r="BOB14" s="114"/>
      <c r="BOC14" s="114"/>
      <c r="BOD14" s="114"/>
      <c r="BOE14" s="114"/>
      <c r="BOF14" s="114"/>
      <c r="BOG14" s="114"/>
      <c r="BOH14" s="114"/>
      <c r="BOI14" s="114"/>
      <c r="BOJ14" s="114"/>
      <c r="BOK14" s="114"/>
      <c r="BOL14" s="114"/>
      <c r="BOM14" s="114"/>
      <c r="BON14" s="114"/>
      <c r="BOO14" s="114"/>
      <c r="BOP14" s="114"/>
      <c r="BOQ14" s="114"/>
      <c r="BOR14" s="114"/>
      <c r="BOS14" s="114"/>
      <c r="BOT14" s="114"/>
      <c r="BOU14" s="114"/>
      <c r="BOV14" s="114"/>
      <c r="BOW14" s="114"/>
      <c r="BOX14" s="114"/>
      <c r="BOY14" s="114"/>
      <c r="BOZ14" s="114"/>
      <c r="BPA14" s="114"/>
      <c r="BPB14" s="114"/>
      <c r="BPC14" s="114"/>
      <c r="BPD14" s="114"/>
      <c r="BPE14" s="114"/>
      <c r="BPF14" s="114"/>
      <c r="BPG14" s="114"/>
      <c r="BPH14" s="114"/>
      <c r="BPI14" s="114"/>
      <c r="BPJ14" s="114"/>
      <c r="BPK14" s="114"/>
      <c r="BPL14" s="114"/>
      <c r="BPM14" s="114"/>
      <c r="BPN14" s="114"/>
      <c r="BPO14" s="114"/>
      <c r="BPP14" s="114"/>
      <c r="BPQ14" s="114"/>
      <c r="BPR14" s="114"/>
      <c r="BPS14" s="114"/>
      <c r="BPT14" s="114"/>
      <c r="BPU14" s="114"/>
      <c r="BPV14" s="114"/>
      <c r="BPW14" s="114"/>
      <c r="BPX14" s="114"/>
      <c r="BPY14" s="114"/>
      <c r="BPZ14" s="114"/>
      <c r="BQA14" s="114"/>
      <c r="BQB14" s="114"/>
      <c r="BQC14" s="114"/>
      <c r="BQD14" s="114"/>
      <c r="BQE14" s="114"/>
      <c r="BQF14" s="114"/>
      <c r="BQG14" s="114"/>
      <c r="BQH14" s="114"/>
      <c r="BQI14" s="114"/>
      <c r="BQJ14" s="114"/>
      <c r="BQK14" s="114"/>
      <c r="BQL14" s="114"/>
      <c r="BQM14" s="114"/>
      <c r="BQN14" s="114"/>
      <c r="BQO14" s="114"/>
      <c r="BQP14" s="114"/>
      <c r="BQQ14" s="114"/>
      <c r="BQR14" s="114"/>
      <c r="BQS14" s="114"/>
      <c r="BQT14" s="114"/>
      <c r="BQU14" s="114"/>
      <c r="BQV14" s="114"/>
      <c r="BQW14" s="114"/>
      <c r="BQX14" s="114"/>
      <c r="BQY14" s="114"/>
      <c r="BQZ14" s="114"/>
      <c r="BRA14" s="114"/>
      <c r="BRB14" s="114"/>
      <c r="BRC14" s="114"/>
      <c r="BRD14" s="114"/>
      <c r="BRE14" s="114"/>
      <c r="BRF14" s="114"/>
      <c r="BRG14" s="114"/>
      <c r="BRH14" s="114"/>
      <c r="BRI14" s="114"/>
      <c r="BRJ14" s="114"/>
      <c r="BRK14" s="114"/>
      <c r="BRL14" s="114"/>
      <c r="BRM14" s="114"/>
      <c r="BRN14" s="114"/>
      <c r="BRO14" s="114"/>
      <c r="BRP14" s="114"/>
      <c r="BRQ14" s="114"/>
      <c r="BRR14" s="114"/>
      <c r="BRS14" s="114"/>
      <c r="BRT14" s="114"/>
      <c r="BRU14" s="114"/>
      <c r="BRV14" s="114"/>
      <c r="BRW14" s="114"/>
      <c r="BRX14" s="114"/>
      <c r="BRY14" s="114"/>
      <c r="BRZ14" s="114"/>
      <c r="BSA14" s="114"/>
      <c r="BSB14" s="114"/>
      <c r="BSC14" s="114"/>
      <c r="BSD14" s="114"/>
      <c r="BSE14" s="114"/>
      <c r="BSF14" s="114"/>
      <c r="BSG14" s="114"/>
      <c r="BSH14" s="114"/>
      <c r="BSI14" s="114"/>
      <c r="BSJ14" s="114"/>
      <c r="BSK14" s="114"/>
      <c r="BSL14" s="114"/>
      <c r="BSM14" s="114"/>
      <c r="BSN14" s="114"/>
      <c r="BSO14" s="114"/>
      <c r="BSP14" s="114"/>
      <c r="BSQ14" s="114"/>
      <c r="BSR14" s="114"/>
      <c r="BSS14" s="114"/>
      <c r="BST14" s="114"/>
      <c r="BSU14" s="114"/>
      <c r="BSV14" s="114"/>
      <c r="BSW14" s="114"/>
      <c r="BSX14" s="114"/>
      <c r="BSY14" s="114"/>
      <c r="BSZ14" s="114"/>
      <c r="BTA14" s="114"/>
      <c r="BTB14" s="114"/>
      <c r="BTC14" s="114"/>
      <c r="BTD14" s="114"/>
      <c r="BTE14" s="114"/>
      <c r="BTF14" s="114"/>
      <c r="BTG14" s="114"/>
      <c r="BTH14" s="114"/>
      <c r="BTI14" s="114"/>
      <c r="BTJ14" s="114"/>
      <c r="BTK14" s="114"/>
      <c r="BTL14" s="114"/>
      <c r="BTM14" s="114"/>
      <c r="BTN14" s="114"/>
      <c r="BTO14" s="114"/>
      <c r="BTP14" s="114"/>
      <c r="BTQ14" s="114"/>
      <c r="BTR14" s="114"/>
      <c r="BTS14" s="114"/>
      <c r="BTT14" s="114"/>
      <c r="BTU14" s="114"/>
      <c r="BTV14" s="114"/>
      <c r="BTW14" s="114"/>
      <c r="BTX14" s="114"/>
      <c r="BTY14" s="114"/>
      <c r="BTZ14" s="114"/>
      <c r="BUA14" s="114"/>
      <c r="BUB14" s="114"/>
      <c r="BUC14" s="114"/>
      <c r="BUD14" s="114"/>
      <c r="BUE14" s="114"/>
      <c r="BUF14" s="114"/>
      <c r="BUG14" s="114"/>
      <c r="BUH14" s="114"/>
      <c r="BUI14" s="114"/>
      <c r="BUJ14" s="114"/>
      <c r="BUK14" s="114"/>
      <c r="BUL14" s="114"/>
      <c r="BUM14" s="114"/>
      <c r="BUN14" s="114"/>
      <c r="BUO14" s="114"/>
      <c r="BUP14" s="114"/>
      <c r="BUQ14" s="114"/>
      <c r="BUR14" s="114"/>
      <c r="BUS14" s="114"/>
      <c r="BUT14" s="114"/>
      <c r="BUU14" s="114"/>
      <c r="BUV14" s="114"/>
      <c r="BUW14" s="114"/>
      <c r="BUX14" s="114"/>
      <c r="BUY14" s="114"/>
      <c r="BUZ14" s="114"/>
      <c r="BVA14" s="114"/>
      <c r="BVB14" s="114"/>
      <c r="BVC14" s="114"/>
      <c r="BVD14" s="114"/>
      <c r="BVE14" s="114"/>
      <c r="BVF14" s="114"/>
      <c r="BVG14" s="114"/>
      <c r="BVH14" s="114"/>
      <c r="BVI14" s="114"/>
      <c r="BVJ14" s="114"/>
      <c r="BVK14" s="114"/>
      <c r="BVL14" s="114"/>
      <c r="BVM14" s="114"/>
      <c r="BVN14" s="114"/>
      <c r="BVO14" s="114"/>
      <c r="BVP14" s="114"/>
      <c r="BVQ14" s="114"/>
      <c r="BVR14" s="114"/>
      <c r="BVS14" s="114"/>
      <c r="BVT14" s="114"/>
      <c r="BVU14" s="114"/>
      <c r="BVV14" s="114"/>
      <c r="BVW14" s="114"/>
      <c r="BVX14" s="114"/>
      <c r="BVY14" s="114"/>
      <c r="BVZ14" s="114"/>
      <c r="BWA14" s="114"/>
      <c r="BWB14" s="114"/>
      <c r="BWC14" s="114"/>
      <c r="BWD14" s="114"/>
      <c r="BWE14" s="114"/>
      <c r="BWF14" s="114"/>
      <c r="BWG14" s="114"/>
      <c r="BWH14" s="114"/>
      <c r="BWI14" s="114"/>
      <c r="BWJ14" s="114"/>
      <c r="BWK14" s="114"/>
      <c r="BWL14" s="114"/>
      <c r="BWM14" s="114"/>
      <c r="BWN14" s="114"/>
      <c r="BWO14" s="114"/>
      <c r="BWP14" s="114"/>
      <c r="BWQ14" s="114"/>
      <c r="BWR14" s="114"/>
      <c r="BWS14" s="114"/>
      <c r="BWT14" s="114"/>
      <c r="BWU14" s="114"/>
      <c r="BWV14" s="114"/>
      <c r="BWW14" s="114"/>
      <c r="BWX14" s="114"/>
      <c r="BWY14" s="114"/>
      <c r="BWZ14" s="114"/>
      <c r="BXA14" s="114"/>
      <c r="BXB14" s="114"/>
      <c r="BXC14" s="114"/>
      <c r="BXD14" s="114"/>
      <c r="BXE14" s="114"/>
      <c r="BXF14" s="114"/>
      <c r="BXG14" s="114"/>
      <c r="BXH14" s="114"/>
      <c r="BXI14" s="114"/>
      <c r="BXJ14" s="114"/>
      <c r="BXK14" s="114"/>
      <c r="BXL14" s="114"/>
      <c r="BXM14" s="114"/>
      <c r="BXN14" s="114"/>
      <c r="BXO14" s="114"/>
      <c r="BXP14" s="114"/>
      <c r="BXQ14" s="114"/>
      <c r="BXR14" s="114"/>
      <c r="BXS14" s="114"/>
      <c r="BXT14" s="114"/>
      <c r="BXU14" s="114"/>
      <c r="BXV14" s="114"/>
      <c r="BXW14" s="114"/>
      <c r="BXX14" s="114"/>
      <c r="BXY14" s="114"/>
      <c r="BXZ14" s="114"/>
      <c r="BYA14" s="114"/>
      <c r="BYB14" s="114"/>
      <c r="BYC14" s="114"/>
      <c r="BYD14" s="114"/>
      <c r="BYE14" s="114"/>
      <c r="BYF14" s="114"/>
      <c r="BYG14" s="114"/>
      <c r="BYH14" s="114"/>
      <c r="BYI14" s="114"/>
      <c r="BYJ14" s="114"/>
      <c r="BYK14" s="114"/>
      <c r="BYL14" s="114"/>
      <c r="BYM14" s="114"/>
      <c r="BYN14" s="114"/>
      <c r="BYO14" s="114"/>
      <c r="BYP14" s="114"/>
      <c r="BYQ14" s="114"/>
      <c r="BYR14" s="114"/>
      <c r="BYS14" s="114"/>
      <c r="BYT14" s="114"/>
      <c r="BYU14" s="114"/>
      <c r="BYV14" s="114"/>
      <c r="BYW14" s="114"/>
      <c r="BYX14" s="114"/>
      <c r="BYY14" s="114"/>
      <c r="BYZ14" s="114"/>
      <c r="BZA14" s="114"/>
      <c r="BZB14" s="114"/>
      <c r="BZC14" s="114"/>
      <c r="BZD14" s="114"/>
      <c r="BZE14" s="114"/>
      <c r="BZF14" s="114"/>
      <c r="BZG14" s="114"/>
      <c r="BZH14" s="114"/>
      <c r="BZI14" s="114"/>
      <c r="BZJ14" s="114"/>
      <c r="BZK14" s="114"/>
      <c r="BZL14" s="114"/>
      <c r="BZM14" s="114"/>
      <c r="BZN14" s="114"/>
      <c r="BZO14" s="114"/>
      <c r="BZP14" s="114"/>
      <c r="BZQ14" s="114"/>
      <c r="BZR14" s="114"/>
      <c r="BZS14" s="114"/>
      <c r="BZT14" s="114"/>
      <c r="BZU14" s="114"/>
      <c r="BZV14" s="114"/>
      <c r="BZW14" s="114"/>
      <c r="BZX14" s="114"/>
      <c r="BZY14" s="114"/>
      <c r="BZZ14" s="114"/>
      <c r="CAA14" s="114"/>
      <c r="CAB14" s="114"/>
      <c r="CAC14" s="114"/>
      <c r="CAD14" s="114"/>
      <c r="CAE14" s="114"/>
      <c r="CAF14" s="114"/>
      <c r="CAG14" s="114"/>
      <c r="CAH14" s="114"/>
      <c r="CAI14" s="114"/>
      <c r="CAJ14" s="114"/>
      <c r="CAK14" s="114"/>
      <c r="CAL14" s="114"/>
      <c r="CAM14" s="114"/>
      <c r="CAN14" s="114"/>
      <c r="CAO14" s="114"/>
      <c r="CAP14" s="114"/>
      <c r="CAQ14" s="114"/>
      <c r="CAR14" s="114"/>
      <c r="CAS14" s="114"/>
      <c r="CAT14" s="114"/>
      <c r="CAU14" s="114"/>
      <c r="CAV14" s="114"/>
      <c r="CAW14" s="114"/>
      <c r="CAX14" s="114"/>
      <c r="CAY14" s="114"/>
      <c r="CAZ14" s="114"/>
      <c r="CBA14" s="114"/>
      <c r="CBB14" s="114"/>
      <c r="CBC14" s="114"/>
      <c r="CBD14" s="114"/>
      <c r="CBE14" s="114"/>
      <c r="CBF14" s="114"/>
      <c r="CBG14" s="114"/>
      <c r="CBH14" s="114"/>
      <c r="CBI14" s="114"/>
      <c r="CBJ14" s="114"/>
      <c r="CBK14" s="114"/>
      <c r="CBL14" s="114"/>
      <c r="CBM14" s="114"/>
      <c r="CBN14" s="114"/>
      <c r="CBO14" s="114"/>
      <c r="CBP14" s="114"/>
      <c r="CBQ14" s="114"/>
      <c r="CBR14" s="114"/>
      <c r="CBS14" s="114"/>
      <c r="CBT14" s="114"/>
      <c r="CBU14" s="114"/>
      <c r="CBV14" s="114"/>
      <c r="CBW14" s="114"/>
      <c r="CBX14" s="114"/>
      <c r="CBY14" s="114"/>
      <c r="CBZ14" s="114"/>
      <c r="CCA14" s="114"/>
      <c r="CCB14" s="114"/>
      <c r="CCC14" s="114"/>
      <c r="CCD14" s="114"/>
      <c r="CCE14" s="114"/>
      <c r="CCF14" s="114"/>
      <c r="CCG14" s="114"/>
      <c r="CCH14" s="114"/>
      <c r="CCI14" s="114"/>
      <c r="CCJ14" s="114"/>
      <c r="CCK14" s="114"/>
      <c r="CCL14" s="114"/>
      <c r="CCM14" s="114"/>
      <c r="CCN14" s="114"/>
      <c r="CCO14" s="114"/>
      <c r="CCP14" s="114"/>
      <c r="CCQ14" s="114"/>
      <c r="CCR14" s="114"/>
      <c r="CCS14" s="114"/>
      <c r="CCT14" s="114"/>
      <c r="CCU14" s="114"/>
      <c r="CCV14" s="114"/>
      <c r="CCW14" s="114"/>
      <c r="CCX14" s="114"/>
      <c r="CCY14" s="114"/>
      <c r="CCZ14" s="114"/>
      <c r="CDA14" s="114"/>
      <c r="CDB14" s="114"/>
      <c r="CDC14" s="114"/>
      <c r="CDD14" s="114"/>
      <c r="CDE14" s="114"/>
      <c r="CDF14" s="114"/>
      <c r="CDG14" s="114"/>
      <c r="CDH14" s="114"/>
      <c r="CDI14" s="114"/>
      <c r="CDJ14" s="114"/>
      <c r="CDK14" s="114"/>
      <c r="CDL14" s="114"/>
      <c r="CDM14" s="114"/>
      <c r="CDN14" s="114"/>
      <c r="CDO14" s="114"/>
      <c r="CDP14" s="114"/>
      <c r="CDQ14" s="114"/>
      <c r="CDR14" s="114"/>
      <c r="CDS14" s="114"/>
      <c r="CDT14" s="114"/>
      <c r="CDU14" s="114"/>
      <c r="CDV14" s="114"/>
      <c r="CDW14" s="114"/>
      <c r="CDX14" s="114"/>
      <c r="CDY14" s="114"/>
      <c r="CDZ14" s="114"/>
      <c r="CEA14" s="114"/>
      <c r="CEB14" s="114"/>
      <c r="CEC14" s="114"/>
      <c r="CED14" s="114"/>
      <c r="CEE14" s="114"/>
      <c r="CEF14" s="114"/>
      <c r="CEG14" s="114"/>
      <c r="CEH14" s="114"/>
      <c r="CEI14" s="114"/>
      <c r="CEJ14" s="114"/>
      <c r="CEK14" s="114"/>
      <c r="CEL14" s="114"/>
      <c r="CEM14" s="114"/>
      <c r="CEN14" s="114"/>
      <c r="CEO14" s="114"/>
      <c r="CEP14" s="114"/>
      <c r="CEQ14" s="114"/>
      <c r="CER14" s="114"/>
      <c r="CES14" s="114"/>
      <c r="CET14" s="114"/>
      <c r="CEU14" s="114"/>
      <c r="CEV14" s="114"/>
      <c r="CEW14" s="114"/>
      <c r="CEX14" s="114"/>
      <c r="CEY14" s="114"/>
      <c r="CEZ14" s="114"/>
      <c r="CFA14" s="114"/>
      <c r="CFB14" s="114"/>
      <c r="CFC14" s="114"/>
      <c r="CFD14" s="114"/>
      <c r="CFE14" s="114"/>
      <c r="CFF14" s="114"/>
      <c r="CFG14" s="114"/>
      <c r="CFH14" s="114"/>
      <c r="CFI14" s="114"/>
      <c r="CFJ14" s="114"/>
      <c r="CFK14" s="114"/>
      <c r="CFL14" s="114"/>
      <c r="CFM14" s="114"/>
      <c r="CFN14" s="114"/>
      <c r="CFO14" s="114"/>
      <c r="CFP14" s="114"/>
      <c r="CFQ14" s="114"/>
      <c r="CFR14" s="114"/>
      <c r="CFS14" s="114"/>
      <c r="CFT14" s="114"/>
      <c r="CFU14" s="114"/>
      <c r="CFV14" s="114"/>
      <c r="CFW14" s="114"/>
      <c r="CFX14" s="114"/>
      <c r="CFY14" s="114"/>
      <c r="CFZ14" s="114"/>
      <c r="CGA14" s="114"/>
      <c r="CGB14" s="114"/>
      <c r="CGC14" s="114"/>
      <c r="CGD14" s="114"/>
      <c r="CGE14" s="114"/>
      <c r="CGF14" s="114"/>
      <c r="CGG14" s="114"/>
      <c r="CGH14" s="114"/>
      <c r="CGI14" s="114"/>
      <c r="CGJ14" s="114"/>
      <c r="CGK14" s="114"/>
      <c r="CGL14" s="114"/>
      <c r="CGM14" s="114"/>
      <c r="CGN14" s="114"/>
      <c r="CGO14" s="114"/>
      <c r="CGP14" s="114"/>
      <c r="CGQ14" s="114"/>
      <c r="CGR14" s="114"/>
      <c r="CGS14" s="114"/>
      <c r="CGT14" s="114"/>
      <c r="CGU14" s="114"/>
      <c r="CGV14" s="114"/>
      <c r="CGW14" s="114"/>
      <c r="CGX14" s="114"/>
      <c r="CGY14" s="114"/>
      <c r="CGZ14" s="114"/>
      <c r="CHA14" s="114"/>
      <c r="CHB14" s="114"/>
      <c r="CHC14" s="114"/>
      <c r="CHD14" s="114"/>
      <c r="CHE14" s="114"/>
      <c r="CHF14" s="114"/>
      <c r="CHG14" s="114"/>
      <c r="CHH14" s="114"/>
      <c r="CHI14" s="114"/>
      <c r="CHJ14" s="114"/>
      <c r="CHK14" s="114"/>
      <c r="CHL14" s="114"/>
      <c r="CHM14" s="114"/>
      <c r="CHN14" s="114"/>
      <c r="CHO14" s="114"/>
      <c r="CHP14" s="114"/>
      <c r="CHQ14" s="114"/>
      <c r="CHR14" s="114"/>
      <c r="CHS14" s="114"/>
      <c r="CHT14" s="114"/>
      <c r="CHU14" s="114"/>
      <c r="CHV14" s="114"/>
      <c r="CHW14" s="114"/>
      <c r="CHX14" s="114"/>
      <c r="CHY14" s="114"/>
      <c r="CHZ14" s="114"/>
      <c r="CIA14" s="114"/>
      <c r="CIB14" s="114"/>
      <c r="CIC14" s="114"/>
      <c r="CID14" s="114"/>
      <c r="CIE14" s="114"/>
      <c r="CIF14" s="114"/>
      <c r="CIG14" s="114"/>
      <c r="CIH14" s="114"/>
      <c r="CII14" s="114"/>
      <c r="CIJ14" s="114"/>
      <c r="CIK14" s="114"/>
      <c r="CIL14" s="114"/>
      <c r="CIM14" s="114"/>
      <c r="CIN14" s="114"/>
      <c r="CIO14" s="114"/>
      <c r="CIP14" s="114"/>
      <c r="CIQ14" s="114"/>
      <c r="CIR14" s="114"/>
      <c r="CIS14" s="114"/>
      <c r="CIT14" s="114"/>
      <c r="CIU14" s="114"/>
      <c r="CIV14" s="114"/>
      <c r="CIW14" s="114"/>
      <c r="CIX14" s="114"/>
      <c r="CIY14" s="114"/>
      <c r="CIZ14" s="114"/>
      <c r="CJA14" s="114"/>
      <c r="CJB14" s="114"/>
      <c r="CJC14" s="114"/>
      <c r="CJD14" s="114"/>
      <c r="CJE14" s="114"/>
      <c r="CJF14" s="114"/>
      <c r="CJG14" s="114"/>
      <c r="CJH14" s="114"/>
      <c r="CJI14" s="114"/>
      <c r="CJJ14" s="114"/>
      <c r="CJK14" s="114"/>
      <c r="CJL14" s="114"/>
      <c r="CJM14" s="114"/>
      <c r="CJN14" s="114"/>
      <c r="CJO14" s="114"/>
      <c r="CJP14" s="114"/>
      <c r="CJQ14" s="114"/>
      <c r="CJR14" s="114"/>
      <c r="CJS14" s="114"/>
      <c r="CJT14" s="114"/>
      <c r="CJU14" s="114"/>
      <c r="CJV14" s="114"/>
      <c r="CJW14" s="114"/>
      <c r="CJX14" s="114"/>
      <c r="CJY14" s="114"/>
      <c r="CJZ14" s="114"/>
      <c r="CKA14" s="114"/>
      <c r="CKB14" s="114"/>
      <c r="CKC14" s="114"/>
      <c r="CKD14" s="114"/>
      <c r="CKE14" s="114"/>
      <c r="CKF14" s="114"/>
      <c r="CKG14" s="114"/>
      <c r="CKH14" s="114"/>
      <c r="CKI14" s="114"/>
      <c r="CKJ14" s="114"/>
      <c r="CKK14" s="114"/>
      <c r="CKL14" s="114"/>
      <c r="CKM14" s="114"/>
      <c r="CKN14" s="114"/>
      <c r="CKO14" s="114"/>
      <c r="CKP14" s="114"/>
      <c r="CKQ14" s="114"/>
      <c r="CKR14" s="114"/>
      <c r="CKS14" s="114"/>
      <c r="CKT14" s="114"/>
      <c r="CKU14" s="114"/>
      <c r="CKV14" s="114"/>
      <c r="CKW14" s="114"/>
      <c r="CKX14" s="114"/>
      <c r="CKY14" s="114"/>
      <c r="CKZ14" s="114"/>
      <c r="CLA14" s="114"/>
      <c r="CLB14" s="114"/>
      <c r="CLC14" s="114"/>
      <c r="CLD14" s="114"/>
      <c r="CLE14" s="114"/>
      <c r="CLF14" s="114"/>
      <c r="CLG14" s="114"/>
      <c r="CLH14" s="114"/>
      <c r="CLI14" s="114"/>
      <c r="CLJ14" s="114"/>
      <c r="CLK14" s="114"/>
      <c r="CLL14" s="114"/>
      <c r="CLM14" s="114"/>
      <c r="CLN14" s="114"/>
      <c r="CLO14" s="114"/>
      <c r="CLP14" s="114"/>
      <c r="CLQ14" s="114"/>
      <c r="CLR14" s="114"/>
      <c r="CLS14" s="114"/>
      <c r="CLT14" s="114"/>
      <c r="CLU14" s="114"/>
      <c r="CLV14" s="114"/>
      <c r="CLW14" s="114"/>
      <c r="CLX14" s="114"/>
      <c r="CLY14" s="114"/>
      <c r="CLZ14" s="114"/>
      <c r="CMA14" s="114"/>
      <c r="CMB14" s="114"/>
      <c r="CMC14" s="114"/>
      <c r="CMD14" s="114"/>
      <c r="CME14" s="114"/>
      <c r="CMF14" s="114"/>
      <c r="CMG14" s="114"/>
      <c r="CMH14" s="114"/>
      <c r="CMI14" s="114"/>
      <c r="CMJ14" s="114"/>
      <c r="CMK14" s="114"/>
      <c r="CML14" s="114"/>
      <c r="CMM14" s="114"/>
      <c r="CMN14" s="114"/>
      <c r="CMO14" s="114"/>
      <c r="CMP14" s="114"/>
      <c r="CMQ14" s="114"/>
      <c r="CMR14" s="114"/>
      <c r="CMS14" s="114"/>
      <c r="CMT14" s="114"/>
      <c r="CMU14" s="114"/>
      <c r="CMV14" s="114"/>
      <c r="CMW14" s="114"/>
      <c r="CMX14" s="114"/>
      <c r="CMY14" s="114"/>
      <c r="CMZ14" s="114"/>
      <c r="CNA14" s="114"/>
      <c r="CNB14" s="114"/>
      <c r="CNC14" s="114"/>
      <c r="CND14" s="114"/>
      <c r="CNE14" s="114"/>
      <c r="CNF14" s="114"/>
      <c r="CNG14" s="114"/>
      <c r="CNH14" s="114"/>
      <c r="CNI14" s="114"/>
      <c r="CNJ14" s="114"/>
      <c r="CNK14" s="114"/>
      <c r="CNL14" s="114"/>
      <c r="CNM14" s="114"/>
      <c r="CNN14" s="114"/>
      <c r="CNO14" s="114"/>
      <c r="CNP14" s="114"/>
      <c r="CNQ14" s="114"/>
      <c r="CNR14" s="114"/>
      <c r="CNS14" s="114"/>
      <c r="CNT14" s="114"/>
      <c r="CNU14" s="114"/>
      <c r="CNV14" s="114"/>
      <c r="CNW14" s="114"/>
      <c r="CNX14" s="114"/>
      <c r="CNY14" s="114"/>
      <c r="CNZ14" s="114"/>
      <c r="COA14" s="114"/>
      <c r="COB14" s="114"/>
      <c r="COC14" s="114"/>
      <c r="COD14" s="114"/>
      <c r="COE14" s="114"/>
      <c r="COF14" s="114"/>
      <c r="COG14" s="114"/>
      <c r="COH14" s="114"/>
      <c r="COI14" s="114"/>
      <c r="COJ14" s="114"/>
      <c r="COK14" s="114"/>
      <c r="COL14" s="114"/>
      <c r="COM14" s="114"/>
      <c r="CON14" s="114"/>
      <c r="COO14" s="114"/>
      <c r="COP14" s="114"/>
      <c r="COQ14" s="114"/>
      <c r="COR14" s="114"/>
      <c r="COS14" s="114"/>
      <c r="COT14" s="114"/>
      <c r="COU14" s="114"/>
      <c r="COV14" s="114"/>
      <c r="COW14" s="114"/>
      <c r="COX14" s="114"/>
      <c r="COY14" s="114"/>
      <c r="COZ14" s="114"/>
      <c r="CPA14" s="114"/>
      <c r="CPB14" s="114"/>
      <c r="CPC14" s="114"/>
      <c r="CPD14" s="114"/>
      <c r="CPE14" s="114"/>
      <c r="CPF14" s="114"/>
      <c r="CPG14" s="114"/>
      <c r="CPH14" s="114"/>
      <c r="CPI14" s="114"/>
      <c r="CPJ14" s="114"/>
      <c r="CPK14" s="114"/>
      <c r="CPL14" s="114"/>
      <c r="CPM14" s="114"/>
      <c r="CPN14" s="114"/>
      <c r="CPO14" s="114"/>
      <c r="CPP14" s="114"/>
      <c r="CPQ14" s="114"/>
      <c r="CPR14" s="114"/>
      <c r="CPS14" s="114"/>
      <c r="CPT14" s="114"/>
      <c r="CPU14" s="114"/>
      <c r="CPV14" s="114"/>
      <c r="CPW14" s="114"/>
      <c r="CPX14" s="114"/>
      <c r="CPY14" s="114"/>
      <c r="CPZ14" s="114"/>
      <c r="CQA14" s="114"/>
      <c r="CQB14" s="114"/>
      <c r="CQC14" s="114"/>
      <c r="CQD14" s="114"/>
      <c r="CQE14" s="114"/>
      <c r="CQF14" s="114"/>
      <c r="CQG14" s="114"/>
      <c r="CQH14" s="114"/>
      <c r="CQI14" s="114"/>
      <c r="CQJ14" s="114"/>
      <c r="CQK14" s="114"/>
      <c r="CQL14" s="114"/>
      <c r="CQM14" s="114"/>
      <c r="CQN14" s="114"/>
      <c r="CQO14" s="114"/>
      <c r="CQP14" s="114"/>
      <c r="CQQ14" s="114"/>
      <c r="CQR14" s="114"/>
      <c r="CQS14" s="114"/>
      <c r="CQT14" s="114"/>
      <c r="CQU14" s="114"/>
      <c r="CQV14" s="114"/>
      <c r="CQW14" s="114"/>
      <c r="CQX14" s="114"/>
      <c r="CQY14" s="114"/>
      <c r="CQZ14" s="114"/>
      <c r="CRA14" s="114"/>
      <c r="CRB14" s="114"/>
      <c r="CRC14" s="114"/>
      <c r="CRD14" s="114"/>
      <c r="CRE14" s="114"/>
      <c r="CRF14" s="114"/>
      <c r="CRG14" s="114"/>
      <c r="CRH14" s="114"/>
      <c r="CRI14" s="114"/>
      <c r="CRJ14" s="114"/>
      <c r="CRK14" s="114"/>
      <c r="CRL14" s="114"/>
      <c r="CRM14" s="114"/>
      <c r="CRN14" s="114"/>
      <c r="CRO14" s="114"/>
      <c r="CRP14" s="114"/>
      <c r="CRQ14" s="114"/>
      <c r="CRR14" s="114"/>
      <c r="CRS14" s="114"/>
      <c r="CRT14" s="114"/>
      <c r="CRU14" s="114"/>
      <c r="CRV14" s="114"/>
      <c r="CRW14" s="114"/>
      <c r="CRX14" s="114"/>
      <c r="CRY14" s="114"/>
      <c r="CRZ14" s="114"/>
      <c r="CSA14" s="114"/>
      <c r="CSB14" s="114"/>
      <c r="CSC14" s="114"/>
      <c r="CSD14" s="114"/>
      <c r="CSE14" s="114"/>
      <c r="CSF14" s="114"/>
      <c r="CSG14" s="114"/>
      <c r="CSH14" s="114"/>
      <c r="CSI14" s="114"/>
      <c r="CSJ14" s="114"/>
      <c r="CSK14" s="114"/>
      <c r="CSL14" s="114"/>
      <c r="CSM14" s="114"/>
      <c r="CSN14" s="114"/>
      <c r="CSO14" s="114"/>
      <c r="CSP14" s="114"/>
      <c r="CSQ14" s="114"/>
      <c r="CSR14" s="114"/>
      <c r="CSS14" s="114"/>
      <c r="CST14" s="114"/>
      <c r="CSU14" s="114"/>
      <c r="CSV14" s="114"/>
      <c r="CSW14" s="114"/>
      <c r="CSX14" s="114"/>
      <c r="CSY14" s="114"/>
      <c r="CSZ14" s="114"/>
      <c r="CTA14" s="114"/>
      <c r="CTB14" s="114"/>
      <c r="CTC14" s="114"/>
      <c r="CTD14" s="114"/>
      <c r="CTE14" s="114"/>
      <c r="CTF14" s="114"/>
      <c r="CTG14" s="114"/>
      <c r="CTH14" s="114"/>
      <c r="CTI14" s="114"/>
      <c r="CTJ14" s="114"/>
      <c r="CTK14" s="114"/>
      <c r="CTL14" s="114"/>
      <c r="CTM14" s="114"/>
      <c r="CTN14" s="114"/>
      <c r="CTO14" s="114"/>
      <c r="CTP14" s="114"/>
      <c r="CTQ14" s="114"/>
      <c r="CTR14" s="114"/>
      <c r="CTS14" s="114"/>
      <c r="CTT14" s="114"/>
      <c r="CTU14" s="114"/>
      <c r="CTV14" s="114"/>
      <c r="CTW14" s="114"/>
      <c r="CTX14" s="114"/>
      <c r="CTY14" s="114"/>
      <c r="CTZ14" s="114"/>
      <c r="CUA14" s="114"/>
      <c r="CUB14" s="114"/>
      <c r="CUC14" s="114"/>
      <c r="CUD14" s="114"/>
      <c r="CUE14" s="114"/>
      <c r="CUF14" s="114"/>
      <c r="CUG14" s="114"/>
      <c r="CUH14" s="114"/>
      <c r="CUI14" s="114"/>
      <c r="CUJ14" s="114"/>
      <c r="CUK14" s="114"/>
      <c r="CUL14" s="114"/>
      <c r="CUM14" s="114"/>
      <c r="CUN14" s="114"/>
      <c r="CUO14" s="114"/>
      <c r="CUP14" s="114"/>
      <c r="CUQ14" s="114"/>
      <c r="CUR14" s="114"/>
      <c r="CUS14" s="114"/>
      <c r="CUT14" s="114"/>
      <c r="CUU14" s="114"/>
      <c r="CUV14" s="114"/>
      <c r="CUW14" s="114"/>
      <c r="CUX14" s="114"/>
      <c r="CUY14" s="114"/>
      <c r="CUZ14" s="114"/>
      <c r="CVA14" s="114"/>
      <c r="CVB14" s="114"/>
      <c r="CVC14" s="114"/>
      <c r="CVD14" s="114"/>
      <c r="CVE14" s="114"/>
      <c r="CVF14" s="114"/>
      <c r="CVG14" s="114"/>
      <c r="CVH14" s="114"/>
      <c r="CVI14" s="114"/>
      <c r="CVJ14" s="114"/>
      <c r="CVK14" s="114"/>
      <c r="CVL14" s="114"/>
      <c r="CVM14" s="114"/>
      <c r="CVN14" s="114"/>
      <c r="CVO14" s="114"/>
      <c r="CVP14" s="114"/>
      <c r="CVQ14" s="114"/>
      <c r="CVR14" s="114"/>
      <c r="CVS14" s="114"/>
      <c r="CVT14" s="114"/>
      <c r="CVU14" s="114"/>
      <c r="CVV14" s="114"/>
      <c r="CVW14" s="114"/>
      <c r="CVX14" s="114"/>
      <c r="CVY14" s="114"/>
      <c r="CVZ14" s="114"/>
      <c r="CWA14" s="114"/>
      <c r="CWB14" s="114"/>
      <c r="CWC14" s="114"/>
      <c r="CWD14" s="114"/>
      <c r="CWE14" s="114"/>
      <c r="CWF14" s="114"/>
      <c r="CWG14" s="114"/>
      <c r="CWH14" s="114"/>
      <c r="CWI14" s="114"/>
      <c r="CWJ14" s="114"/>
      <c r="CWK14" s="114"/>
      <c r="CWL14" s="114"/>
      <c r="CWM14" s="114"/>
      <c r="CWN14" s="114"/>
      <c r="CWO14" s="114"/>
      <c r="CWP14" s="114"/>
      <c r="CWQ14" s="114"/>
      <c r="CWR14" s="114"/>
      <c r="CWS14" s="114"/>
      <c r="CWT14" s="114"/>
      <c r="CWU14" s="114"/>
      <c r="CWV14" s="114"/>
      <c r="CWW14" s="114"/>
      <c r="CWX14" s="114"/>
      <c r="CWY14" s="114"/>
      <c r="CWZ14" s="114"/>
      <c r="CXA14" s="114"/>
      <c r="CXB14" s="114"/>
      <c r="CXC14" s="114"/>
      <c r="CXD14" s="114"/>
      <c r="CXE14" s="114"/>
      <c r="CXF14" s="114"/>
      <c r="CXG14" s="114"/>
      <c r="CXH14" s="114"/>
      <c r="CXI14" s="114"/>
      <c r="CXJ14" s="114"/>
      <c r="CXK14" s="114"/>
      <c r="CXL14" s="114"/>
      <c r="CXM14" s="114"/>
      <c r="CXN14" s="114"/>
      <c r="CXO14" s="114"/>
      <c r="CXP14" s="114"/>
      <c r="CXQ14" s="114"/>
      <c r="CXR14" s="114"/>
      <c r="CXS14" s="114"/>
      <c r="CXT14" s="114"/>
      <c r="CXU14" s="114"/>
      <c r="CXV14" s="114"/>
      <c r="CXW14" s="114"/>
      <c r="CXX14" s="114"/>
      <c r="CXY14" s="114"/>
      <c r="CXZ14" s="114"/>
      <c r="CYA14" s="114"/>
      <c r="CYB14" s="114"/>
      <c r="CYC14" s="114"/>
      <c r="CYD14" s="114"/>
      <c r="CYE14" s="114"/>
      <c r="CYF14" s="114"/>
      <c r="CYG14" s="114"/>
      <c r="CYH14" s="114"/>
      <c r="CYI14" s="114"/>
      <c r="CYJ14" s="114"/>
      <c r="CYK14" s="114"/>
      <c r="CYL14" s="114"/>
      <c r="CYM14" s="114"/>
      <c r="CYN14" s="114"/>
      <c r="CYO14" s="114"/>
      <c r="CYP14" s="114"/>
      <c r="CYQ14" s="114"/>
      <c r="CYR14" s="114"/>
      <c r="CYS14" s="114"/>
      <c r="CYT14" s="114"/>
      <c r="CYU14" s="114"/>
      <c r="CYV14" s="114"/>
      <c r="CYW14" s="114"/>
      <c r="CYX14" s="114"/>
      <c r="CYY14" s="114"/>
      <c r="CYZ14" s="114"/>
      <c r="CZA14" s="114"/>
      <c r="CZB14" s="114"/>
      <c r="CZC14" s="114"/>
      <c r="CZD14" s="114"/>
      <c r="CZE14" s="114"/>
      <c r="CZF14" s="114"/>
      <c r="CZG14" s="114"/>
      <c r="CZH14" s="114"/>
      <c r="CZI14" s="114"/>
      <c r="CZJ14" s="114"/>
      <c r="CZK14" s="114"/>
      <c r="CZL14" s="114"/>
      <c r="CZM14" s="114"/>
      <c r="CZN14" s="114"/>
      <c r="CZO14" s="114"/>
      <c r="CZP14" s="114"/>
      <c r="CZQ14" s="114"/>
      <c r="CZR14" s="114"/>
      <c r="CZS14" s="114"/>
      <c r="CZT14" s="114"/>
      <c r="CZU14" s="114"/>
      <c r="CZV14" s="114"/>
      <c r="CZW14" s="114"/>
      <c r="CZX14" s="114"/>
      <c r="CZY14" s="114"/>
      <c r="CZZ14" s="114"/>
      <c r="DAA14" s="114"/>
      <c r="DAB14" s="114"/>
      <c r="DAC14" s="114"/>
      <c r="DAD14" s="114"/>
      <c r="DAE14" s="114"/>
      <c r="DAF14" s="114"/>
      <c r="DAG14" s="114"/>
      <c r="DAH14" s="114"/>
      <c r="DAI14" s="114"/>
      <c r="DAJ14" s="114"/>
      <c r="DAK14" s="114"/>
      <c r="DAL14" s="114"/>
      <c r="DAM14" s="114"/>
      <c r="DAN14" s="114"/>
      <c r="DAO14" s="114"/>
      <c r="DAP14" s="114"/>
      <c r="DAQ14" s="114"/>
      <c r="DAR14" s="114"/>
      <c r="DAS14" s="114"/>
      <c r="DAT14" s="114"/>
      <c r="DAU14" s="114"/>
      <c r="DAV14" s="114"/>
      <c r="DAW14" s="114"/>
      <c r="DAX14" s="114"/>
      <c r="DAY14" s="114"/>
      <c r="DAZ14" s="114"/>
      <c r="DBA14" s="114"/>
      <c r="DBB14" s="114"/>
      <c r="DBC14" s="114"/>
      <c r="DBD14" s="114"/>
      <c r="DBE14" s="114"/>
      <c r="DBF14" s="114"/>
      <c r="DBG14" s="114"/>
      <c r="DBH14" s="114"/>
      <c r="DBI14" s="114"/>
      <c r="DBJ14" s="114"/>
      <c r="DBK14" s="114"/>
      <c r="DBL14" s="114"/>
      <c r="DBM14" s="114"/>
      <c r="DBN14" s="114"/>
      <c r="DBO14" s="114"/>
      <c r="DBP14" s="114"/>
      <c r="DBQ14" s="114"/>
      <c r="DBR14" s="114"/>
      <c r="DBS14" s="114"/>
      <c r="DBT14" s="114"/>
      <c r="DBU14" s="114"/>
      <c r="DBV14" s="114"/>
      <c r="DBW14" s="114"/>
      <c r="DBX14" s="114"/>
      <c r="DBY14" s="114"/>
      <c r="DBZ14" s="114"/>
      <c r="DCA14" s="114"/>
      <c r="DCB14" s="114"/>
      <c r="DCC14" s="114"/>
      <c r="DCD14" s="114"/>
      <c r="DCE14" s="114"/>
      <c r="DCF14" s="114"/>
      <c r="DCG14" s="114"/>
      <c r="DCH14" s="114"/>
      <c r="DCI14" s="114"/>
      <c r="DCJ14" s="114"/>
      <c r="DCK14" s="114"/>
      <c r="DCL14" s="114"/>
      <c r="DCM14" s="114"/>
      <c r="DCN14" s="114"/>
      <c r="DCO14" s="114"/>
      <c r="DCP14" s="114"/>
      <c r="DCQ14" s="114"/>
      <c r="DCR14" s="114"/>
      <c r="DCS14" s="114"/>
      <c r="DCT14" s="114"/>
      <c r="DCU14" s="114"/>
      <c r="DCV14" s="114"/>
      <c r="DCW14" s="114"/>
      <c r="DCX14" s="114"/>
      <c r="DCY14" s="114"/>
      <c r="DCZ14" s="114"/>
      <c r="DDA14" s="114"/>
      <c r="DDB14" s="114"/>
      <c r="DDC14" s="114"/>
      <c r="DDD14" s="114"/>
      <c r="DDE14" s="114"/>
      <c r="DDF14" s="114"/>
      <c r="DDG14" s="114"/>
      <c r="DDH14" s="114"/>
      <c r="DDI14" s="114"/>
      <c r="DDJ14" s="114"/>
      <c r="DDK14" s="114"/>
      <c r="DDL14" s="114"/>
      <c r="DDM14" s="114"/>
      <c r="DDN14" s="114"/>
      <c r="DDO14" s="114"/>
      <c r="DDP14" s="114"/>
      <c r="DDQ14" s="114"/>
      <c r="DDR14" s="114"/>
      <c r="DDS14" s="114"/>
      <c r="DDT14" s="114"/>
      <c r="DDU14" s="114"/>
      <c r="DDV14" s="114"/>
      <c r="DDW14" s="114"/>
      <c r="DDX14" s="114"/>
      <c r="DDY14" s="114"/>
      <c r="DDZ14" s="114"/>
      <c r="DEA14" s="114"/>
      <c r="DEB14" s="114"/>
      <c r="DEC14" s="114"/>
      <c r="DED14" s="114"/>
      <c r="DEE14" s="114"/>
      <c r="DEF14" s="114"/>
      <c r="DEG14" s="114"/>
      <c r="DEH14" s="114"/>
      <c r="DEI14" s="114"/>
      <c r="DEJ14" s="114"/>
      <c r="DEK14" s="114"/>
      <c r="DEL14" s="114"/>
      <c r="DEM14" s="114"/>
      <c r="DEN14" s="114"/>
      <c r="DEO14" s="114"/>
      <c r="DEP14" s="114"/>
      <c r="DEQ14" s="114"/>
      <c r="DER14" s="114"/>
      <c r="DES14" s="114"/>
      <c r="DET14" s="114"/>
      <c r="DEU14" s="114"/>
      <c r="DEV14" s="114"/>
      <c r="DEW14" s="114"/>
      <c r="DEX14" s="114"/>
      <c r="DEY14" s="114"/>
      <c r="DEZ14" s="114"/>
      <c r="DFA14" s="114"/>
      <c r="DFB14" s="114"/>
      <c r="DFC14" s="114"/>
      <c r="DFD14" s="114"/>
      <c r="DFE14" s="114"/>
      <c r="DFF14" s="114"/>
      <c r="DFG14" s="114"/>
      <c r="DFH14" s="114"/>
      <c r="DFI14" s="114"/>
      <c r="DFJ14" s="114"/>
      <c r="DFK14" s="114"/>
      <c r="DFL14" s="114"/>
      <c r="DFM14" s="114"/>
      <c r="DFN14" s="114"/>
      <c r="DFO14" s="114"/>
      <c r="DFP14" s="114"/>
      <c r="DFQ14" s="114"/>
      <c r="DFR14" s="114"/>
      <c r="DFS14" s="114"/>
      <c r="DFT14" s="114"/>
      <c r="DFU14" s="114"/>
      <c r="DFV14" s="114"/>
      <c r="DFW14" s="114"/>
      <c r="DFX14" s="114"/>
      <c r="DFY14" s="114"/>
      <c r="DFZ14" s="114"/>
      <c r="DGA14" s="114"/>
      <c r="DGB14" s="114"/>
      <c r="DGC14" s="114"/>
      <c r="DGD14" s="114"/>
      <c r="DGE14" s="114"/>
      <c r="DGF14" s="114"/>
      <c r="DGG14" s="114"/>
      <c r="DGH14" s="114"/>
      <c r="DGI14" s="114"/>
      <c r="DGJ14" s="114"/>
      <c r="DGK14" s="114"/>
      <c r="DGL14" s="114"/>
      <c r="DGM14" s="114"/>
      <c r="DGN14" s="114"/>
      <c r="DGO14" s="114"/>
      <c r="DGP14" s="114"/>
      <c r="DGQ14" s="114"/>
      <c r="DGR14" s="114"/>
      <c r="DGS14" s="114"/>
      <c r="DGT14" s="114"/>
      <c r="DGU14" s="114"/>
      <c r="DGV14" s="114"/>
      <c r="DGW14" s="114"/>
      <c r="DGX14" s="114"/>
      <c r="DGY14" s="114"/>
      <c r="DGZ14" s="114"/>
      <c r="DHA14" s="114"/>
      <c r="DHB14" s="114"/>
      <c r="DHC14" s="114"/>
      <c r="DHD14" s="114"/>
      <c r="DHE14" s="114"/>
      <c r="DHF14" s="114"/>
      <c r="DHG14" s="114"/>
      <c r="DHH14" s="114"/>
      <c r="DHI14" s="114"/>
      <c r="DHJ14" s="114"/>
      <c r="DHK14" s="114"/>
      <c r="DHL14" s="114"/>
      <c r="DHM14" s="114"/>
      <c r="DHN14" s="114"/>
      <c r="DHO14" s="114"/>
      <c r="DHP14" s="114"/>
      <c r="DHQ14" s="114"/>
      <c r="DHR14" s="114"/>
      <c r="DHS14" s="114"/>
      <c r="DHT14" s="114"/>
      <c r="DHU14" s="114"/>
      <c r="DHV14" s="114"/>
      <c r="DHW14" s="114"/>
      <c r="DHX14" s="114"/>
      <c r="DHY14" s="114"/>
      <c r="DHZ14" s="114"/>
      <c r="DIA14" s="114"/>
      <c r="DIB14" s="114"/>
      <c r="DIC14" s="114"/>
      <c r="DID14" s="114"/>
      <c r="DIE14" s="114"/>
      <c r="DIF14" s="114"/>
      <c r="DIG14" s="114"/>
      <c r="DIH14" s="114"/>
      <c r="DII14" s="114"/>
      <c r="DIJ14" s="114"/>
      <c r="DIK14" s="114"/>
      <c r="DIL14" s="114"/>
      <c r="DIM14" s="114"/>
      <c r="DIN14" s="114"/>
      <c r="DIO14" s="114"/>
      <c r="DIP14" s="114"/>
      <c r="DIQ14" s="114"/>
      <c r="DIR14" s="114"/>
      <c r="DIS14" s="114"/>
      <c r="DIT14" s="114"/>
      <c r="DIU14" s="114"/>
      <c r="DIV14" s="114"/>
      <c r="DIW14" s="114"/>
      <c r="DIX14" s="114"/>
      <c r="DIY14" s="114"/>
      <c r="DIZ14" s="114"/>
      <c r="DJA14" s="114"/>
      <c r="DJB14" s="114"/>
      <c r="DJC14" s="114"/>
      <c r="DJD14" s="114"/>
      <c r="DJE14" s="114"/>
      <c r="DJF14" s="114"/>
      <c r="DJG14" s="114"/>
      <c r="DJH14" s="114"/>
      <c r="DJI14" s="114"/>
      <c r="DJJ14" s="114"/>
      <c r="DJK14" s="114"/>
      <c r="DJL14" s="114"/>
      <c r="DJM14" s="114"/>
      <c r="DJN14" s="114"/>
      <c r="DJO14" s="114"/>
      <c r="DJP14" s="114"/>
      <c r="DJQ14" s="114"/>
      <c r="DJR14" s="114"/>
      <c r="DJS14" s="114"/>
      <c r="DJT14" s="114"/>
      <c r="DJU14" s="114"/>
      <c r="DJV14" s="114"/>
      <c r="DJW14" s="114"/>
      <c r="DJX14" s="114"/>
      <c r="DJY14" s="114"/>
      <c r="DJZ14" s="114"/>
      <c r="DKA14" s="114"/>
      <c r="DKB14" s="114"/>
      <c r="DKC14" s="114"/>
      <c r="DKD14" s="114"/>
      <c r="DKE14" s="114"/>
      <c r="DKF14" s="114"/>
      <c r="DKG14" s="114"/>
      <c r="DKH14" s="114"/>
      <c r="DKI14" s="114"/>
      <c r="DKJ14" s="114"/>
      <c r="DKK14" s="114"/>
      <c r="DKL14" s="114"/>
      <c r="DKM14" s="114"/>
      <c r="DKN14" s="114"/>
      <c r="DKO14" s="114"/>
      <c r="DKP14" s="114"/>
      <c r="DKQ14" s="114"/>
      <c r="DKR14" s="114"/>
      <c r="DKS14" s="114"/>
      <c r="DKT14" s="114"/>
      <c r="DKU14" s="114"/>
      <c r="DKV14" s="114"/>
      <c r="DKW14" s="114"/>
      <c r="DKX14" s="114"/>
      <c r="DKY14" s="114"/>
      <c r="DKZ14" s="114"/>
      <c r="DLA14" s="114"/>
      <c r="DLB14" s="114"/>
      <c r="DLC14" s="114"/>
      <c r="DLD14" s="114"/>
      <c r="DLE14" s="114"/>
      <c r="DLF14" s="114"/>
      <c r="DLG14" s="114"/>
      <c r="DLH14" s="114"/>
      <c r="DLI14" s="114"/>
      <c r="DLJ14" s="114"/>
      <c r="DLK14" s="114"/>
      <c r="DLL14" s="114"/>
      <c r="DLM14" s="114"/>
      <c r="DLN14" s="114"/>
      <c r="DLO14" s="114"/>
      <c r="DLP14" s="114"/>
      <c r="DLQ14" s="114"/>
      <c r="DLR14" s="114"/>
      <c r="DLS14" s="114"/>
      <c r="DLT14" s="114"/>
      <c r="DLU14" s="114"/>
      <c r="DLV14" s="114"/>
      <c r="DLW14" s="114"/>
      <c r="DLX14" s="114"/>
      <c r="DLY14" s="114"/>
      <c r="DLZ14" s="114"/>
      <c r="DMA14" s="114"/>
      <c r="DMB14" s="114"/>
      <c r="DMC14" s="114"/>
      <c r="DMD14" s="114"/>
      <c r="DME14" s="114"/>
      <c r="DMF14" s="114"/>
      <c r="DMG14" s="114"/>
      <c r="DMH14" s="114"/>
      <c r="DMI14" s="114"/>
      <c r="DMJ14" s="114"/>
      <c r="DMK14" s="114"/>
      <c r="DML14" s="114"/>
      <c r="DMM14" s="114"/>
      <c r="DMN14" s="114"/>
      <c r="DMO14" s="114"/>
      <c r="DMP14" s="114"/>
      <c r="DMQ14" s="114"/>
      <c r="DMR14" s="114"/>
      <c r="DMS14" s="114"/>
      <c r="DMT14" s="114"/>
      <c r="DMU14" s="114"/>
      <c r="DMV14" s="114"/>
      <c r="DMW14" s="114"/>
      <c r="DMX14" s="114"/>
      <c r="DMY14" s="114"/>
      <c r="DMZ14" s="114"/>
      <c r="DNA14" s="114"/>
      <c r="DNB14" s="114"/>
      <c r="DNC14" s="114"/>
      <c r="DND14" s="114"/>
      <c r="DNE14" s="114"/>
      <c r="DNF14" s="114"/>
      <c r="DNG14" s="114"/>
      <c r="DNH14" s="114"/>
      <c r="DNI14" s="114"/>
      <c r="DNJ14" s="114"/>
      <c r="DNK14" s="114"/>
      <c r="DNL14" s="114"/>
      <c r="DNM14" s="114"/>
      <c r="DNN14" s="114"/>
      <c r="DNO14" s="114"/>
      <c r="DNP14" s="114"/>
      <c r="DNQ14" s="114"/>
      <c r="DNR14" s="114"/>
      <c r="DNS14" s="114"/>
      <c r="DNT14" s="114"/>
      <c r="DNU14" s="114"/>
      <c r="DNV14" s="114"/>
      <c r="DNW14" s="114"/>
      <c r="DNX14" s="114"/>
      <c r="DNY14" s="114"/>
      <c r="DNZ14" s="114"/>
      <c r="DOA14" s="114"/>
      <c r="DOB14" s="114"/>
      <c r="DOC14" s="114"/>
      <c r="DOD14" s="114"/>
      <c r="DOE14" s="114"/>
      <c r="DOF14" s="114"/>
      <c r="DOG14" s="114"/>
      <c r="DOH14" s="114"/>
      <c r="DOI14" s="114"/>
      <c r="DOJ14" s="114"/>
      <c r="DOK14" s="114"/>
      <c r="DOL14" s="114"/>
      <c r="DOM14" s="114"/>
      <c r="DON14" s="114"/>
      <c r="DOO14" s="114"/>
      <c r="DOP14" s="114"/>
      <c r="DOQ14" s="114"/>
      <c r="DOR14" s="114"/>
      <c r="DOS14" s="114"/>
      <c r="DOT14" s="114"/>
      <c r="DOU14" s="114"/>
      <c r="DOV14" s="114"/>
      <c r="DOW14" s="114"/>
      <c r="DOX14" s="114"/>
      <c r="DOY14" s="114"/>
      <c r="DOZ14" s="114"/>
      <c r="DPA14" s="114"/>
      <c r="DPB14" s="114"/>
      <c r="DPC14" s="114"/>
      <c r="DPD14" s="114"/>
      <c r="DPE14" s="114"/>
      <c r="DPF14" s="114"/>
      <c r="DPG14" s="114"/>
      <c r="DPH14" s="114"/>
      <c r="DPI14" s="114"/>
      <c r="DPJ14" s="114"/>
      <c r="DPK14" s="114"/>
      <c r="DPL14" s="114"/>
      <c r="DPM14" s="114"/>
      <c r="DPN14" s="114"/>
      <c r="DPO14" s="114"/>
      <c r="DPP14" s="114"/>
      <c r="DPQ14" s="114"/>
      <c r="DPR14" s="114"/>
      <c r="DPS14" s="114"/>
      <c r="DPT14" s="114"/>
      <c r="DPU14" s="114"/>
      <c r="DPV14" s="114"/>
      <c r="DPW14" s="114"/>
      <c r="DPX14" s="114"/>
      <c r="DPY14" s="114"/>
      <c r="DPZ14" s="114"/>
      <c r="DQA14" s="114"/>
      <c r="DQB14" s="114"/>
      <c r="DQC14" s="114"/>
      <c r="DQD14" s="114"/>
      <c r="DQE14" s="114"/>
      <c r="DQF14" s="114"/>
      <c r="DQG14" s="114"/>
      <c r="DQH14" s="114"/>
      <c r="DQI14" s="114"/>
      <c r="DQJ14" s="114"/>
      <c r="DQK14" s="114"/>
      <c r="DQL14" s="114"/>
      <c r="DQM14" s="114"/>
      <c r="DQN14" s="114"/>
      <c r="DQO14" s="114"/>
      <c r="DQP14" s="114"/>
      <c r="DQQ14" s="114"/>
      <c r="DQR14" s="114"/>
      <c r="DQS14" s="114"/>
      <c r="DQT14" s="114"/>
      <c r="DQU14" s="114"/>
      <c r="DQV14" s="114"/>
      <c r="DQW14" s="114"/>
      <c r="DQX14" s="114"/>
      <c r="DQY14" s="114"/>
      <c r="DQZ14" s="114"/>
      <c r="DRA14" s="114"/>
      <c r="DRB14" s="114"/>
      <c r="DRC14" s="114"/>
      <c r="DRD14" s="114"/>
      <c r="DRE14" s="114"/>
      <c r="DRF14" s="114"/>
      <c r="DRG14" s="114"/>
      <c r="DRH14" s="114"/>
      <c r="DRI14" s="114"/>
      <c r="DRJ14" s="114"/>
      <c r="DRK14" s="114"/>
      <c r="DRL14" s="114"/>
      <c r="DRM14" s="114"/>
      <c r="DRN14" s="114"/>
      <c r="DRO14" s="114"/>
      <c r="DRP14" s="114"/>
      <c r="DRQ14" s="114"/>
      <c r="DRR14" s="114"/>
      <c r="DRS14" s="114"/>
      <c r="DRT14" s="114"/>
      <c r="DRU14" s="114"/>
      <c r="DRV14" s="114"/>
      <c r="DRW14" s="114"/>
      <c r="DRX14" s="114"/>
      <c r="DRY14" s="114"/>
      <c r="DRZ14" s="114"/>
      <c r="DSA14" s="114"/>
      <c r="DSB14" s="114"/>
      <c r="DSC14" s="114"/>
      <c r="DSD14" s="114"/>
      <c r="DSE14" s="114"/>
      <c r="DSF14" s="114"/>
      <c r="DSG14" s="114"/>
      <c r="DSH14" s="114"/>
      <c r="DSI14" s="114"/>
      <c r="DSJ14" s="114"/>
      <c r="DSK14" s="114"/>
      <c r="DSL14" s="114"/>
      <c r="DSM14" s="114"/>
      <c r="DSN14" s="114"/>
      <c r="DSO14" s="114"/>
      <c r="DSP14" s="114"/>
      <c r="DSQ14" s="114"/>
      <c r="DSR14" s="114"/>
      <c r="DSS14" s="114"/>
      <c r="DST14" s="114"/>
      <c r="DSU14" s="114"/>
      <c r="DSV14" s="114"/>
      <c r="DSW14" s="114"/>
      <c r="DSX14" s="114"/>
      <c r="DSY14" s="114"/>
      <c r="DSZ14" s="114"/>
      <c r="DTA14" s="114"/>
      <c r="DTB14" s="114"/>
      <c r="DTC14" s="114"/>
      <c r="DTD14" s="114"/>
      <c r="DTE14" s="114"/>
      <c r="DTF14" s="114"/>
      <c r="DTG14" s="114"/>
      <c r="DTH14" s="114"/>
      <c r="DTI14" s="114"/>
      <c r="DTJ14" s="114"/>
      <c r="DTK14" s="114"/>
      <c r="DTL14" s="114"/>
      <c r="DTM14" s="114"/>
      <c r="DTN14" s="114"/>
      <c r="DTO14" s="114"/>
      <c r="DTP14" s="114"/>
      <c r="DTQ14" s="114"/>
      <c r="DTR14" s="114"/>
      <c r="DTS14" s="114"/>
      <c r="DTT14" s="114"/>
      <c r="DTU14" s="114"/>
      <c r="DTV14" s="114"/>
      <c r="DTW14" s="114"/>
      <c r="DTX14" s="114"/>
      <c r="DTY14" s="114"/>
      <c r="DTZ14" s="114"/>
      <c r="DUA14" s="114"/>
      <c r="DUB14" s="114"/>
      <c r="DUC14" s="114"/>
      <c r="DUD14" s="114"/>
      <c r="DUE14" s="114"/>
      <c r="DUF14" s="114"/>
      <c r="DUG14" s="114"/>
      <c r="DUH14" s="114"/>
      <c r="DUI14" s="114"/>
      <c r="DUJ14" s="114"/>
      <c r="DUK14" s="114"/>
      <c r="DUL14" s="114"/>
      <c r="DUM14" s="114"/>
      <c r="DUN14" s="114"/>
      <c r="DUO14" s="114"/>
      <c r="DUP14" s="114"/>
      <c r="DUQ14" s="114"/>
      <c r="DUR14" s="114"/>
      <c r="DUS14" s="114"/>
      <c r="DUT14" s="114"/>
      <c r="DUU14" s="114"/>
      <c r="DUV14" s="114"/>
      <c r="DUW14" s="114"/>
      <c r="DUX14" s="114"/>
      <c r="DUY14" s="114"/>
      <c r="DUZ14" s="114"/>
      <c r="DVA14" s="114"/>
      <c r="DVB14" s="114"/>
      <c r="DVC14" s="114"/>
      <c r="DVD14" s="114"/>
      <c r="DVE14" s="114"/>
      <c r="DVF14" s="114"/>
      <c r="DVG14" s="114"/>
      <c r="DVH14" s="114"/>
      <c r="DVI14" s="114"/>
      <c r="DVJ14" s="114"/>
      <c r="DVK14" s="114"/>
      <c r="DVL14" s="114"/>
      <c r="DVM14" s="114"/>
      <c r="DVN14" s="114"/>
      <c r="DVO14" s="114"/>
      <c r="DVP14" s="114"/>
      <c r="DVQ14" s="114"/>
      <c r="DVR14" s="114"/>
      <c r="DVS14" s="114"/>
      <c r="DVT14" s="114"/>
      <c r="DVU14" s="114"/>
      <c r="DVV14" s="114"/>
      <c r="DVW14" s="114"/>
      <c r="DVX14" s="114"/>
      <c r="DVY14" s="114"/>
      <c r="DVZ14" s="114"/>
      <c r="DWA14" s="114"/>
      <c r="DWB14" s="114"/>
      <c r="DWC14" s="114"/>
      <c r="DWD14" s="114"/>
      <c r="DWE14" s="114"/>
      <c r="DWF14" s="114"/>
      <c r="DWG14" s="114"/>
      <c r="DWH14" s="114"/>
      <c r="DWI14" s="114"/>
      <c r="DWJ14" s="114"/>
      <c r="DWK14" s="114"/>
      <c r="DWL14" s="114"/>
      <c r="DWM14" s="114"/>
      <c r="DWN14" s="114"/>
      <c r="DWO14" s="114"/>
      <c r="DWP14" s="114"/>
      <c r="DWQ14" s="114"/>
      <c r="DWR14" s="114"/>
      <c r="DWS14" s="114"/>
      <c r="DWT14" s="114"/>
      <c r="DWU14" s="114"/>
      <c r="DWV14" s="114"/>
      <c r="DWW14" s="114"/>
      <c r="DWX14" s="114"/>
      <c r="DWY14" s="114"/>
      <c r="DWZ14" s="114"/>
      <c r="DXA14" s="114"/>
      <c r="DXB14" s="114"/>
      <c r="DXC14" s="114"/>
      <c r="DXD14" s="114"/>
      <c r="DXE14" s="114"/>
      <c r="DXF14" s="114"/>
      <c r="DXG14" s="114"/>
      <c r="DXH14" s="114"/>
      <c r="DXI14" s="114"/>
      <c r="DXJ14" s="114"/>
      <c r="DXK14" s="114"/>
      <c r="DXL14" s="114"/>
      <c r="DXM14" s="114"/>
      <c r="DXN14" s="114"/>
      <c r="DXO14" s="114"/>
      <c r="DXP14" s="114"/>
      <c r="DXQ14" s="114"/>
      <c r="DXR14" s="114"/>
      <c r="DXS14" s="114"/>
      <c r="DXT14" s="114"/>
      <c r="DXU14" s="114"/>
      <c r="DXV14" s="114"/>
      <c r="DXW14" s="114"/>
      <c r="DXX14" s="114"/>
      <c r="DXY14" s="114"/>
      <c r="DXZ14" s="114"/>
      <c r="DYA14" s="114"/>
      <c r="DYB14" s="114"/>
      <c r="DYC14" s="114"/>
      <c r="DYD14" s="114"/>
      <c r="DYE14" s="114"/>
      <c r="DYF14" s="114"/>
      <c r="DYG14" s="114"/>
      <c r="DYH14" s="114"/>
      <c r="DYI14" s="114"/>
      <c r="DYJ14" s="114"/>
      <c r="DYK14" s="114"/>
      <c r="DYL14" s="114"/>
      <c r="DYM14" s="114"/>
      <c r="DYN14" s="114"/>
      <c r="DYO14" s="114"/>
      <c r="DYP14" s="114"/>
      <c r="DYQ14" s="114"/>
      <c r="DYR14" s="114"/>
      <c r="DYS14" s="114"/>
      <c r="DYT14" s="114"/>
      <c r="DYU14" s="114"/>
      <c r="DYV14" s="114"/>
      <c r="DYW14" s="114"/>
      <c r="DYX14" s="114"/>
      <c r="DYY14" s="114"/>
      <c r="DYZ14" s="114"/>
      <c r="DZA14" s="114"/>
      <c r="DZB14" s="114"/>
      <c r="DZC14" s="114"/>
      <c r="DZD14" s="114"/>
      <c r="DZE14" s="114"/>
      <c r="DZF14" s="114"/>
      <c r="DZG14" s="114"/>
      <c r="DZH14" s="114"/>
      <c r="DZI14" s="114"/>
      <c r="DZJ14" s="114"/>
      <c r="DZK14" s="114"/>
      <c r="DZL14" s="114"/>
      <c r="DZM14" s="114"/>
      <c r="DZN14" s="114"/>
      <c r="DZO14" s="114"/>
      <c r="DZP14" s="114"/>
      <c r="DZQ14" s="114"/>
      <c r="DZR14" s="114"/>
      <c r="DZS14" s="114"/>
      <c r="DZT14" s="114"/>
      <c r="DZU14" s="114"/>
      <c r="DZV14" s="114"/>
      <c r="DZW14" s="114"/>
      <c r="DZX14" s="114"/>
      <c r="DZY14" s="114"/>
      <c r="DZZ14" s="114"/>
      <c r="EAA14" s="114"/>
      <c r="EAB14" s="114"/>
      <c r="EAC14" s="114"/>
      <c r="EAD14" s="114"/>
      <c r="EAE14" s="114"/>
      <c r="EAF14" s="114"/>
      <c r="EAG14" s="114"/>
      <c r="EAH14" s="114"/>
      <c r="EAI14" s="114"/>
      <c r="EAJ14" s="114"/>
      <c r="EAK14" s="114"/>
      <c r="EAL14" s="114"/>
      <c r="EAM14" s="114"/>
      <c r="EAN14" s="114"/>
      <c r="EAO14" s="114"/>
      <c r="EAP14" s="114"/>
      <c r="EAQ14" s="114"/>
      <c r="EAR14" s="114"/>
      <c r="EAS14" s="114"/>
      <c r="EAT14" s="114"/>
      <c r="EAU14" s="114"/>
      <c r="EAV14" s="114"/>
      <c r="EAW14" s="114"/>
      <c r="EAX14" s="114"/>
      <c r="EAY14" s="114"/>
      <c r="EAZ14" s="114"/>
      <c r="EBA14" s="114"/>
      <c r="EBB14" s="114"/>
      <c r="EBC14" s="114"/>
      <c r="EBD14" s="114"/>
      <c r="EBE14" s="114"/>
      <c r="EBF14" s="114"/>
      <c r="EBG14" s="114"/>
      <c r="EBH14" s="114"/>
      <c r="EBI14" s="114"/>
      <c r="EBJ14" s="114"/>
      <c r="EBK14" s="114"/>
      <c r="EBL14" s="114"/>
      <c r="EBM14" s="114"/>
      <c r="EBN14" s="114"/>
      <c r="EBO14" s="114"/>
      <c r="EBP14" s="114"/>
      <c r="EBQ14" s="114"/>
      <c r="EBR14" s="114"/>
      <c r="EBS14" s="114"/>
      <c r="EBT14" s="114"/>
      <c r="EBU14" s="114"/>
      <c r="EBV14" s="114"/>
      <c r="EBW14" s="114"/>
      <c r="EBX14" s="114"/>
      <c r="EBY14" s="114"/>
      <c r="EBZ14" s="114"/>
      <c r="ECA14" s="114"/>
      <c r="ECB14" s="114"/>
      <c r="ECC14" s="114"/>
      <c r="ECD14" s="114"/>
      <c r="ECE14" s="114"/>
      <c r="ECF14" s="114"/>
      <c r="ECG14" s="114"/>
      <c r="ECH14" s="114"/>
      <c r="ECI14" s="114"/>
      <c r="ECJ14" s="114"/>
      <c r="ECK14" s="114"/>
      <c r="ECL14" s="114"/>
      <c r="ECM14" s="114"/>
      <c r="ECN14" s="114"/>
      <c r="ECO14" s="114"/>
      <c r="ECP14" s="114"/>
      <c r="ECQ14" s="114"/>
      <c r="ECR14" s="114"/>
      <c r="ECS14" s="114"/>
      <c r="ECT14" s="114"/>
      <c r="ECU14" s="114"/>
      <c r="ECV14" s="114"/>
      <c r="ECW14" s="114"/>
      <c r="ECX14" s="114"/>
      <c r="ECY14" s="114"/>
      <c r="ECZ14" s="114"/>
      <c r="EDA14" s="114"/>
      <c r="EDB14" s="114"/>
      <c r="EDC14" s="114"/>
      <c r="EDD14" s="114"/>
      <c r="EDE14" s="114"/>
      <c r="EDF14" s="114"/>
      <c r="EDG14" s="114"/>
      <c r="EDH14" s="114"/>
      <c r="EDI14" s="114"/>
      <c r="EDJ14" s="114"/>
      <c r="EDK14" s="114"/>
      <c r="EDL14" s="114"/>
      <c r="EDM14" s="114"/>
      <c r="EDN14" s="114"/>
      <c r="EDO14" s="114"/>
      <c r="EDP14" s="114"/>
      <c r="EDQ14" s="114"/>
      <c r="EDR14" s="114"/>
      <c r="EDS14" s="114"/>
      <c r="EDT14" s="114"/>
      <c r="EDU14" s="114"/>
      <c r="EDV14" s="114"/>
      <c r="EDW14" s="114"/>
      <c r="EDX14" s="114"/>
      <c r="EDY14" s="114"/>
      <c r="EDZ14" s="114"/>
      <c r="EEA14" s="114"/>
      <c r="EEB14" s="114"/>
      <c r="EEC14" s="114"/>
      <c r="EED14" s="114"/>
      <c r="EEE14" s="114"/>
      <c r="EEF14" s="114"/>
      <c r="EEG14" s="114"/>
      <c r="EEH14" s="114"/>
      <c r="EEI14" s="114"/>
      <c r="EEJ14" s="114"/>
      <c r="EEK14" s="114"/>
      <c r="EEL14" s="114"/>
      <c r="EEM14" s="114"/>
      <c r="EEN14" s="114"/>
      <c r="EEO14" s="114"/>
      <c r="EEP14" s="114"/>
      <c r="EEQ14" s="114"/>
      <c r="EER14" s="114"/>
      <c r="EES14" s="114"/>
      <c r="EET14" s="114"/>
      <c r="EEU14" s="114"/>
      <c r="EEV14" s="114"/>
      <c r="EEW14" s="114"/>
      <c r="EEX14" s="114"/>
      <c r="EEY14" s="114"/>
      <c r="EEZ14" s="114"/>
      <c r="EFA14" s="114"/>
      <c r="EFB14" s="114"/>
      <c r="EFC14" s="114"/>
      <c r="EFD14" s="114"/>
      <c r="EFE14" s="114"/>
      <c r="EFF14" s="114"/>
      <c r="EFG14" s="114"/>
      <c r="EFH14" s="114"/>
      <c r="EFI14" s="114"/>
      <c r="EFJ14" s="114"/>
      <c r="EFK14" s="114"/>
      <c r="EFL14" s="114"/>
      <c r="EFM14" s="114"/>
      <c r="EFN14" s="114"/>
      <c r="EFO14" s="114"/>
      <c r="EFP14" s="114"/>
      <c r="EFQ14" s="114"/>
      <c r="EFR14" s="114"/>
      <c r="EFS14" s="114"/>
      <c r="EFT14" s="114"/>
      <c r="EFU14" s="114"/>
      <c r="EFV14" s="114"/>
      <c r="EFW14" s="114"/>
      <c r="EFX14" s="114"/>
      <c r="EFY14" s="114"/>
      <c r="EFZ14" s="114"/>
      <c r="EGA14" s="114"/>
      <c r="EGB14" s="114"/>
      <c r="EGC14" s="114"/>
      <c r="EGD14" s="114"/>
      <c r="EGE14" s="114"/>
      <c r="EGF14" s="114"/>
      <c r="EGG14" s="114"/>
      <c r="EGH14" s="114"/>
      <c r="EGI14" s="114"/>
      <c r="EGJ14" s="114"/>
      <c r="EGK14" s="114"/>
      <c r="EGL14" s="114"/>
      <c r="EGM14" s="114"/>
      <c r="EGN14" s="114"/>
      <c r="EGO14" s="114"/>
      <c r="EGP14" s="114"/>
      <c r="EGQ14" s="114"/>
      <c r="EGR14" s="114"/>
      <c r="EGS14" s="114"/>
      <c r="EGT14" s="114"/>
      <c r="EGU14" s="114"/>
      <c r="EGV14" s="114"/>
      <c r="EGW14" s="114"/>
      <c r="EGX14" s="114"/>
      <c r="EGY14" s="114"/>
      <c r="EGZ14" s="114"/>
      <c r="EHA14" s="114"/>
      <c r="EHB14" s="114"/>
      <c r="EHC14" s="114"/>
      <c r="EHD14" s="114"/>
      <c r="EHE14" s="114"/>
      <c r="EHF14" s="114"/>
      <c r="EHG14" s="114"/>
      <c r="EHH14" s="114"/>
      <c r="EHI14" s="114"/>
      <c r="EHJ14" s="114"/>
      <c r="EHK14" s="114"/>
      <c r="EHL14" s="114"/>
      <c r="EHM14" s="114"/>
      <c r="EHN14" s="114"/>
      <c r="EHO14" s="114"/>
      <c r="EHP14" s="114"/>
      <c r="EHQ14" s="114"/>
      <c r="EHR14" s="114"/>
      <c r="EHS14" s="114"/>
      <c r="EHT14" s="114"/>
      <c r="EHU14" s="114"/>
      <c r="EHV14" s="114"/>
      <c r="EHW14" s="114"/>
      <c r="EHX14" s="114"/>
      <c r="EHY14" s="114"/>
      <c r="EHZ14" s="114"/>
      <c r="EIA14" s="114"/>
      <c r="EIB14" s="114"/>
      <c r="EIC14" s="114"/>
      <c r="EID14" s="114"/>
      <c r="EIE14" s="114"/>
      <c r="EIF14" s="114"/>
      <c r="EIG14" s="114"/>
      <c r="EIH14" s="114"/>
      <c r="EII14" s="114"/>
      <c r="EIJ14" s="114"/>
      <c r="EIK14" s="114"/>
      <c r="EIL14" s="114"/>
      <c r="EIM14" s="114"/>
      <c r="EIN14" s="114"/>
      <c r="EIO14" s="114"/>
      <c r="EIP14" s="114"/>
      <c r="EIQ14" s="114"/>
      <c r="EIR14" s="114"/>
      <c r="EIS14" s="114"/>
      <c r="EIT14" s="114"/>
      <c r="EIU14" s="114"/>
      <c r="EIV14" s="114"/>
      <c r="EIW14" s="114"/>
      <c r="EIX14" s="114"/>
      <c r="EIY14" s="114"/>
      <c r="EIZ14" s="114"/>
      <c r="EJA14" s="114"/>
      <c r="EJB14" s="114"/>
      <c r="EJC14" s="114"/>
      <c r="EJD14" s="114"/>
      <c r="EJE14" s="114"/>
      <c r="EJF14" s="114"/>
      <c r="EJG14" s="114"/>
      <c r="EJH14" s="114"/>
      <c r="EJI14" s="114"/>
      <c r="EJJ14" s="114"/>
      <c r="EJK14" s="114"/>
      <c r="EJL14" s="114"/>
      <c r="EJM14" s="114"/>
      <c r="EJN14" s="114"/>
      <c r="EJO14" s="114"/>
      <c r="EJP14" s="114"/>
      <c r="EJQ14" s="114"/>
      <c r="EJR14" s="114"/>
      <c r="EJS14" s="114"/>
      <c r="EJT14" s="114"/>
      <c r="EJU14" s="114"/>
      <c r="EJV14" s="114"/>
      <c r="EJW14" s="114"/>
      <c r="EJX14" s="114"/>
      <c r="EJY14" s="114"/>
      <c r="EJZ14" s="114"/>
      <c r="EKA14" s="114"/>
      <c r="EKB14" s="114"/>
      <c r="EKC14" s="114"/>
      <c r="EKD14" s="114"/>
      <c r="EKE14" s="114"/>
      <c r="EKF14" s="114"/>
      <c r="EKG14" s="114"/>
      <c r="EKH14" s="114"/>
      <c r="EKI14" s="114"/>
      <c r="EKJ14" s="114"/>
      <c r="EKK14" s="114"/>
      <c r="EKL14" s="114"/>
      <c r="EKM14" s="114"/>
      <c r="EKN14" s="114"/>
      <c r="EKO14" s="114"/>
      <c r="EKP14" s="114"/>
      <c r="EKQ14" s="114"/>
      <c r="EKR14" s="114"/>
      <c r="EKS14" s="114"/>
      <c r="EKT14" s="114"/>
      <c r="EKU14" s="114"/>
      <c r="EKV14" s="114"/>
      <c r="EKW14" s="114"/>
      <c r="EKX14" s="114"/>
      <c r="EKY14" s="114"/>
      <c r="EKZ14" s="114"/>
      <c r="ELA14" s="114"/>
      <c r="ELB14" s="114"/>
      <c r="ELC14" s="114"/>
      <c r="ELD14" s="114"/>
      <c r="ELE14" s="114"/>
      <c r="ELF14" s="114"/>
      <c r="ELG14" s="114"/>
      <c r="ELH14" s="114"/>
      <c r="ELI14" s="114"/>
      <c r="ELJ14" s="114"/>
      <c r="ELK14" s="114"/>
      <c r="ELL14" s="114"/>
      <c r="ELM14" s="114"/>
      <c r="ELN14" s="114"/>
      <c r="ELO14" s="114"/>
      <c r="ELP14" s="114"/>
      <c r="ELQ14" s="114"/>
      <c r="ELR14" s="114"/>
      <c r="ELS14" s="114"/>
      <c r="ELT14" s="114"/>
      <c r="ELU14" s="114"/>
      <c r="ELV14" s="114"/>
      <c r="ELW14" s="114"/>
      <c r="ELX14" s="114"/>
      <c r="ELY14" s="114"/>
      <c r="ELZ14" s="114"/>
      <c r="EMA14" s="114"/>
      <c r="EMB14" s="114"/>
      <c r="EMC14" s="114"/>
      <c r="EMD14" s="114"/>
      <c r="EME14" s="114"/>
      <c r="EMF14" s="114"/>
      <c r="EMG14" s="114"/>
      <c r="EMH14" s="114"/>
      <c r="EMI14" s="114"/>
      <c r="EMJ14" s="114"/>
      <c r="EMK14" s="114"/>
      <c r="EML14" s="114"/>
      <c r="EMM14" s="114"/>
      <c r="EMN14" s="114"/>
      <c r="EMO14" s="114"/>
      <c r="EMP14" s="114"/>
      <c r="EMQ14" s="114"/>
      <c r="EMR14" s="114"/>
      <c r="EMS14" s="114"/>
      <c r="EMT14" s="114"/>
      <c r="EMU14" s="114"/>
      <c r="EMV14" s="114"/>
      <c r="EMW14" s="114"/>
      <c r="EMX14" s="114"/>
      <c r="EMY14" s="114"/>
      <c r="EMZ14" s="114"/>
      <c r="ENA14" s="114"/>
      <c r="ENB14" s="114"/>
      <c r="ENC14" s="114"/>
      <c r="END14" s="114"/>
      <c r="ENE14" s="114"/>
      <c r="ENF14" s="114"/>
      <c r="ENG14" s="114"/>
      <c r="ENH14" s="114"/>
      <c r="ENI14" s="114"/>
      <c r="ENJ14" s="114"/>
      <c r="ENK14" s="114"/>
      <c r="ENL14" s="114"/>
      <c r="ENM14" s="114"/>
      <c r="ENN14" s="114"/>
      <c r="ENO14" s="114"/>
      <c r="ENP14" s="114"/>
      <c r="ENQ14" s="114"/>
      <c r="ENR14" s="114"/>
      <c r="ENS14" s="114"/>
      <c r="ENT14" s="114"/>
      <c r="ENU14" s="114"/>
      <c r="ENV14" s="114"/>
      <c r="ENW14" s="114"/>
      <c r="ENX14" s="114"/>
      <c r="ENY14" s="114"/>
      <c r="ENZ14" s="114"/>
      <c r="EOA14" s="114"/>
      <c r="EOB14" s="114"/>
      <c r="EOC14" s="114"/>
      <c r="EOD14" s="114"/>
      <c r="EOE14" s="114"/>
      <c r="EOF14" s="114"/>
      <c r="EOG14" s="114"/>
      <c r="EOH14" s="114"/>
      <c r="EOI14" s="114"/>
      <c r="EOJ14" s="114"/>
      <c r="EOK14" s="114"/>
      <c r="EOL14" s="114"/>
      <c r="EOM14" s="114"/>
      <c r="EON14" s="114"/>
      <c r="EOO14" s="114"/>
      <c r="EOP14" s="114"/>
      <c r="EOQ14" s="114"/>
      <c r="EOR14" s="114"/>
      <c r="EOS14" s="114"/>
      <c r="EOT14" s="114"/>
      <c r="EOU14" s="114"/>
      <c r="EOV14" s="114"/>
      <c r="EOW14" s="114"/>
      <c r="EOX14" s="114"/>
      <c r="EOY14" s="114"/>
      <c r="EOZ14" s="114"/>
      <c r="EPA14" s="114"/>
      <c r="EPB14" s="114"/>
      <c r="EPC14" s="114"/>
      <c r="EPD14" s="114"/>
      <c r="EPE14" s="114"/>
      <c r="EPF14" s="114"/>
      <c r="EPG14" s="114"/>
      <c r="EPH14" s="114"/>
      <c r="EPI14" s="114"/>
      <c r="EPJ14" s="114"/>
      <c r="EPK14" s="114"/>
      <c r="EPL14" s="114"/>
      <c r="EPM14" s="114"/>
      <c r="EPN14" s="114"/>
      <c r="EPO14" s="114"/>
      <c r="EPP14" s="114"/>
      <c r="EPQ14" s="114"/>
      <c r="EPR14" s="114"/>
      <c r="EPS14" s="114"/>
      <c r="EPT14" s="114"/>
      <c r="EPU14" s="114"/>
      <c r="EPV14" s="114"/>
      <c r="EPW14" s="114"/>
      <c r="EPX14" s="114"/>
      <c r="EPY14" s="114"/>
      <c r="EPZ14" s="114"/>
      <c r="EQA14" s="114"/>
      <c r="EQB14" s="114"/>
      <c r="EQC14" s="114"/>
      <c r="EQD14" s="114"/>
      <c r="EQE14" s="114"/>
      <c r="EQF14" s="114"/>
      <c r="EQG14" s="114"/>
      <c r="EQH14" s="114"/>
      <c r="EQI14" s="114"/>
      <c r="EQJ14" s="114"/>
      <c r="EQK14" s="114"/>
      <c r="EQL14" s="114"/>
      <c r="EQM14" s="114"/>
      <c r="EQN14" s="114"/>
      <c r="EQO14" s="114"/>
      <c r="EQP14" s="114"/>
      <c r="EQQ14" s="114"/>
      <c r="EQR14" s="114"/>
      <c r="EQS14" s="114"/>
      <c r="EQT14" s="114"/>
      <c r="EQU14" s="114"/>
      <c r="EQV14" s="114"/>
      <c r="EQW14" s="114"/>
      <c r="EQX14" s="114"/>
      <c r="EQY14" s="114"/>
      <c r="EQZ14" s="114"/>
      <c r="ERA14" s="114"/>
      <c r="ERB14" s="114"/>
      <c r="ERC14" s="114"/>
      <c r="ERD14" s="114"/>
      <c r="ERE14" s="114"/>
      <c r="ERF14" s="114"/>
      <c r="ERG14" s="114"/>
      <c r="ERH14" s="114"/>
      <c r="ERI14" s="114"/>
      <c r="ERJ14" s="114"/>
      <c r="ERK14" s="114"/>
      <c r="ERL14" s="114"/>
      <c r="ERM14" s="114"/>
      <c r="ERN14" s="114"/>
      <c r="ERO14" s="114"/>
      <c r="ERP14" s="114"/>
      <c r="ERQ14" s="114"/>
      <c r="ERR14" s="114"/>
      <c r="ERS14" s="114"/>
      <c r="ERT14" s="114"/>
      <c r="ERU14" s="114"/>
      <c r="ERV14" s="114"/>
      <c r="ERW14" s="114"/>
      <c r="ERX14" s="114"/>
      <c r="ERY14" s="114"/>
      <c r="ERZ14" s="114"/>
      <c r="ESA14" s="114"/>
      <c r="ESB14" s="114"/>
      <c r="ESC14" s="114"/>
      <c r="ESD14" s="114"/>
      <c r="ESE14" s="114"/>
      <c r="ESF14" s="114"/>
      <c r="ESG14" s="114"/>
      <c r="ESH14" s="114"/>
      <c r="ESI14" s="114"/>
      <c r="ESJ14" s="114"/>
      <c r="ESK14" s="114"/>
      <c r="ESL14" s="114"/>
      <c r="ESM14" s="114"/>
      <c r="ESN14" s="114"/>
      <c r="ESO14" s="114"/>
      <c r="ESP14" s="114"/>
      <c r="ESQ14" s="114"/>
      <c r="ESR14" s="114"/>
      <c r="ESS14" s="114"/>
      <c r="EST14" s="114"/>
      <c r="ESU14" s="114"/>
      <c r="ESV14" s="114"/>
      <c r="ESW14" s="114"/>
      <c r="ESX14" s="114"/>
      <c r="ESY14" s="114"/>
      <c r="ESZ14" s="114"/>
      <c r="ETA14" s="114"/>
      <c r="ETB14" s="114"/>
      <c r="ETC14" s="114"/>
      <c r="ETD14" s="114"/>
      <c r="ETE14" s="114"/>
      <c r="ETF14" s="114"/>
      <c r="ETG14" s="114"/>
      <c r="ETH14" s="114"/>
      <c r="ETI14" s="114"/>
      <c r="ETJ14" s="114"/>
      <c r="ETK14" s="114"/>
      <c r="ETL14" s="114"/>
      <c r="ETM14" s="114"/>
      <c r="ETN14" s="114"/>
      <c r="ETO14" s="114"/>
      <c r="ETP14" s="114"/>
      <c r="ETQ14" s="114"/>
      <c r="ETR14" s="114"/>
      <c r="ETS14" s="114"/>
      <c r="ETT14" s="114"/>
      <c r="ETU14" s="114"/>
      <c r="ETV14" s="114"/>
      <c r="ETW14" s="114"/>
      <c r="ETX14" s="114"/>
      <c r="ETY14" s="114"/>
      <c r="ETZ14" s="114"/>
      <c r="EUA14" s="114"/>
      <c r="EUB14" s="114"/>
      <c r="EUC14" s="114"/>
      <c r="EUD14" s="114"/>
      <c r="EUE14" s="114"/>
      <c r="EUF14" s="114"/>
      <c r="EUG14" s="114"/>
      <c r="EUH14" s="114"/>
      <c r="EUI14" s="114"/>
      <c r="EUJ14" s="114"/>
      <c r="EUK14" s="114"/>
      <c r="EUL14" s="114"/>
      <c r="EUM14" s="114"/>
      <c r="EUN14" s="114"/>
      <c r="EUO14" s="114"/>
      <c r="EUP14" s="114"/>
      <c r="EUQ14" s="114"/>
      <c r="EUR14" s="114"/>
      <c r="EUS14" s="114"/>
      <c r="EUT14" s="114"/>
      <c r="EUU14" s="114"/>
      <c r="EUV14" s="114"/>
      <c r="EUW14" s="114"/>
      <c r="EUX14" s="114"/>
      <c r="EUY14" s="114"/>
      <c r="EUZ14" s="114"/>
      <c r="EVA14" s="114"/>
      <c r="EVB14" s="114"/>
      <c r="EVC14" s="114"/>
      <c r="EVD14" s="114"/>
      <c r="EVE14" s="114"/>
      <c r="EVF14" s="114"/>
      <c r="EVG14" s="114"/>
      <c r="EVH14" s="114"/>
      <c r="EVI14" s="114"/>
      <c r="EVJ14" s="114"/>
      <c r="EVK14" s="114"/>
      <c r="EVL14" s="114"/>
      <c r="EVM14" s="114"/>
      <c r="EVN14" s="114"/>
      <c r="EVO14" s="114"/>
      <c r="EVP14" s="114"/>
      <c r="EVQ14" s="114"/>
      <c r="EVR14" s="114"/>
      <c r="EVS14" s="114"/>
      <c r="EVT14" s="114"/>
      <c r="EVU14" s="114"/>
      <c r="EVV14" s="114"/>
      <c r="EVW14" s="114"/>
      <c r="EVX14" s="114"/>
      <c r="EVY14" s="114"/>
      <c r="EVZ14" s="114"/>
      <c r="EWA14" s="114"/>
      <c r="EWB14" s="114"/>
      <c r="EWC14" s="114"/>
      <c r="EWD14" s="114"/>
      <c r="EWE14" s="114"/>
      <c r="EWF14" s="114"/>
      <c r="EWG14" s="114"/>
      <c r="EWH14" s="114"/>
      <c r="EWI14" s="114"/>
      <c r="EWJ14" s="114"/>
      <c r="EWK14" s="114"/>
      <c r="EWL14" s="114"/>
      <c r="EWM14" s="114"/>
      <c r="EWN14" s="114"/>
      <c r="EWO14" s="114"/>
      <c r="EWP14" s="114"/>
      <c r="EWQ14" s="114"/>
      <c r="EWR14" s="114"/>
      <c r="EWS14" s="114"/>
      <c r="EWT14" s="114"/>
      <c r="EWU14" s="114"/>
      <c r="EWV14" s="114"/>
      <c r="EWW14" s="114"/>
      <c r="EWX14" s="114"/>
      <c r="EWY14" s="114"/>
      <c r="EWZ14" s="114"/>
      <c r="EXA14" s="114"/>
      <c r="EXB14" s="114"/>
      <c r="EXC14" s="114"/>
      <c r="EXD14" s="114"/>
      <c r="EXE14" s="114"/>
      <c r="EXF14" s="114"/>
      <c r="EXG14" s="114"/>
      <c r="EXH14" s="114"/>
      <c r="EXI14" s="114"/>
      <c r="EXJ14" s="114"/>
      <c r="EXK14" s="114"/>
      <c r="EXL14" s="114"/>
      <c r="EXM14" s="114"/>
      <c r="EXN14" s="114"/>
      <c r="EXO14" s="114"/>
      <c r="EXP14" s="114"/>
      <c r="EXQ14" s="114"/>
      <c r="EXR14" s="114"/>
      <c r="EXS14" s="114"/>
      <c r="EXT14" s="114"/>
      <c r="EXU14" s="114"/>
      <c r="EXV14" s="114"/>
      <c r="EXW14" s="114"/>
      <c r="EXX14" s="114"/>
      <c r="EXY14" s="114"/>
      <c r="EXZ14" s="114"/>
      <c r="EYA14" s="114"/>
      <c r="EYB14" s="114"/>
      <c r="EYC14" s="114"/>
      <c r="EYD14" s="114"/>
      <c r="EYE14" s="114"/>
      <c r="EYF14" s="114"/>
      <c r="EYG14" s="114"/>
      <c r="EYH14" s="114"/>
      <c r="EYI14" s="114"/>
      <c r="EYJ14" s="114"/>
      <c r="EYK14" s="114"/>
      <c r="EYL14" s="114"/>
      <c r="EYM14" s="114"/>
      <c r="EYN14" s="114"/>
      <c r="EYO14" s="114"/>
      <c r="EYP14" s="114"/>
      <c r="EYQ14" s="114"/>
      <c r="EYR14" s="114"/>
      <c r="EYS14" s="114"/>
      <c r="EYT14" s="114"/>
      <c r="EYU14" s="114"/>
      <c r="EYV14" s="114"/>
      <c r="EYW14" s="114"/>
      <c r="EYX14" s="114"/>
      <c r="EYY14" s="114"/>
      <c r="EYZ14" s="114"/>
      <c r="EZA14" s="114"/>
      <c r="EZB14" s="114"/>
      <c r="EZC14" s="114"/>
      <c r="EZD14" s="114"/>
      <c r="EZE14" s="114"/>
      <c r="EZF14" s="114"/>
      <c r="EZG14" s="114"/>
      <c r="EZH14" s="114"/>
      <c r="EZI14" s="114"/>
      <c r="EZJ14" s="114"/>
      <c r="EZK14" s="114"/>
      <c r="EZL14" s="114"/>
      <c r="EZM14" s="114"/>
      <c r="EZN14" s="114"/>
      <c r="EZO14" s="114"/>
      <c r="EZP14" s="114"/>
      <c r="EZQ14" s="114"/>
      <c r="EZR14" s="114"/>
      <c r="EZS14" s="114"/>
      <c r="EZT14" s="114"/>
      <c r="EZU14" s="114"/>
      <c r="EZV14" s="114"/>
      <c r="EZW14" s="114"/>
      <c r="EZX14" s="114"/>
      <c r="EZY14" s="114"/>
      <c r="EZZ14" s="114"/>
      <c r="FAA14" s="114"/>
      <c r="FAB14" s="114"/>
      <c r="FAC14" s="114"/>
      <c r="FAD14" s="114"/>
      <c r="FAE14" s="114"/>
      <c r="FAF14" s="114"/>
      <c r="FAG14" s="114"/>
      <c r="FAH14" s="114"/>
      <c r="FAI14" s="114"/>
      <c r="FAJ14" s="114"/>
      <c r="FAK14" s="114"/>
      <c r="FAL14" s="114"/>
      <c r="FAM14" s="114"/>
      <c r="FAN14" s="114"/>
      <c r="FAO14" s="114"/>
      <c r="FAP14" s="114"/>
      <c r="FAQ14" s="114"/>
      <c r="FAR14" s="114"/>
      <c r="FAS14" s="114"/>
      <c r="FAT14" s="114"/>
      <c r="FAU14" s="114"/>
      <c r="FAV14" s="114"/>
      <c r="FAW14" s="114"/>
      <c r="FAX14" s="114"/>
      <c r="FAY14" s="114"/>
      <c r="FAZ14" s="114"/>
      <c r="FBA14" s="114"/>
      <c r="FBB14" s="114"/>
      <c r="FBC14" s="114"/>
      <c r="FBD14" s="114"/>
      <c r="FBE14" s="114"/>
      <c r="FBF14" s="114"/>
      <c r="FBG14" s="114"/>
      <c r="FBH14" s="114"/>
      <c r="FBI14" s="114"/>
      <c r="FBJ14" s="114"/>
      <c r="FBK14" s="114"/>
      <c r="FBL14" s="114"/>
      <c r="FBM14" s="114"/>
      <c r="FBN14" s="114"/>
      <c r="FBO14" s="114"/>
      <c r="FBP14" s="114"/>
      <c r="FBQ14" s="114"/>
      <c r="FBR14" s="114"/>
      <c r="FBS14" s="114"/>
      <c r="FBT14" s="114"/>
      <c r="FBU14" s="114"/>
      <c r="FBV14" s="114"/>
      <c r="FBW14" s="114"/>
      <c r="FBX14" s="114"/>
      <c r="FBY14" s="114"/>
      <c r="FBZ14" s="114"/>
      <c r="FCA14" s="114"/>
      <c r="FCB14" s="114"/>
      <c r="FCC14" s="114"/>
      <c r="FCD14" s="114"/>
      <c r="FCE14" s="114"/>
      <c r="FCF14" s="114"/>
      <c r="FCG14" s="114"/>
      <c r="FCH14" s="114"/>
      <c r="FCI14" s="114"/>
      <c r="FCJ14" s="114"/>
      <c r="FCK14" s="114"/>
      <c r="FCL14" s="114"/>
      <c r="FCM14" s="114"/>
      <c r="FCN14" s="114"/>
      <c r="FCO14" s="114"/>
      <c r="FCP14" s="114"/>
      <c r="FCQ14" s="114"/>
      <c r="FCR14" s="114"/>
      <c r="FCS14" s="114"/>
      <c r="FCT14" s="114"/>
      <c r="FCU14" s="114"/>
      <c r="FCV14" s="114"/>
      <c r="FCW14" s="114"/>
      <c r="FCX14" s="114"/>
      <c r="FCY14" s="114"/>
      <c r="FCZ14" s="114"/>
      <c r="FDA14" s="114"/>
      <c r="FDB14" s="114"/>
      <c r="FDC14" s="114"/>
      <c r="FDD14" s="114"/>
      <c r="FDE14" s="114"/>
      <c r="FDF14" s="114"/>
      <c r="FDG14" s="114"/>
      <c r="FDH14" s="114"/>
      <c r="FDI14" s="114"/>
      <c r="FDJ14" s="114"/>
      <c r="FDK14" s="114"/>
      <c r="FDL14" s="114"/>
      <c r="FDM14" s="114"/>
      <c r="FDN14" s="114"/>
      <c r="FDO14" s="114"/>
      <c r="FDP14" s="114"/>
      <c r="FDQ14" s="114"/>
      <c r="FDR14" s="114"/>
      <c r="FDS14" s="114"/>
      <c r="FDT14" s="114"/>
      <c r="FDU14" s="114"/>
      <c r="FDV14" s="114"/>
      <c r="FDW14" s="114"/>
      <c r="FDX14" s="114"/>
      <c r="FDY14" s="114"/>
      <c r="FDZ14" s="114"/>
      <c r="FEA14" s="114"/>
      <c r="FEB14" s="114"/>
      <c r="FEC14" s="114"/>
      <c r="FED14" s="114"/>
      <c r="FEE14" s="114"/>
      <c r="FEF14" s="114"/>
      <c r="FEG14" s="114"/>
      <c r="FEH14" s="114"/>
      <c r="FEI14" s="114"/>
      <c r="FEJ14" s="114"/>
      <c r="FEK14" s="114"/>
      <c r="FEL14" s="114"/>
      <c r="FEM14" s="114"/>
      <c r="FEN14" s="114"/>
      <c r="FEO14" s="114"/>
      <c r="FEP14" s="114"/>
      <c r="FEQ14" s="114"/>
      <c r="FER14" s="114"/>
      <c r="FES14" s="114"/>
      <c r="FET14" s="114"/>
      <c r="FEU14" s="114"/>
      <c r="FEV14" s="114"/>
      <c r="FEW14" s="114"/>
      <c r="FEX14" s="114"/>
      <c r="FEY14" s="114"/>
      <c r="FEZ14" s="114"/>
      <c r="FFA14" s="114"/>
      <c r="FFB14" s="114"/>
      <c r="FFC14" s="114"/>
      <c r="FFD14" s="114"/>
      <c r="FFE14" s="114"/>
      <c r="FFF14" s="114"/>
      <c r="FFG14" s="114"/>
      <c r="FFH14" s="114"/>
      <c r="FFI14" s="114"/>
      <c r="FFJ14" s="114"/>
      <c r="FFK14" s="114"/>
      <c r="FFL14" s="114"/>
      <c r="FFM14" s="114"/>
      <c r="FFN14" s="114"/>
      <c r="FFO14" s="114"/>
      <c r="FFP14" s="114"/>
      <c r="FFQ14" s="114"/>
      <c r="FFR14" s="114"/>
      <c r="FFS14" s="114"/>
      <c r="FFT14" s="114"/>
      <c r="FFU14" s="114"/>
      <c r="FFV14" s="114"/>
      <c r="FFW14" s="114"/>
      <c r="FFX14" s="114"/>
      <c r="FFY14" s="114"/>
      <c r="FFZ14" s="114"/>
      <c r="FGA14" s="114"/>
      <c r="FGB14" s="114"/>
      <c r="FGC14" s="114"/>
      <c r="FGD14" s="114"/>
      <c r="FGE14" s="114"/>
      <c r="FGF14" s="114"/>
      <c r="FGG14" s="114"/>
      <c r="FGH14" s="114"/>
      <c r="FGI14" s="114"/>
      <c r="FGJ14" s="114"/>
      <c r="FGK14" s="114"/>
      <c r="FGL14" s="114"/>
      <c r="FGM14" s="114"/>
      <c r="FGN14" s="114"/>
      <c r="FGO14" s="114"/>
      <c r="FGP14" s="114"/>
      <c r="FGQ14" s="114"/>
      <c r="FGR14" s="114"/>
      <c r="FGS14" s="114"/>
      <c r="FGT14" s="114"/>
      <c r="FGU14" s="114"/>
      <c r="FGV14" s="114"/>
      <c r="FGW14" s="114"/>
      <c r="FGX14" s="114"/>
      <c r="FGY14" s="114"/>
      <c r="FGZ14" s="114"/>
      <c r="FHA14" s="114"/>
      <c r="FHB14" s="114"/>
      <c r="FHC14" s="114"/>
      <c r="FHD14" s="114"/>
      <c r="FHE14" s="114"/>
      <c r="FHF14" s="114"/>
      <c r="FHG14" s="114"/>
      <c r="FHH14" s="114"/>
      <c r="FHI14" s="114"/>
      <c r="FHJ14" s="114"/>
      <c r="FHK14" s="114"/>
      <c r="FHL14" s="114"/>
      <c r="FHM14" s="114"/>
      <c r="FHN14" s="114"/>
      <c r="FHO14" s="114"/>
      <c r="FHP14" s="114"/>
      <c r="FHQ14" s="114"/>
      <c r="FHR14" s="114"/>
      <c r="FHS14" s="114"/>
      <c r="FHT14" s="114"/>
      <c r="FHU14" s="114"/>
      <c r="FHV14" s="114"/>
      <c r="FHW14" s="114"/>
      <c r="FHX14" s="114"/>
      <c r="FHY14" s="114"/>
      <c r="FHZ14" s="114"/>
      <c r="FIA14" s="114"/>
      <c r="FIB14" s="114"/>
      <c r="FIC14" s="114"/>
      <c r="FID14" s="114"/>
      <c r="FIE14" s="114"/>
      <c r="FIF14" s="114"/>
      <c r="FIG14" s="114"/>
      <c r="FIH14" s="114"/>
      <c r="FII14" s="114"/>
      <c r="FIJ14" s="114"/>
      <c r="FIK14" s="114"/>
      <c r="FIL14" s="114"/>
      <c r="FIM14" s="114"/>
      <c r="FIN14" s="114"/>
      <c r="FIO14" s="114"/>
      <c r="FIP14" s="114"/>
      <c r="FIQ14" s="114"/>
      <c r="FIR14" s="114"/>
      <c r="FIS14" s="114"/>
      <c r="FIT14" s="114"/>
      <c r="FIU14" s="114"/>
      <c r="FIV14" s="114"/>
      <c r="FIW14" s="114"/>
      <c r="FIX14" s="114"/>
      <c r="FIY14" s="114"/>
      <c r="FIZ14" s="114"/>
      <c r="FJA14" s="114"/>
      <c r="FJB14" s="114"/>
      <c r="FJC14" s="114"/>
      <c r="FJD14" s="114"/>
      <c r="FJE14" s="114"/>
      <c r="FJF14" s="114"/>
      <c r="FJG14" s="114"/>
      <c r="FJH14" s="114"/>
      <c r="FJI14" s="114"/>
      <c r="FJJ14" s="114"/>
      <c r="FJK14" s="114"/>
      <c r="FJL14" s="114"/>
      <c r="FJM14" s="114"/>
      <c r="FJN14" s="114"/>
      <c r="FJO14" s="114"/>
      <c r="FJP14" s="114"/>
      <c r="FJQ14" s="114"/>
      <c r="FJR14" s="114"/>
      <c r="FJS14" s="114"/>
      <c r="FJT14" s="114"/>
      <c r="FJU14" s="114"/>
      <c r="FJV14" s="114"/>
      <c r="FJW14" s="114"/>
      <c r="FJX14" s="114"/>
      <c r="FJY14" s="114"/>
      <c r="FJZ14" s="114"/>
      <c r="FKA14" s="114"/>
      <c r="FKB14" s="114"/>
      <c r="FKC14" s="114"/>
      <c r="FKD14" s="114"/>
      <c r="FKE14" s="114"/>
      <c r="FKF14" s="114"/>
      <c r="FKG14" s="114"/>
      <c r="FKH14" s="114"/>
      <c r="FKI14" s="114"/>
      <c r="FKJ14" s="114"/>
      <c r="FKK14" s="114"/>
      <c r="FKL14" s="114"/>
      <c r="FKM14" s="114"/>
      <c r="FKN14" s="114"/>
      <c r="FKO14" s="114"/>
      <c r="FKP14" s="114"/>
      <c r="FKQ14" s="114"/>
      <c r="FKR14" s="114"/>
      <c r="FKS14" s="114"/>
      <c r="FKT14" s="114"/>
      <c r="FKU14" s="114"/>
      <c r="FKV14" s="114"/>
      <c r="FKW14" s="114"/>
      <c r="FKX14" s="114"/>
      <c r="FKY14" s="114"/>
      <c r="FKZ14" s="114"/>
      <c r="FLA14" s="114"/>
      <c r="FLB14" s="114"/>
      <c r="FLC14" s="114"/>
      <c r="FLD14" s="114"/>
      <c r="FLE14" s="114"/>
      <c r="FLF14" s="114"/>
      <c r="FLG14" s="114"/>
      <c r="FLH14" s="114"/>
      <c r="FLI14" s="114"/>
      <c r="FLJ14" s="114"/>
      <c r="FLK14" s="114"/>
      <c r="FLL14" s="114"/>
      <c r="FLM14" s="114"/>
      <c r="FLN14" s="114"/>
      <c r="FLO14" s="114"/>
      <c r="FLP14" s="114"/>
      <c r="FLQ14" s="114"/>
      <c r="FLR14" s="114"/>
      <c r="FLS14" s="114"/>
      <c r="FLT14" s="114"/>
      <c r="FLU14" s="114"/>
      <c r="FLV14" s="114"/>
      <c r="FLW14" s="114"/>
      <c r="FLX14" s="114"/>
      <c r="FLY14" s="114"/>
      <c r="FLZ14" s="114"/>
      <c r="FMA14" s="114"/>
      <c r="FMB14" s="114"/>
      <c r="FMC14" s="114"/>
      <c r="FMD14" s="114"/>
      <c r="FME14" s="114"/>
      <c r="FMF14" s="114"/>
      <c r="FMG14" s="114"/>
      <c r="FMH14" s="114"/>
      <c r="FMI14" s="114"/>
      <c r="FMJ14" s="114"/>
      <c r="FMK14" s="114"/>
      <c r="FML14" s="114"/>
      <c r="FMM14" s="114"/>
      <c r="FMN14" s="114"/>
      <c r="FMO14" s="114"/>
      <c r="FMP14" s="114"/>
      <c r="FMQ14" s="114"/>
      <c r="FMR14" s="114"/>
      <c r="FMS14" s="114"/>
      <c r="FMT14" s="114"/>
      <c r="FMU14" s="114"/>
      <c r="FMV14" s="114"/>
      <c r="FMW14" s="114"/>
      <c r="FMX14" s="114"/>
      <c r="FMY14" s="114"/>
      <c r="FMZ14" s="114"/>
      <c r="FNA14" s="114"/>
      <c r="FNB14" s="114"/>
      <c r="FNC14" s="114"/>
      <c r="FND14" s="114"/>
      <c r="FNE14" s="114"/>
      <c r="FNF14" s="114"/>
      <c r="FNG14" s="114"/>
      <c r="FNH14" s="114"/>
      <c r="FNI14" s="114"/>
      <c r="FNJ14" s="114"/>
      <c r="FNK14" s="114"/>
      <c r="FNL14" s="114"/>
      <c r="FNM14" s="114"/>
      <c r="FNN14" s="114"/>
      <c r="FNO14" s="114"/>
      <c r="FNP14" s="114"/>
      <c r="FNQ14" s="114"/>
      <c r="FNR14" s="114"/>
      <c r="FNS14" s="114"/>
      <c r="FNT14" s="114"/>
      <c r="FNU14" s="114"/>
      <c r="FNV14" s="114"/>
      <c r="FNW14" s="114"/>
      <c r="FNX14" s="114"/>
      <c r="FNY14" s="114"/>
      <c r="FNZ14" s="114"/>
      <c r="FOA14" s="114"/>
      <c r="FOB14" s="114"/>
      <c r="FOC14" s="114"/>
      <c r="FOD14" s="114"/>
      <c r="FOE14" s="114"/>
      <c r="FOF14" s="114"/>
      <c r="FOG14" s="114"/>
      <c r="FOH14" s="114"/>
      <c r="FOI14" s="114"/>
      <c r="FOJ14" s="114"/>
      <c r="FOK14" s="114"/>
      <c r="FOL14" s="114"/>
      <c r="FOM14" s="114"/>
      <c r="FON14" s="114"/>
      <c r="FOO14" s="114"/>
      <c r="FOP14" s="114"/>
      <c r="FOQ14" s="114"/>
      <c r="FOR14" s="114"/>
      <c r="FOS14" s="114"/>
      <c r="FOT14" s="114"/>
      <c r="FOU14" s="114"/>
      <c r="FOV14" s="114"/>
      <c r="FOW14" s="114"/>
      <c r="FOX14" s="114"/>
      <c r="FOY14" s="114"/>
      <c r="FOZ14" s="114"/>
      <c r="FPA14" s="114"/>
      <c r="FPB14" s="114"/>
      <c r="FPC14" s="114"/>
      <c r="FPD14" s="114"/>
      <c r="FPE14" s="114"/>
      <c r="FPF14" s="114"/>
      <c r="FPG14" s="114"/>
      <c r="FPH14" s="114"/>
      <c r="FPI14" s="114"/>
      <c r="FPJ14" s="114"/>
      <c r="FPK14" s="114"/>
      <c r="FPL14" s="114"/>
      <c r="FPM14" s="114"/>
      <c r="FPN14" s="114"/>
      <c r="FPO14" s="114"/>
      <c r="FPP14" s="114"/>
      <c r="FPQ14" s="114"/>
      <c r="FPR14" s="114"/>
      <c r="FPS14" s="114"/>
      <c r="FPT14" s="114"/>
      <c r="FPU14" s="114"/>
      <c r="FPV14" s="114"/>
      <c r="FPW14" s="114"/>
      <c r="FPX14" s="114"/>
      <c r="FPY14" s="114"/>
      <c r="FPZ14" s="114"/>
      <c r="FQA14" s="114"/>
      <c r="FQB14" s="114"/>
      <c r="FQC14" s="114"/>
      <c r="FQD14" s="114"/>
      <c r="FQE14" s="114"/>
      <c r="FQF14" s="114"/>
      <c r="FQG14" s="114"/>
      <c r="FQH14" s="114"/>
      <c r="FQI14" s="114"/>
      <c r="FQJ14" s="114"/>
      <c r="FQK14" s="114"/>
      <c r="FQL14" s="114"/>
      <c r="FQM14" s="114"/>
      <c r="FQN14" s="114"/>
      <c r="FQO14" s="114"/>
      <c r="FQP14" s="114"/>
      <c r="FQQ14" s="114"/>
      <c r="FQR14" s="114"/>
      <c r="FQS14" s="114"/>
      <c r="FQT14" s="114"/>
      <c r="FQU14" s="114"/>
      <c r="FQV14" s="114"/>
      <c r="FQW14" s="114"/>
      <c r="FQX14" s="114"/>
      <c r="FQY14" s="114"/>
      <c r="FQZ14" s="114"/>
      <c r="FRA14" s="114"/>
      <c r="FRB14" s="114"/>
      <c r="FRC14" s="114"/>
      <c r="FRD14" s="114"/>
      <c r="FRE14" s="114"/>
      <c r="FRF14" s="114"/>
      <c r="FRG14" s="114"/>
      <c r="FRH14" s="114"/>
      <c r="FRI14" s="114"/>
      <c r="FRJ14" s="114"/>
      <c r="FRK14" s="114"/>
      <c r="FRL14" s="114"/>
      <c r="FRM14" s="114"/>
      <c r="FRN14" s="114"/>
      <c r="FRO14" s="114"/>
      <c r="FRP14" s="114"/>
      <c r="FRQ14" s="114"/>
      <c r="FRR14" s="114"/>
      <c r="FRS14" s="114"/>
      <c r="FRT14" s="114"/>
      <c r="FRU14" s="114"/>
      <c r="FRV14" s="114"/>
      <c r="FRW14" s="114"/>
      <c r="FRX14" s="114"/>
      <c r="FRY14" s="114"/>
      <c r="FRZ14" s="114"/>
      <c r="FSA14" s="114"/>
      <c r="FSB14" s="114"/>
      <c r="FSC14" s="114"/>
      <c r="FSD14" s="114"/>
      <c r="FSE14" s="114"/>
      <c r="FSF14" s="114"/>
      <c r="FSG14" s="114"/>
      <c r="FSH14" s="114"/>
      <c r="FSI14" s="114"/>
      <c r="FSJ14" s="114"/>
      <c r="FSK14" s="114"/>
      <c r="FSL14" s="114"/>
      <c r="FSM14" s="114"/>
      <c r="FSN14" s="114"/>
      <c r="FSO14" s="114"/>
      <c r="FSP14" s="114"/>
      <c r="FSQ14" s="114"/>
      <c r="FSR14" s="114"/>
      <c r="FSS14" s="114"/>
      <c r="FST14" s="114"/>
      <c r="FSU14" s="114"/>
      <c r="FSV14" s="114"/>
      <c r="FSW14" s="114"/>
      <c r="FSX14" s="114"/>
      <c r="FSY14" s="114"/>
      <c r="FSZ14" s="114"/>
      <c r="FTA14" s="114"/>
      <c r="FTB14" s="114"/>
      <c r="FTC14" s="114"/>
      <c r="FTD14" s="114"/>
      <c r="FTE14" s="114"/>
      <c r="FTF14" s="114"/>
      <c r="FTG14" s="114"/>
      <c r="FTH14" s="114"/>
      <c r="FTI14" s="114"/>
      <c r="FTJ14" s="114"/>
      <c r="FTK14" s="114"/>
      <c r="FTL14" s="114"/>
      <c r="FTM14" s="114"/>
      <c r="FTN14" s="114"/>
      <c r="FTO14" s="114"/>
      <c r="FTP14" s="114"/>
      <c r="FTQ14" s="114"/>
      <c r="FTR14" s="114"/>
      <c r="FTS14" s="114"/>
      <c r="FTT14" s="114"/>
      <c r="FTU14" s="114"/>
      <c r="FTV14" s="114"/>
      <c r="FTW14" s="114"/>
      <c r="FTX14" s="114"/>
      <c r="FTY14" s="114"/>
      <c r="FTZ14" s="114"/>
      <c r="FUA14" s="114"/>
      <c r="FUB14" s="114"/>
      <c r="FUC14" s="114"/>
      <c r="FUD14" s="114"/>
      <c r="FUE14" s="114"/>
      <c r="FUF14" s="114"/>
      <c r="FUG14" s="114"/>
      <c r="FUH14" s="114"/>
      <c r="FUI14" s="114"/>
      <c r="FUJ14" s="114"/>
      <c r="FUK14" s="114"/>
      <c r="FUL14" s="114"/>
      <c r="FUM14" s="114"/>
      <c r="FUN14" s="114"/>
      <c r="FUO14" s="114"/>
      <c r="FUP14" s="114"/>
      <c r="FUQ14" s="114"/>
      <c r="FUR14" s="114"/>
      <c r="FUS14" s="114"/>
      <c r="FUT14" s="114"/>
      <c r="FUU14" s="114"/>
      <c r="FUV14" s="114"/>
      <c r="FUW14" s="114"/>
      <c r="FUX14" s="114"/>
      <c r="FUY14" s="114"/>
      <c r="FUZ14" s="114"/>
      <c r="FVA14" s="114"/>
      <c r="FVB14" s="114"/>
      <c r="FVC14" s="114"/>
      <c r="FVD14" s="114"/>
      <c r="FVE14" s="114"/>
      <c r="FVF14" s="114"/>
      <c r="FVG14" s="114"/>
      <c r="FVH14" s="114"/>
      <c r="FVI14" s="114"/>
      <c r="FVJ14" s="114"/>
      <c r="FVK14" s="114"/>
      <c r="FVL14" s="114"/>
      <c r="FVM14" s="114"/>
      <c r="FVN14" s="114"/>
      <c r="FVO14" s="114"/>
      <c r="FVP14" s="114"/>
      <c r="FVQ14" s="114"/>
      <c r="FVR14" s="114"/>
      <c r="FVS14" s="114"/>
      <c r="FVT14" s="114"/>
      <c r="FVU14" s="114"/>
      <c r="FVV14" s="114"/>
      <c r="FVW14" s="114"/>
      <c r="FVX14" s="114"/>
      <c r="FVY14" s="114"/>
      <c r="FVZ14" s="114"/>
      <c r="FWA14" s="114"/>
      <c r="FWB14" s="114"/>
      <c r="FWC14" s="114"/>
      <c r="FWD14" s="114"/>
      <c r="FWE14" s="114"/>
      <c r="FWF14" s="114"/>
      <c r="FWG14" s="114"/>
      <c r="FWH14" s="114"/>
      <c r="FWI14" s="114"/>
      <c r="FWJ14" s="114"/>
      <c r="FWK14" s="114"/>
      <c r="FWL14" s="114"/>
      <c r="FWM14" s="114"/>
      <c r="FWN14" s="114"/>
      <c r="FWO14" s="114"/>
      <c r="FWP14" s="114"/>
      <c r="FWQ14" s="114"/>
      <c r="FWR14" s="114"/>
      <c r="FWS14" s="114"/>
      <c r="FWT14" s="114"/>
      <c r="FWU14" s="114"/>
      <c r="FWV14" s="114"/>
      <c r="FWW14" s="114"/>
      <c r="FWX14" s="114"/>
      <c r="FWY14" s="114"/>
      <c r="FWZ14" s="114"/>
      <c r="FXA14" s="114"/>
      <c r="FXB14" s="114"/>
      <c r="FXC14" s="114"/>
      <c r="FXD14" s="114"/>
      <c r="FXE14" s="114"/>
      <c r="FXF14" s="114"/>
      <c r="FXG14" s="114"/>
      <c r="FXH14" s="114"/>
      <c r="FXI14" s="114"/>
      <c r="FXJ14" s="114"/>
      <c r="FXK14" s="114"/>
      <c r="FXL14" s="114"/>
      <c r="FXM14" s="114"/>
      <c r="FXN14" s="114"/>
      <c r="FXO14" s="114"/>
      <c r="FXP14" s="114"/>
      <c r="FXQ14" s="114"/>
      <c r="FXR14" s="114"/>
      <c r="FXS14" s="114"/>
      <c r="FXT14" s="114"/>
      <c r="FXU14" s="114"/>
      <c r="FXV14" s="114"/>
      <c r="FXW14" s="114"/>
      <c r="FXX14" s="114"/>
      <c r="FXY14" s="114"/>
      <c r="FXZ14" s="114"/>
      <c r="FYA14" s="114"/>
      <c r="FYB14" s="114"/>
      <c r="FYC14" s="114"/>
      <c r="FYD14" s="114"/>
      <c r="FYE14" s="114"/>
      <c r="FYF14" s="114"/>
      <c r="FYG14" s="114"/>
      <c r="FYH14" s="114"/>
      <c r="FYI14" s="114"/>
      <c r="FYJ14" s="114"/>
      <c r="FYK14" s="114"/>
      <c r="FYL14" s="114"/>
      <c r="FYM14" s="114"/>
      <c r="FYN14" s="114"/>
      <c r="FYO14" s="114"/>
      <c r="FYP14" s="114"/>
      <c r="FYQ14" s="114"/>
      <c r="FYR14" s="114"/>
      <c r="FYS14" s="114"/>
      <c r="FYT14" s="114"/>
      <c r="FYU14" s="114"/>
      <c r="FYV14" s="114"/>
      <c r="FYW14" s="114"/>
      <c r="FYX14" s="114"/>
      <c r="FYY14" s="114"/>
      <c r="FYZ14" s="114"/>
      <c r="FZA14" s="114"/>
      <c r="FZB14" s="114"/>
      <c r="FZC14" s="114"/>
      <c r="FZD14" s="114"/>
      <c r="FZE14" s="114"/>
      <c r="FZF14" s="114"/>
      <c r="FZG14" s="114"/>
      <c r="FZH14" s="114"/>
      <c r="FZI14" s="114"/>
      <c r="FZJ14" s="114"/>
      <c r="FZK14" s="114"/>
      <c r="FZL14" s="114"/>
      <c r="FZM14" s="114"/>
      <c r="FZN14" s="114"/>
      <c r="FZO14" s="114"/>
      <c r="FZP14" s="114"/>
      <c r="FZQ14" s="114"/>
      <c r="FZR14" s="114"/>
      <c r="FZS14" s="114"/>
      <c r="FZT14" s="114"/>
      <c r="FZU14" s="114"/>
      <c r="FZV14" s="114"/>
      <c r="FZW14" s="114"/>
      <c r="FZX14" s="114"/>
      <c r="FZY14" s="114"/>
      <c r="FZZ14" s="114"/>
      <c r="GAA14" s="114"/>
      <c r="GAB14" s="114"/>
      <c r="GAC14" s="114"/>
      <c r="GAD14" s="114"/>
      <c r="GAE14" s="114"/>
      <c r="GAF14" s="114"/>
      <c r="GAG14" s="114"/>
      <c r="GAH14" s="114"/>
      <c r="GAI14" s="114"/>
      <c r="GAJ14" s="114"/>
      <c r="GAK14" s="114"/>
      <c r="GAL14" s="114"/>
      <c r="GAM14" s="114"/>
      <c r="GAN14" s="114"/>
      <c r="GAO14" s="114"/>
      <c r="GAP14" s="114"/>
      <c r="GAQ14" s="114"/>
      <c r="GAR14" s="114"/>
      <c r="GAS14" s="114"/>
      <c r="GAT14" s="114"/>
      <c r="GAU14" s="114"/>
      <c r="GAV14" s="114"/>
      <c r="GAW14" s="114"/>
      <c r="GAX14" s="114"/>
      <c r="GAY14" s="114"/>
      <c r="GAZ14" s="114"/>
      <c r="GBA14" s="114"/>
      <c r="GBB14" s="114"/>
      <c r="GBC14" s="114"/>
      <c r="GBD14" s="114"/>
      <c r="GBE14" s="114"/>
      <c r="GBF14" s="114"/>
      <c r="GBG14" s="114"/>
      <c r="GBH14" s="114"/>
      <c r="GBI14" s="114"/>
      <c r="GBJ14" s="114"/>
      <c r="GBK14" s="114"/>
      <c r="GBL14" s="114"/>
      <c r="GBM14" s="114"/>
      <c r="GBN14" s="114"/>
      <c r="GBO14" s="114"/>
      <c r="GBP14" s="114"/>
      <c r="GBQ14" s="114"/>
      <c r="GBR14" s="114"/>
      <c r="GBS14" s="114"/>
      <c r="GBT14" s="114"/>
      <c r="GBU14" s="114"/>
      <c r="GBV14" s="114"/>
      <c r="GBW14" s="114"/>
      <c r="GBX14" s="114"/>
      <c r="GBY14" s="114"/>
      <c r="GBZ14" s="114"/>
      <c r="GCA14" s="114"/>
      <c r="GCB14" s="114"/>
      <c r="GCC14" s="114"/>
      <c r="GCD14" s="114"/>
      <c r="GCE14" s="114"/>
      <c r="GCF14" s="114"/>
      <c r="GCG14" s="114"/>
      <c r="GCH14" s="114"/>
      <c r="GCI14" s="114"/>
      <c r="GCJ14" s="114"/>
      <c r="GCK14" s="114"/>
      <c r="GCL14" s="114"/>
      <c r="GCM14" s="114"/>
      <c r="GCN14" s="114"/>
      <c r="GCO14" s="114"/>
      <c r="GCP14" s="114"/>
      <c r="GCQ14" s="114"/>
      <c r="GCR14" s="114"/>
      <c r="GCS14" s="114"/>
      <c r="GCT14" s="114"/>
      <c r="GCU14" s="114"/>
      <c r="GCV14" s="114"/>
      <c r="GCW14" s="114"/>
      <c r="GCX14" s="114"/>
      <c r="GCY14" s="114"/>
      <c r="GCZ14" s="114"/>
      <c r="GDA14" s="114"/>
      <c r="GDB14" s="114"/>
      <c r="GDC14" s="114"/>
      <c r="GDD14" s="114"/>
      <c r="GDE14" s="114"/>
      <c r="GDF14" s="114"/>
      <c r="GDG14" s="114"/>
      <c r="GDH14" s="114"/>
      <c r="GDI14" s="114"/>
      <c r="GDJ14" s="114"/>
      <c r="GDK14" s="114"/>
      <c r="GDL14" s="114"/>
      <c r="GDM14" s="114"/>
      <c r="GDN14" s="114"/>
      <c r="GDO14" s="114"/>
      <c r="GDP14" s="114"/>
      <c r="GDQ14" s="114"/>
      <c r="GDR14" s="114"/>
      <c r="GDS14" s="114"/>
      <c r="GDT14" s="114"/>
      <c r="GDU14" s="114"/>
      <c r="GDV14" s="114"/>
      <c r="GDW14" s="114"/>
      <c r="GDX14" s="114"/>
      <c r="GDY14" s="114"/>
      <c r="GDZ14" s="114"/>
      <c r="GEA14" s="114"/>
      <c r="GEB14" s="114"/>
      <c r="GEC14" s="114"/>
      <c r="GED14" s="114"/>
      <c r="GEE14" s="114"/>
      <c r="GEF14" s="114"/>
      <c r="GEG14" s="114"/>
      <c r="GEH14" s="114"/>
      <c r="GEI14" s="114"/>
      <c r="GEJ14" s="114"/>
      <c r="GEK14" s="114"/>
      <c r="GEL14" s="114"/>
      <c r="GEM14" s="114"/>
      <c r="GEN14" s="114"/>
      <c r="GEO14" s="114"/>
      <c r="GEP14" s="114"/>
      <c r="GEQ14" s="114"/>
      <c r="GER14" s="114"/>
      <c r="GES14" s="114"/>
      <c r="GET14" s="114"/>
      <c r="GEU14" s="114"/>
      <c r="GEV14" s="114"/>
      <c r="GEW14" s="114"/>
      <c r="GEX14" s="114"/>
      <c r="GEY14" s="114"/>
      <c r="GEZ14" s="114"/>
      <c r="GFA14" s="114"/>
      <c r="GFB14" s="114"/>
      <c r="GFC14" s="114"/>
      <c r="GFD14" s="114"/>
      <c r="GFE14" s="114"/>
      <c r="GFF14" s="114"/>
      <c r="GFG14" s="114"/>
      <c r="GFH14" s="114"/>
      <c r="GFI14" s="114"/>
      <c r="GFJ14" s="114"/>
      <c r="GFK14" s="114"/>
      <c r="GFL14" s="114"/>
      <c r="GFM14" s="114"/>
      <c r="GFN14" s="114"/>
      <c r="GFO14" s="114"/>
      <c r="GFP14" s="114"/>
      <c r="GFQ14" s="114"/>
      <c r="GFR14" s="114"/>
      <c r="GFS14" s="114"/>
      <c r="GFT14" s="114"/>
      <c r="GFU14" s="114"/>
      <c r="GFV14" s="114"/>
      <c r="GFW14" s="114"/>
      <c r="GFX14" s="114"/>
      <c r="GFY14" s="114"/>
      <c r="GFZ14" s="114"/>
      <c r="GGA14" s="114"/>
      <c r="GGB14" s="114"/>
      <c r="GGC14" s="114"/>
      <c r="GGD14" s="114"/>
      <c r="GGE14" s="114"/>
      <c r="GGF14" s="114"/>
      <c r="GGG14" s="114"/>
      <c r="GGH14" s="114"/>
      <c r="GGI14" s="114"/>
      <c r="GGJ14" s="114"/>
      <c r="GGK14" s="114"/>
      <c r="GGL14" s="114"/>
      <c r="GGM14" s="114"/>
      <c r="GGN14" s="114"/>
      <c r="GGO14" s="114"/>
      <c r="GGP14" s="114"/>
      <c r="GGQ14" s="114"/>
      <c r="GGR14" s="114"/>
      <c r="GGS14" s="114"/>
      <c r="GGT14" s="114"/>
      <c r="GGU14" s="114"/>
      <c r="GGV14" s="114"/>
      <c r="GGW14" s="114"/>
      <c r="GGX14" s="114"/>
      <c r="GGY14" s="114"/>
      <c r="GGZ14" s="114"/>
      <c r="GHA14" s="114"/>
      <c r="GHB14" s="114"/>
      <c r="GHC14" s="114"/>
      <c r="GHD14" s="114"/>
      <c r="GHE14" s="114"/>
      <c r="GHF14" s="114"/>
      <c r="GHG14" s="114"/>
      <c r="GHH14" s="114"/>
      <c r="GHI14" s="114"/>
      <c r="GHJ14" s="114"/>
      <c r="GHK14" s="114"/>
      <c r="GHL14" s="114"/>
      <c r="GHM14" s="114"/>
      <c r="GHN14" s="114"/>
      <c r="GHO14" s="114"/>
      <c r="GHP14" s="114"/>
      <c r="GHQ14" s="114"/>
      <c r="GHR14" s="114"/>
      <c r="GHS14" s="114"/>
      <c r="GHT14" s="114"/>
      <c r="GHU14" s="114"/>
      <c r="GHV14" s="114"/>
      <c r="GHW14" s="114"/>
      <c r="GHX14" s="114"/>
      <c r="GHY14" s="114"/>
      <c r="GHZ14" s="114"/>
      <c r="GIA14" s="114"/>
      <c r="GIB14" s="114"/>
      <c r="GIC14" s="114"/>
      <c r="GID14" s="114"/>
      <c r="GIE14" s="114"/>
      <c r="GIF14" s="114"/>
      <c r="GIG14" s="114"/>
      <c r="GIH14" s="114"/>
      <c r="GII14" s="114"/>
      <c r="GIJ14" s="114"/>
      <c r="GIK14" s="114"/>
      <c r="GIL14" s="114"/>
      <c r="GIM14" s="114"/>
      <c r="GIN14" s="114"/>
      <c r="GIO14" s="114"/>
      <c r="GIP14" s="114"/>
      <c r="GIQ14" s="114"/>
      <c r="GIR14" s="114"/>
      <c r="GIS14" s="114"/>
      <c r="GIT14" s="114"/>
      <c r="GIU14" s="114"/>
      <c r="GIV14" s="114"/>
      <c r="GIW14" s="114"/>
      <c r="GIX14" s="114"/>
      <c r="GIY14" s="114"/>
      <c r="GIZ14" s="114"/>
      <c r="GJA14" s="114"/>
      <c r="GJB14" s="114"/>
      <c r="GJC14" s="114"/>
      <c r="GJD14" s="114"/>
      <c r="GJE14" s="114"/>
      <c r="GJF14" s="114"/>
      <c r="GJG14" s="114"/>
      <c r="GJH14" s="114"/>
      <c r="GJI14" s="114"/>
      <c r="GJJ14" s="114"/>
      <c r="GJK14" s="114"/>
      <c r="GJL14" s="114"/>
      <c r="GJM14" s="114"/>
      <c r="GJN14" s="114"/>
      <c r="GJO14" s="114"/>
      <c r="GJP14" s="114"/>
      <c r="GJQ14" s="114"/>
      <c r="GJR14" s="114"/>
      <c r="GJS14" s="114"/>
      <c r="GJT14" s="114"/>
      <c r="GJU14" s="114"/>
      <c r="GJV14" s="114"/>
      <c r="GJW14" s="114"/>
      <c r="GJX14" s="114"/>
      <c r="GJY14" s="114"/>
      <c r="GJZ14" s="114"/>
      <c r="GKA14" s="114"/>
      <c r="GKB14" s="114"/>
      <c r="GKC14" s="114"/>
      <c r="GKD14" s="114"/>
      <c r="GKE14" s="114"/>
      <c r="GKF14" s="114"/>
      <c r="GKG14" s="114"/>
      <c r="GKH14" s="114"/>
      <c r="GKI14" s="114"/>
      <c r="GKJ14" s="114"/>
      <c r="GKK14" s="114"/>
      <c r="GKL14" s="114"/>
      <c r="GKM14" s="114"/>
      <c r="GKN14" s="114"/>
      <c r="GKO14" s="114"/>
      <c r="GKP14" s="114"/>
      <c r="GKQ14" s="114"/>
      <c r="GKR14" s="114"/>
      <c r="GKS14" s="114"/>
      <c r="GKT14" s="114"/>
      <c r="GKU14" s="114"/>
      <c r="GKV14" s="114"/>
      <c r="GKW14" s="114"/>
      <c r="GKX14" s="114"/>
      <c r="GKY14" s="114"/>
      <c r="GKZ14" s="114"/>
      <c r="GLA14" s="114"/>
      <c r="GLB14" s="114"/>
      <c r="GLC14" s="114"/>
      <c r="GLD14" s="114"/>
      <c r="GLE14" s="114"/>
      <c r="GLF14" s="114"/>
      <c r="GLG14" s="114"/>
      <c r="GLH14" s="114"/>
      <c r="GLI14" s="114"/>
      <c r="GLJ14" s="114"/>
      <c r="GLK14" s="114"/>
      <c r="GLL14" s="114"/>
      <c r="GLM14" s="114"/>
      <c r="GLN14" s="114"/>
      <c r="GLO14" s="114"/>
      <c r="GLP14" s="114"/>
      <c r="GLQ14" s="114"/>
      <c r="GLR14" s="114"/>
      <c r="GLS14" s="114"/>
      <c r="GLT14" s="114"/>
      <c r="GLU14" s="114"/>
      <c r="GLV14" s="114"/>
      <c r="GLW14" s="114"/>
      <c r="GLX14" s="114"/>
      <c r="GLY14" s="114"/>
      <c r="GLZ14" s="114"/>
      <c r="GMA14" s="114"/>
      <c r="GMB14" s="114"/>
      <c r="GMC14" s="114"/>
      <c r="GMD14" s="114"/>
      <c r="GME14" s="114"/>
      <c r="GMF14" s="114"/>
      <c r="GMG14" s="114"/>
      <c r="GMH14" s="114"/>
      <c r="GMI14" s="114"/>
      <c r="GMJ14" s="114"/>
      <c r="GMK14" s="114"/>
      <c r="GML14" s="114"/>
      <c r="GMM14" s="114"/>
      <c r="GMN14" s="114"/>
      <c r="GMO14" s="114"/>
      <c r="GMP14" s="114"/>
      <c r="GMQ14" s="114"/>
      <c r="GMR14" s="114"/>
      <c r="GMS14" s="114"/>
      <c r="GMT14" s="114"/>
      <c r="GMU14" s="114"/>
      <c r="GMV14" s="114"/>
      <c r="GMW14" s="114"/>
      <c r="GMX14" s="114"/>
      <c r="GMY14" s="114"/>
      <c r="GMZ14" s="114"/>
      <c r="GNA14" s="114"/>
      <c r="GNB14" s="114"/>
      <c r="GNC14" s="114"/>
      <c r="GND14" s="114"/>
      <c r="GNE14" s="114"/>
      <c r="GNF14" s="114"/>
      <c r="GNG14" s="114"/>
      <c r="GNH14" s="114"/>
      <c r="GNI14" s="114"/>
      <c r="GNJ14" s="114"/>
      <c r="GNK14" s="114"/>
      <c r="GNL14" s="114"/>
      <c r="GNM14" s="114"/>
      <c r="GNN14" s="114"/>
      <c r="GNO14" s="114"/>
      <c r="GNP14" s="114"/>
      <c r="GNQ14" s="114"/>
      <c r="GNR14" s="114"/>
      <c r="GNS14" s="114"/>
      <c r="GNT14" s="114"/>
      <c r="GNU14" s="114"/>
      <c r="GNV14" s="114"/>
      <c r="GNW14" s="114"/>
      <c r="GNX14" s="114"/>
      <c r="GNY14" s="114"/>
      <c r="GNZ14" s="114"/>
      <c r="GOA14" s="114"/>
      <c r="GOB14" s="114"/>
      <c r="GOC14" s="114"/>
      <c r="GOD14" s="114"/>
      <c r="GOE14" s="114"/>
      <c r="GOF14" s="114"/>
      <c r="GOG14" s="114"/>
      <c r="GOH14" s="114"/>
      <c r="GOI14" s="114"/>
      <c r="GOJ14" s="114"/>
      <c r="GOK14" s="114"/>
      <c r="GOL14" s="114"/>
      <c r="GOM14" s="114"/>
      <c r="GON14" s="114"/>
      <c r="GOO14" s="114"/>
      <c r="GOP14" s="114"/>
      <c r="GOQ14" s="114"/>
      <c r="GOR14" s="114"/>
      <c r="GOS14" s="114"/>
      <c r="GOT14" s="114"/>
      <c r="GOU14" s="114"/>
      <c r="GOV14" s="114"/>
      <c r="GOW14" s="114"/>
      <c r="GOX14" s="114"/>
      <c r="GOY14" s="114"/>
      <c r="GOZ14" s="114"/>
      <c r="GPA14" s="114"/>
      <c r="GPB14" s="114"/>
      <c r="GPC14" s="114"/>
      <c r="GPD14" s="114"/>
      <c r="GPE14" s="114"/>
      <c r="GPF14" s="114"/>
      <c r="GPG14" s="114"/>
      <c r="GPH14" s="114"/>
      <c r="GPI14" s="114"/>
      <c r="GPJ14" s="114"/>
      <c r="GPK14" s="114"/>
      <c r="GPL14" s="114"/>
      <c r="GPM14" s="114"/>
      <c r="GPN14" s="114"/>
      <c r="GPO14" s="114"/>
      <c r="GPP14" s="114"/>
      <c r="GPQ14" s="114"/>
      <c r="GPR14" s="114"/>
      <c r="GPS14" s="114"/>
      <c r="GPT14" s="114"/>
      <c r="GPU14" s="114"/>
      <c r="GPV14" s="114"/>
      <c r="GPW14" s="114"/>
      <c r="GPX14" s="114"/>
      <c r="GPY14" s="114"/>
      <c r="GPZ14" s="114"/>
      <c r="GQA14" s="114"/>
      <c r="GQB14" s="114"/>
      <c r="GQC14" s="114"/>
      <c r="GQD14" s="114"/>
      <c r="GQE14" s="114"/>
      <c r="GQF14" s="114"/>
      <c r="GQG14" s="114"/>
      <c r="GQH14" s="114"/>
      <c r="GQI14" s="114"/>
      <c r="GQJ14" s="114"/>
      <c r="GQK14" s="114"/>
      <c r="GQL14" s="114"/>
      <c r="GQM14" s="114"/>
      <c r="GQN14" s="114"/>
      <c r="GQO14" s="114"/>
      <c r="GQP14" s="114"/>
      <c r="GQQ14" s="114"/>
      <c r="GQR14" s="114"/>
      <c r="GQS14" s="114"/>
      <c r="GQT14" s="114"/>
      <c r="GQU14" s="114"/>
      <c r="GQV14" s="114"/>
      <c r="GQW14" s="114"/>
      <c r="GQX14" s="114"/>
      <c r="GQY14" s="114"/>
      <c r="GQZ14" s="114"/>
      <c r="GRA14" s="114"/>
      <c r="GRB14" s="114"/>
      <c r="GRC14" s="114"/>
      <c r="GRD14" s="114"/>
      <c r="GRE14" s="114"/>
      <c r="GRF14" s="114"/>
      <c r="GRG14" s="114"/>
      <c r="GRH14" s="114"/>
      <c r="GRI14" s="114"/>
      <c r="GRJ14" s="114"/>
      <c r="GRK14" s="114"/>
      <c r="GRL14" s="114"/>
      <c r="GRM14" s="114"/>
      <c r="GRN14" s="114"/>
      <c r="GRO14" s="114"/>
      <c r="GRP14" s="114"/>
      <c r="GRQ14" s="114"/>
      <c r="GRR14" s="114"/>
      <c r="GRS14" s="114"/>
      <c r="GRT14" s="114"/>
      <c r="GRU14" s="114"/>
      <c r="GRV14" s="114"/>
      <c r="GRW14" s="114"/>
      <c r="GRX14" s="114"/>
      <c r="GRY14" s="114"/>
      <c r="GRZ14" s="114"/>
      <c r="GSA14" s="114"/>
      <c r="GSB14" s="114"/>
      <c r="GSC14" s="114"/>
      <c r="GSD14" s="114"/>
      <c r="GSE14" s="114"/>
      <c r="GSF14" s="114"/>
      <c r="GSG14" s="114"/>
      <c r="GSH14" s="114"/>
      <c r="GSI14" s="114"/>
      <c r="GSJ14" s="114"/>
      <c r="GSK14" s="114"/>
      <c r="GSL14" s="114"/>
      <c r="GSM14" s="114"/>
      <c r="GSN14" s="114"/>
      <c r="GSO14" s="114"/>
      <c r="GSP14" s="114"/>
      <c r="GSQ14" s="114"/>
      <c r="GSR14" s="114"/>
      <c r="GSS14" s="114"/>
      <c r="GST14" s="114"/>
      <c r="GSU14" s="114"/>
      <c r="GSV14" s="114"/>
      <c r="GSW14" s="114"/>
      <c r="GSX14" s="114"/>
      <c r="GSY14" s="114"/>
      <c r="GSZ14" s="114"/>
      <c r="GTA14" s="114"/>
      <c r="GTB14" s="114"/>
      <c r="GTC14" s="114"/>
      <c r="GTD14" s="114"/>
      <c r="GTE14" s="114"/>
      <c r="GTF14" s="114"/>
      <c r="GTG14" s="114"/>
      <c r="GTH14" s="114"/>
      <c r="GTI14" s="114"/>
      <c r="GTJ14" s="114"/>
      <c r="GTK14" s="114"/>
      <c r="GTL14" s="114"/>
      <c r="GTM14" s="114"/>
      <c r="GTN14" s="114"/>
      <c r="GTO14" s="114"/>
      <c r="GTP14" s="114"/>
      <c r="GTQ14" s="114"/>
      <c r="GTR14" s="114"/>
      <c r="GTS14" s="114"/>
      <c r="GTT14" s="114"/>
      <c r="GTU14" s="114"/>
      <c r="GTV14" s="114"/>
      <c r="GTW14" s="114"/>
      <c r="GTX14" s="114"/>
      <c r="GTY14" s="114"/>
      <c r="GTZ14" s="114"/>
      <c r="GUA14" s="114"/>
      <c r="GUB14" s="114"/>
      <c r="GUC14" s="114"/>
      <c r="GUD14" s="114"/>
      <c r="GUE14" s="114"/>
      <c r="GUF14" s="114"/>
      <c r="GUG14" s="114"/>
      <c r="GUH14" s="114"/>
      <c r="GUI14" s="114"/>
      <c r="GUJ14" s="114"/>
      <c r="GUK14" s="114"/>
      <c r="GUL14" s="114"/>
      <c r="GUM14" s="114"/>
      <c r="GUN14" s="114"/>
      <c r="GUO14" s="114"/>
      <c r="GUP14" s="114"/>
      <c r="GUQ14" s="114"/>
      <c r="GUR14" s="114"/>
      <c r="GUS14" s="114"/>
      <c r="GUT14" s="114"/>
      <c r="GUU14" s="114"/>
      <c r="GUV14" s="114"/>
      <c r="GUW14" s="114"/>
      <c r="GUX14" s="114"/>
      <c r="GUY14" s="114"/>
      <c r="GUZ14" s="114"/>
      <c r="GVA14" s="114"/>
      <c r="GVB14" s="114"/>
      <c r="GVC14" s="114"/>
      <c r="GVD14" s="114"/>
      <c r="GVE14" s="114"/>
      <c r="GVF14" s="114"/>
      <c r="GVG14" s="114"/>
      <c r="GVH14" s="114"/>
      <c r="GVI14" s="114"/>
      <c r="GVJ14" s="114"/>
      <c r="GVK14" s="114"/>
      <c r="GVL14" s="114"/>
      <c r="GVM14" s="114"/>
      <c r="GVN14" s="114"/>
      <c r="GVO14" s="114"/>
      <c r="GVP14" s="114"/>
      <c r="GVQ14" s="114"/>
      <c r="GVR14" s="114"/>
      <c r="GVS14" s="114"/>
      <c r="GVT14" s="114"/>
      <c r="GVU14" s="114"/>
      <c r="GVV14" s="114"/>
      <c r="GVW14" s="114"/>
      <c r="GVX14" s="114"/>
      <c r="GVY14" s="114"/>
      <c r="GVZ14" s="114"/>
      <c r="GWA14" s="114"/>
      <c r="GWB14" s="114"/>
      <c r="GWC14" s="114"/>
      <c r="GWD14" s="114"/>
      <c r="GWE14" s="114"/>
      <c r="GWF14" s="114"/>
      <c r="GWG14" s="114"/>
      <c r="GWH14" s="114"/>
      <c r="GWI14" s="114"/>
      <c r="GWJ14" s="114"/>
      <c r="GWK14" s="114"/>
      <c r="GWL14" s="114"/>
      <c r="GWM14" s="114"/>
      <c r="GWN14" s="114"/>
      <c r="GWO14" s="114"/>
      <c r="GWP14" s="114"/>
      <c r="GWQ14" s="114"/>
      <c r="GWR14" s="114"/>
      <c r="GWS14" s="114"/>
      <c r="GWT14" s="114"/>
      <c r="GWU14" s="114"/>
      <c r="GWV14" s="114"/>
      <c r="GWW14" s="114"/>
      <c r="GWX14" s="114"/>
      <c r="GWY14" s="114"/>
      <c r="GWZ14" s="114"/>
      <c r="GXA14" s="114"/>
      <c r="GXB14" s="114"/>
      <c r="GXC14" s="114"/>
      <c r="GXD14" s="114"/>
      <c r="GXE14" s="114"/>
      <c r="GXF14" s="114"/>
      <c r="GXG14" s="114"/>
      <c r="GXH14" s="114"/>
      <c r="GXI14" s="114"/>
      <c r="GXJ14" s="114"/>
      <c r="GXK14" s="114"/>
      <c r="GXL14" s="114"/>
      <c r="GXM14" s="114"/>
      <c r="GXN14" s="114"/>
      <c r="GXO14" s="114"/>
      <c r="GXP14" s="114"/>
      <c r="GXQ14" s="114"/>
      <c r="GXR14" s="114"/>
      <c r="GXS14" s="114"/>
      <c r="GXT14" s="114"/>
      <c r="GXU14" s="114"/>
      <c r="GXV14" s="114"/>
      <c r="GXW14" s="114"/>
      <c r="GXX14" s="114"/>
      <c r="GXY14" s="114"/>
      <c r="GXZ14" s="114"/>
      <c r="GYA14" s="114"/>
      <c r="GYB14" s="114"/>
      <c r="GYC14" s="114"/>
      <c r="GYD14" s="114"/>
      <c r="GYE14" s="114"/>
      <c r="GYF14" s="114"/>
      <c r="GYG14" s="114"/>
      <c r="GYH14" s="114"/>
      <c r="GYI14" s="114"/>
      <c r="GYJ14" s="114"/>
      <c r="GYK14" s="114"/>
      <c r="GYL14" s="114"/>
      <c r="GYM14" s="114"/>
      <c r="GYN14" s="114"/>
      <c r="GYO14" s="114"/>
      <c r="GYP14" s="114"/>
      <c r="GYQ14" s="114"/>
      <c r="GYR14" s="114"/>
      <c r="GYS14" s="114"/>
      <c r="GYT14" s="114"/>
      <c r="GYU14" s="114"/>
      <c r="GYV14" s="114"/>
      <c r="GYW14" s="114"/>
      <c r="GYX14" s="114"/>
      <c r="GYY14" s="114"/>
      <c r="GYZ14" s="114"/>
      <c r="GZA14" s="114"/>
      <c r="GZB14" s="114"/>
      <c r="GZC14" s="114"/>
      <c r="GZD14" s="114"/>
      <c r="GZE14" s="114"/>
      <c r="GZF14" s="114"/>
      <c r="GZG14" s="114"/>
      <c r="GZH14" s="114"/>
      <c r="GZI14" s="114"/>
      <c r="GZJ14" s="114"/>
      <c r="GZK14" s="114"/>
      <c r="GZL14" s="114"/>
      <c r="GZM14" s="114"/>
      <c r="GZN14" s="114"/>
      <c r="GZO14" s="114"/>
      <c r="GZP14" s="114"/>
      <c r="GZQ14" s="114"/>
      <c r="GZR14" s="114"/>
      <c r="GZS14" s="114"/>
      <c r="GZT14" s="114"/>
      <c r="GZU14" s="114"/>
      <c r="GZV14" s="114"/>
      <c r="GZW14" s="114"/>
      <c r="GZX14" s="114"/>
      <c r="GZY14" s="114"/>
      <c r="GZZ14" s="114"/>
      <c r="HAA14" s="114"/>
      <c r="HAB14" s="114"/>
      <c r="HAC14" s="114"/>
      <c r="HAD14" s="114"/>
      <c r="HAE14" s="114"/>
      <c r="HAF14" s="114"/>
      <c r="HAG14" s="114"/>
      <c r="HAH14" s="114"/>
      <c r="HAI14" s="114"/>
      <c r="HAJ14" s="114"/>
      <c r="HAK14" s="114"/>
      <c r="HAL14" s="114"/>
      <c r="HAM14" s="114"/>
      <c r="HAN14" s="114"/>
      <c r="HAO14" s="114"/>
      <c r="HAP14" s="114"/>
      <c r="HAQ14" s="114"/>
      <c r="HAR14" s="114"/>
      <c r="HAS14" s="114"/>
      <c r="HAT14" s="114"/>
      <c r="HAU14" s="114"/>
      <c r="HAV14" s="114"/>
      <c r="HAW14" s="114"/>
      <c r="HAX14" s="114"/>
      <c r="HAY14" s="114"/>
      <c r="HAZ14" s="114"/>
      <c r="HBA14" s="114"/>
      <c r="HBB14" s="114"/>
      <c r="HBC14" s="114"/>
      <c r="HBD14" s="114"/>
      <c r="HBE14" s="114"/>
      <c r="HBF14" s="114"/>
      <c r="HBG14" s="114"/>
      <c r="HBH14" s="114"/>
      <c r="HBI14" s="114"/>
      <c r="HBJ14" s="114"/>
      <c r="HBK14" s="114"/>
      <c r="HBL14" s="114"/>
      <c r="HBM14" s="114"/>
      <c r="HBN14" s="114"/>
      <c r="HBO14" s="114"/>
      <c r="HBP14" s="114"/>
      <c r="HBQ14" s="114"/>
      <c r="HBR14" s="114"/>
      <c r="HBS14" s="114"/>
      <c r="HBT14" s="114"/>
      <c r="HBU14" s="114"/>
      <c r="HBV14" s="114"/>
      <c r="HBW14" s="114"/>
      <c r="HBX14" s="114"/>
      <c r="HBY14" s="114"/>
      <c r="HBZ14" s="114"/>
      <c r="HCA14" s="114"/>
      <c r="HCB14" s="114"/>
      <c r="HCC14" s="114"/>
      <c r="HCD14" s="114"/>
      <c r="HCE14" s="114"/>
      <c r="HCF14" s="114"/>
      <c r="HCG14" s="114"/>
      <c r="HCH14" s="114"/>
      <c r="HCI14" s="114"/>
      <c r="HCJ14" s="114"/>
      <c r="HCK14" s="114"/>
      <c r="HCL14" s="114"/>
      <c r="HCM14" s="114"/>
      <c r="HCN14" s="114"/>
      <c r="HCO14" s="114"/>
      <c r="HCP14" s="114"/>
      <c r="HCQ14" s="114"/>
      <c r="HCR14" s="114"/>
      <c r="HCS14" s="114"/>
      <c r="HCT14" s="114"/>
      <c r="HCU14" s="114"/>
      <c r="HCV14" s="114"/>
      <c r="HCW14" s="114"/>
      <c r="HCX14" s="114"/>
      <c r="HCY14" s="114"/>
      <c r="HCZ14" s="114"/>
      <c r="HDA14" s="114"/>
      <c r="HDB14" s="114"/>
      <c r="HDC14" s="114"/>
      <c r="HDD14" s="114"/>
      <c r="HDE14" s="114"/>
      <c r="HDF14" s="114"/>
      <c r="HDG14" s="114"/>
      <c r="HDH14" s="114"/>
      <c r="HDI14" s="114"/>
      <c r="HDJ14" s="114"/>
      <c r="HDK14" s="114"/>
      <c r="HDL14" s="114"/>
      <c r="HDM14" s="114"/>
      <c r="HDN14" s="114"/>
      <c r="HDO14" s="114"/>
      <c r="HDP14" s="114"/>
      <c r="HDQ14" s="114"/>
      <c r="HDR14" s="114"/>
      <c r="HDS14" s="114"/>
      <c r="HDT14" s="114"/>
      <c r="HDU14" s="114"/>
      <c r="HDV14" s="114"/>
      <c r="HDW14" s="114"/>
      <c r="HDX14" s="114"/>
      <c r="HDY14" s="114"/>
      <c r="HDZ14" s="114"/>
      <c r="HEA14" s="114"/>
      <c r="HEB14" s="114"/>
      <c r="HEC14" s="114"/>
      <c r="HED14" s="114"/>
      <c r="HEE14" s="114"/>
      <c r="HEF14" s="114"/>
      <c r="HEG14" s="114"/>
      <c r="HEH14" s="114"/>
      <c r="HEI14" s="114"/>
      <c r="HEJ14" s="114"/>
      <c r="HEK14" s="114"/>
      <c r="HEL14" s="114"/>
      <c r="HEM14" s="114"/>
      <c r="HEN14" s="114"/>
      <c r="HEO14" s="114"/>
      <c r="HEP14" s="114"/>
      <c r="HEQ14" s="114"/>
      <c r="HER14" s="114"/>
      <c r="HES14" s="114"/>
      <c r="HET14" s="114"/>
      <c r="HEU14" s="114"/>
      <c r="HEV14" s="114"/>
      <c r="HEW14" s="114"/>
      <c r="HEX14" s="114"/>
      <c r="HEY14" s="114"/>
      <c r="HEZ14" s="114"/>
      <c r="HFA14" s="114"/>
      <c r="HFB14" s="114"/>
      <c r="HFC14" s="114"/>
      <c r="HFD14" s="114"/>
      <c r="HFE14" s="114"/>
      <c r="HFF14" s="114"/>
      <c r="HFG14" s="114"/>
      <c r="HFH14" s="114"/>
      <c r="HFI14" s="114"/>
      <c r="HFJ14" s="114"/>
      <c r="HFK14" s="114"/>
      <c r="HFL14" s="114"/>
      <c r="HFM14" s="114"/>
      <c r="HFN14" s="114"/>
      <c r="HFO14" s="114"/>
      <c r="HFP14" s="114"/>
      <c r="HFQ14" s="114"/>
      <c r="HFR14" s="114"/>
      <c r="HFS14" s="114"/>
      <c r="HFT14" s="114"/>
      <c r="HFU14" s="114"/>
      <c r="HFV14" s="114"/>
      <c r="HFW14" s="114"/>
      <c r="HFX14" s="114"/>
      <c r="HFY14" s="114"/>
      <c r="HFZ14" s="114"/>
      <c r="HGA14" s="114"/>
      <c r="HGB14" s="114"/>
      <c r="HGC14" s="114"/>
      <c r="HGD14" s="114"/>
      <c r="HGE14" s="114"/>
      <c r="HGF14" s="114"/>
      <c r="HGG14" s="114"/>
      <c r="HGH14" s="114"/>
      <c r="HGI14" s="114"/>
      <c r="HGJ14" s="114"/>
      <c r="HGK14" s="114"/>
      <c r="HGL14" s="114"/>
      <c r="HGM14" s="114"/>
      <c r="HGN14" s="114"/>
      <c r="HGO14" s="114"/>
      <c r="HGP14" s="114"/>
      <c r="HGQ14" s="114"/>
      <c r="HGR14" s="114"/>
      <c r="HGS14" s="114"/>
      <c r="HGT14" s="114"/>
      <c r="HGU14" s="114"/>
      <c r="HGV14" s="114"/>
      <c r="HGW14" s="114"/>
      <c r="HGX14" s="114"/>
      <c r="HGY14" s="114"/>
      <c r="HGZ14" s="114"/>
      <c r="HHA14" s="114"/>
      <c r="HHB14" s="114"/>
      <c r="HHC14" s="114"/>
      <c r="HHD14" s="114"/>
      <c r="HHE14" s="114"/>
      <c r="HHF14" s="114"/>
      <c r="HHG14" s="114"/>
      <c r="HHH14" s="114"/>
      <c r="HHI14" s="114"/>
      <c r="HHJ14" s="114"/>
      <c r="HHK14" s="114"/>
      <c r="HHL14" s="114"/>
      <c r="HHM14" s="114"/>
      <c r="HHN14" s="114"/>
      <c r="HHO14" s="114"/>
      <c r="HHP14" s="114"/>
      <c r="HHQ14" s="114"/>
      <c r="HHR14" s="114"/>
      <c r="HHS14" s="114"/>
      <c r="HHT14" s="114"/>
      <c r="HHU14" s="114"/>
      <c r="HHV14" s="114"/>
      <c r="HHW14" s="114"/>
      <c r="HHX14" s="114"/>
      <c r="HHY14" s="114"/>
      <c r="HHZ14" s="114"/>
      <c r="HIA14" s="114"/>
      <c r="HIB14" s="114"/>
      <c r="HIC14" s="114"/>
      <c r="HID14" s="114"/>
      <c r="HIE14" s="114"/>
      <c r="HIF14" s="114"/>
      <c r="HIG14" s="114"/>
      <c r="HIH14" s="114"/>
      <c r="HII14" s="114"/>
      <c r="HIJ14" s="114"/>
      <c r="HIK14" s="114"/>
      <c r="HIL14" s="114"/>
      <c r="HIM14" s="114"/>
      <c r="HIN14" s="114"/>
      <c r="HIO14" s="114"/>
      <c r="HIP14" s="114"/>
      <c r="HIQ14" s="114"/>
      <c r="HIR14" s="114"/>
      <c r="HIS14" s="114"/>
      <c r="HIT14" s="114"/>
      <c r="HIU14" s="114"/>
      <c r="HIV14" s="114"/>
      <c r="HIW14" s="114"/>
      <c r="HIX14" s="114"/>
      <c r="HIY14" s="114"/>
      <c r="HIZ14" s="114"/>
      <c r="HJA14" s="114"/>
      <c r="HJB14" s="114"/>
      <c r="HJC14" s="114"/>
      <c r="HJD14" s="114"/>
      <c r="HJE14" s="114"/>
      <c r="HJF14" s="114"/>
      <c r="HJG14" s="114"/>
      <c r="HJH14" s="114"/>
      <c r="HJI14" s="114"/>
      <c r="HJJ14" s="114"/>
      <c r="HJK14" s="114"/>
      <c r="HJL14" s="114"/>
      <c r="HJM14" s="114"/>
      <c r="HJN14" s="114"/>
      <c r="HJO14" s="114"/>
      <c r="HJP14" s="114"/>
      <c r="HJQ14" s="114"/>
      <c r="HJR14" s="114"/>
      <c r="HJS14" s="114"/>
      <c r="HJT14" s="114"/>
      <c r="HJU14" s="114"/>
      <c r="HJV14" s="114"/>
      <c r="HJW14" s="114"/>
      <c r="HJX14" s="114"/>
      <c r="HJY14" s="114"/>
      <c r="HJZ14" s="114"/>
      <c r="HKA14" s="114"/>
      <c r="HKB14" s="114"/>
      <c r="HKC14" s="114"/>
      <c r="HKD14" s="114"/>
      <c r="HKE14" s="114"/>
      <c r="HKF14" s="114"/>
      <c r="HKG14" s="114"/>
      <c r="HKH14" s="114"/>
      <c r="HKI14" s="114"/>
      <c r="HKJ14" s="114"/>
      <c r="HKK14" s="114"/>
      <c r="HKL14" s="114"/>
      <c r="HKM14" s="114"/>
      <c r="HKN14" s="114"/>
      <c r="HKO14" s="114"/>
      <c r="HKP14" s="114"/>
      <c r="HKQ14" s="114"/>
      <c r="HKR14" s="114"/>
      <c r="HKS14" s="114"/>
      <c r="HKT14" s="114"/>
      <c r="HKU14" s="114"/>
      <c r="HKV14" s="114"/>
      <c r="HKW14" s="114"/>
      <c r="HKX14" s="114"/>
      <c r="HKY14" s="114"/>
      <c r="HKZ14" s="114"/>
      <c r="HLA14" s="114"/>
      <c r="HLB14" s="114"/>
      <c r="HLC14" s="114"/>
      <c r="HLD14" s="114"/>
      <c r="HLE14" s="114"/>
      <c r="HLF14" s="114"/>
      <c r="HLG14" s="114"/>
      <c r="HLH14" s="114"/>
      <c r="HLI14" s="114"/>
      <c r="HLJ14" s="114"/>
      <c r="HLK14" s="114"/>
      <c r="HLL14" s="114"/>
      <c r="HLM14" s="114"/>
      <c r="HLN14" s="114"/>
      <c r="HLO14" s="114"/>
      <c r="HLP14" s="114"/>
      <c r="HLQ14" s="114"/>
      <c r="HLR14" s="114"/>
      <c r="HLS14" s="114"/>
      <c r="HLT14" s="114"/>
      <c r="HLU14" s="114"/>
      <c r="HLV14" s="114"/>
      <c r="HLW14" s="114"/>
      <c r="HLX14" s="114"/>
      <c r="HLY14" s="114"/>
      <c r="HLZ14" s="114"/>
      <c r="HMA14" s="114"/>
      <c r="HMB14" s="114"/>
      <c r="HMC14" s="114"/>
      <c r="HMD14" s="114"/>
      <c r="HME14" s="114"/>
      <c r="HMF14" s="114"/>
      <c r="HMG14" s="114"/>
      <c r="HMH14" s="114"/>
      <c r="HMI14" s="114"/>
      <c r="HMJ14" s="114"/>
      <c r="HMK14" s="114"/>
      <c r="HML14" s="114"/>
      <c r="HMM14" s="114"/>
      <c r="HMN14" s="114"/>
      <c r="HMO14" s="114"/>
      <c r="HMP14" s="114"/>
      <c r="HMQ14" s="114"/>
      <c r="HMR14" s="114"/>
      <c r="HMS14" s="114"/>
      <c r="HMT14" s="114"/>
      <c r="HMU14" s="114"/>
      <c r="HMV14" s="114"/>
      <c r="HMW14" s="114"/>
      <c r="HMX14" s="114"/>
      <c r="HMY14" s="114"/>
      <c r="HMZ14" s="114"/>
      <c r="HNA14" s="114"/>
      <c r="HNB14" s="114"/>
      <c r="HNC14" s="114"/>
      <c r="HND14" s="114"/>
      <c r="HNE14" s="114"/>
      <c r="HNF14" s="114"/>
      <c r="HNG14" s="114"/>
      <c r="HNH14" s="114"/>
      <c r="HNI14" s="114"/>
      <c r="HNJ14" s="114"/>
      <c r="HNK14" s="114"/>
      <c r="HNL14" s="114"/>
      <c r="HNM14" s="114"/>
      <c r="HNN14" s="114"/>
      <c r="HNO14" s="114"/>
      <c r="HNP14" s="114"/>
      <c r="HNQ14" s="114"/>
      <c r="HNR14" s="114"/>
      <c r="HNS14" s="114"/>
      <c r="HNT14" s="114"/>
      <c r="HNU14" s="114"/>
      <c r="HNV14" s="114"/>
      <c r="HNW14" s="114"/>
      <c r="HNX14" s="114"/>
      <c r="HNY14" s="114"/>
      <c r="HNZ14" s="114"/>
      <c r="HOA14" s="114"/>
      <c r="HOB14" s="114"/>
      <c r="HOC14" s="114"/>
      <c r="HOD14" s="114"/>
      <c r="HOE14" s="114"/>
      <c r="HOF14" s="114"/>
      <c r="HOG14" s="114"/>
      <c r="HOH14" s="114"/>
      <c r="HOI14" s="114"/>
      <c r="HOJ14" s="114"/>
      <c r="HOK14" s="114"/>
      <c r="HOL14" s="114"/>
      <c r="HOM14" s="114"/>
      <c r="HON14" s="114"/>
      <c r="HOO14" s="114"/>
      <c r="HOP14" s="114"/>
      <c r="HOQ14" s="114"/>
      <c r="HOR14" s="114"/>
      <c r="HOS14" s="114"/>
      <c r="HOT14" s="114"/>
      <c r="HOU14" s="114"/>
      <c r="HOV14" s="114"/>
      <c r="HOW14" s="114"/>
      <c r="HOX14" s="114"/>
      <c r="HOY14" s="114"/>
      <c r="HOZ14" s="114"/>
      <c r="HPA14" s="114"/>
      <c r="HPB14" s="114"/>
      <c r="HPC14" s="114"/>
      <c r="HPD14" s="114"/>
      <c r="HPE14" s="114"/>
      <c r="HPF14" s="114"/>
      <c r="HPG14" s="114"/>
      <c r="HPH14" s="114"/>
      <c r="HPI14" s="114"/>
      <c r="HPJ14" s="114"/>
      <c r="HPK14" s="114"/>
      <c r="HPL14" s="114"/>
      <c r="HPM14" s="114"/>
      <c r="HPN14" s="114"/>
      <c r="HPO14" s="114"/>
      <c r="HPP14" s="114"/>
      <c r="HPQ14" s="114"/>
      <c r="HPR14" s="114"/>
      <c r="HPS14" s="114"/>
      <c r="HPT14" s="114"/>
      <c r="HPU14" s="114"/>
      <c r="HPV14" s="114"/>
      <c r="HPW14" s="114"/>
      <c r="HPX14" s="114"/>
      <c r="HPY14" s="114"/>
      <c r="HPZ14" s="114"/>
      <c r="HQA14" s="114"/>
      <c r="HQB14" s="114"/>
      <c r="HQC14" s="114"/>
      <c r="HQD14" s="114"/>
      <c r="HQE14" s="114"/>
      <c r="HQF14" s="114"/>
      <c r="HQG14" s="114"/>
      <c r="HQH14" s="114"/>
      <c r="HQI14" s="114"/>
      <c r="HQJ14" s="114"/>
      <c r="HQK14" s="114"/>
      <c r="HQL14" s="114"/>
      <c r="HQM14" s="114"/>
      <c r="HQN14" s="114"/>
      <c r="HQO14" s="114"/>
      <c r="HQP14" s="114"/>
      <c r="HQQ14" s="114"/>
      <c r="HQR14" s="114"/>
      <c r="HQS14" s="114"/>
      <c r="HQT14" s="114"/>
      <c r="HQU14" s="114"/>
      <c r="HQV14" s="114"/>
      <c r="HQW14" s="114"/>
      <c r="HQX14" s="114"/>
      <c r="HQY14" s="114"/>
      <c r="HQZ14" s="114"/>
      <c r="HRA14" s="114"/>
      <c r="HRB14" s="114"/>
      <c r="HRC14" s="114"/>
      <c r="HRD14" s="114"/>
      <c r="HRE14" s="114"/>
      <c r="HRF14" s="114"/>
      <c r="HRG14" s="114"/>
      <c r="HRH14" s="114"/>
      <c r="HRI14" s="114"/>
      <c r="HRJ14" s="114"/>
      <c r="HRK14" s="114"/>
      <c r="HRL14" s="114"/>
      <c r="HRM14" s="114"/>
      <c r="HRN14" s="114"/>
      <c r="HRO14" s="114"/>
      <c r="HRP14" s="114"/>
      <c r="HRQ14" s="114"/>
      <c r="HRR14" s="114"/>
      <c r="HRS14" s="114"/>
      <c r="HRT14" s="114"/>
      <c r="HRU14" s="114"/>
      <c r="HRV14" s="114"/>
      <c r="HRW14" s="114"/>
      <c r="HRX14" s="114"/>
      <c r="HRY14" s="114"/>
      <c r="HRZ14" s="114"/>
      <c r="HSA14" s="114"/>
      <c r="HSB14" s="114"/>
      <c r="HSC14" s="114"/>
      <c r="HSD14" s="114"/>
      <c r="HSE14" s="114"/>
      <c r="HSF14" s="114"/>
      <c r="HSG14" s="114"/>
      <c r="HSH14" s="114"/>
      <c r="HSI14" s="114"/>
      <c r="HSJ14" s="114"/>
      <c r="HSK14" s="114"/>
      <c r="HSL14" s="114"/>
      <c r="HSM14" s="114"/>
      <c r="HSN14" s="114"/>
      <c r="HSO14" s="114"/>
      <c r="HSP14" s="114"/>
      <c r="HSQ14" s="114"/>
      <c r="HSR14" s="114"/>
      <c r="HSS14" s="114"/>
      <c r="HST14" s="114"/>
      <c r="HSU14" s="114"/>
      <c r="HSV14" s="114"/>
      <c r="HSW14" s="114"/>
      <c r="HSX14" s="114"/>
      <c r="HSY14" s="114"/>
      <c r="HSZ14" s="114"/>
      <c r="HTA14" s="114"/>
      <c r="HTB14" s="114"/>
      <c r="HTC14" s="114"/>
      <c r="HTD14" s="114"/>
      <c r="HTE14" s="114"/>
      <c r="HTF14" s="114"/>
      <c r="HTG14" s="114"/>
      <c r="HTH14" s="114"/>
      <c r="HTI14" s="114"/>
      <c r="HTJ14" s="114"/>
      <c r="HTK14" s="114"/>
      <c r="HTL14" s="114"/>
      <c r="HTM14" s="114"/>
      <c r="HTN14" s="114"/>
      <c r="HTO14" s="114"/>
      <c r="HTP14" s="114"/>
      <c r="HTQ14" s="114"/>
      <c r="HTR14" s="114"/>
      <c r="HTS14" s="114"/>
      <c r="HTT14" s="114"/>
      <c r="HTU14" s="114"/>
      <c r="HTV14" s="114"/>
      <c r="HTW14" s="114"/>
      <c r="HTX14" s="114"/>
      <c r="HTY14" s="114"/>
      <c r="HTZ14" s="114"/>
      <c r="HUA14" s="114"/>
      <c r="HUB14" s="114"/>
      <c r="HUC14" s="114"/>
      <c r="HUD14" s="114"/>
      <c r="HUE14" s="114"/>
      <c r="HUF14" s="114"/>
      <c r="HUG14" s="114"/>
      <c r="HUH14" s="114"/>
      <c r="HUI14" s="114"/>
      <c r="HUJ14" s="114"/>
      <c r="HUK14" s="114"/>
      <c r="HUL14" s="114"/>
      <c r="HUM14" s="114"/>
      <c r="HUN14" s="114"/>
      <c r="HUO14" s="114"/>
      <c r="HUP14" s="114"/>
      <c r="HUQ14" s="114"/>
      <c r="HUR14" s="114"/>
      <c r="HUS14" s="114"/>
      <c r="HUT14" s="114"/>
      <c r="HUU14" s="114"/>
      <c r="HUV14" s="114"/>
      <c r="HUW14" s="114"/>
      <c r="HUX14" s="114"/>
      <c r="HUY14" s="114"/>
      <c r="HUZ14" s="114"/>
      <c r="HVA14" s="114"/>
      <c r="HVB14" s="114"/>
      <c r="HVC14" s="114"/>
      <c r="HVD14" s="114"/>
      <c r="HVE14" s="114"/>
      <c r="HVF14" s="114"/>
      <c r="HVG14" s="114"/>
      <c r="HVH14" s="114"/>
      <c r="HVI14" s="114"/>
      <c r="HVJ14" s="114"/>
      <c r="HVK14" s="114"/>
      <c r="HVL14" s="114"/>
      <c r="HVM14" s="114"/>
      <c r="HVN14" s="114"/>
      <c r="HVO14" s="114"/>
      <c r="HVP14" s="114"/>
      <c r="HVQ14" s="114"/>
      <c r="HVR14" s="114"/>
      <c r="HVS14" s="114"/>
      <c r="HVT14" s="114"/>
      <c r="HVU14" s="114"/>
      <c r="HVV14" s="114"/>
      <c r="HVW14" s="114"/>
      <c r="HVX14" s="114"/>
      <c r="HVY14" s="114"/>
      <c r="HVZ14" s="114"/>
      <c r="HWA14" s="114"/>
      <c r="HWB14" s="114"/>
      <c r="HWC14" s="114"/>
      <c r="HWD14" s="114"/>
      <c r="HWE14" s="114"/>
      <c r="HWF14" s="114"/>
      <c r="HWG14" s="114"/>
      <c r="HWH14" s="114"/>
      <c r="HWI14" s="114"/>
      <c r="HWJ14" s="114"/>
      <c r="HWK14" s="114"/>
      <c r="HWL14" s="114"/>
      <c r="HWM14" s="114"/>
      <c r="HWN14" s="114"/>
      <c r="HWO14" s="114"/>
      <c r="HWP14" s="114"/>
      <c r="HWQ14" s="114"/>
      <c r="HWR14" s="114"/>
      <c r="HWS14" s="114"/>
      <c r="HWT14" s="114"/>
      <c r="HWU14" s="114"/>
      <c r="HWV14" s="114"/>
      <c r="HWW14" s="114"/>
      <c r="HWX14" s="114"/>
      <c r="HWY14" s="114"/>
      <c r="HWZ14" s="114"/>
      <c r="HXA14" s="114"/>
      <c r="HXB14" s="114"/>
      <c r="HXC14" s="114"/>
      <c r="HXD14" s="114"/>
      <c r="HXE14" s="114"/>
      <c r="HXF14" s="114"/>
      <c r="HXG14" s="114"/>
      <c r="HXH14" s="114"/>
      <c r="HXI14" s="114"/>
      <c r="HXJ14" s="114"/>
      <c r="HXK14" s="114"/>
      <c r="HXL14" s="114"/>
      <c r="HXM14" s="114"/>
      <c r="HXN14" s="114"/>
      <c r="HXO14" s="114"/>
      <c r="HXP14" s="114"/>
      <c r="HXQ14" s="114"/>
      <c r="HXR14" s="114"/>
      <c r="HXS14" s="114"/>
      <c r="HXT14" s="114"/>
      <c r="HXU14" s="114"/>
      <c r="HXV14" s="114"/>
      <c r="HXW14" s="114"/>
      <c r="HXX14" s="114"/>
      <c r="HXY14" s="114"/>
      <c r="HXZ14" s="114"/>
      <c r="HYA14" s="114"/>
      <c r="HYB14" s="114"/>
      <c r="HYC14" s="114"/>
      <c r="HYD14" s="114"/>
      <c r="HYE14" s="114"/>
      <c r="HYF14" s="114"/>
      <c r="HYG14" s="114"/>
      <c r="HYH14" s="114"/>
      <c r="HYI14" s="114"/>
      <c r="HYJ14" s="114"/>
      <c r="HYK14" s="114"/>
      <c r="HYL14" s="114"/>
      <c r="HYM14" s="114"/>
      <c r="HYN14" s="114"/>
      <c r="HYO14" s="114"/>
      <c r="HYP14" s="114"/>
      <c r="HYQ14" s="114"/>
      <c r="HYR14" s="114"/>
      <c r="HYS14" s="114"/>
      <c r="HYT14" s="114"/>
      <c r="HYU14" s="114"/>
      <c r="HYV14" s="114"/>
      <c r="HYW14" s="114"/>
      <c r="HYX14" s="114"/>
      <c r="HYY14" s="114"/>
      <c r="HYZ14" s="114"/>
      <c r="HZA14" s="114"/>
      <c r="HZB14" s="114"/>
      <c r="HZC14" s="114"/>
      <c r="HZD14" s="114"/>
      <c r="HZE14" s="114"/>
      <c r="HZF14" s="114"/>
      <c r="HZG14" s="114"/>
      <c r="HZH14" s="114"/>
      <c r="HZI14" s="114"/>
      <c r="HZJ14" s="114"/>
      <c r="HZK14" s="114"/>
      <c r="HZL14" s="114"/>
      <c r="HZM14" s="114"/>
      <c r="HZN14" s="114"/>
      <c r="HZO14" s="114"/>
      <c r="HZP14" s="114"/>
      <c r="HZQ14" s="114"/>
      <c r="HZR14" s="114"/>
      <c r="HZS14" s="114"/>
      <c r="HZT14" s="114"/>
      <c r="HZU14" s="114"/>
      <c r="HZV14" s="114"/>
      <c r="HZW14" s="114"/>
      <c r="HZX14" s="114"/>
      <c r="HZY14" s="114"/>
      <c r="HZZ14" s="114"/>
      <c r="IAA14" s="114"/>
      <c r="IAB14" s="114"/>
      <c r="IAC14" s="114"/>
      <c r="IAD14" s="114"/>
      <c r="IAE14" s="114"/>
      <c r="IAF14" s="114"/>
      <c r="IAG14" s="114"/>
      <c r="IAH14" s="114"/>
      <c r="IAI14" s="114"/>
      <c r="IAJ14" s="114"/>
      <c r="IAK14" s="114"/>
      <c r="IAL14" s="114"/>
      <c r="IAM14" s="114"/>
      <c r="IAN14" s="114"/>
      <c r="IAO14" s="114"/>
      <c r="IAP14" s="114"/>
      <c r="IAQ14" s="114"/>
      <c r="IAR14" s="114"/>
      <c r="IAS14" s="114"/>
      <c r="IAT14" s="114"/>
      <c r="IAU14" s="114"/>
      <c r="IAV14" s="114"/>
      <c r="IAW14" s="114"/>
      <c r="IAX14" s="114"/>
      <c r="IAY14" s="114"/>
      <c r="IAZ14" s="114"/>
      <c r="IBA14" s="114"/>
      <c r="IBB14" s="114"/>
      <c r="IBC14" s="114"/>
      <c r="IBD14" s="114"/>
      <c r="IBE14" s="114"/>
      <c r="IBF14" s="114"/>
      <c r="IBG14" s="114"/>
      <c r="IBH14" s="114"/>
      <c r="IBI14" s="114"/>
      <c r="IBJ14" s="114"/>
      <c r="IBK14" s="114"/>
      <c r="IBL14" s="114"/>
      <c r="IBM14" s="114"/>
      <c r="IBN14" s="114"/>
      <c r="IBO14" s="114"/>
      <c r="IBP14" s="114"/>
      <c r="IBQ14" s="114"/>
      <c r="IBR14" s="114"/>
      <c r="IBS14" s="114"/>
      <c r="IBT14" s="114"/>
      <c r="IBU14" s="114"/>
      <c r="IBV14" s="114"/>
      <c r="IBW14" s="114"/>
      <c r="IBX14" s="114"/>
      <c r="IBY14" s="114"/>
      <c r="IBZ14" s="114"/>
      <c r="ICA14" s="114"/>
      <c r="ICB14" s="114"/>
      <c r="ICC14" s="114"/>
      <c r="ICD14" s="114"/>
      <c r="ICE14" s="114"/>
      <c r="ICF14" s="114"/>
      <c r="ICG14" s="114"/>
      <c r="ICH14" s="114"/>
      <c r="ICI14" s="114"/>
      <c r="ICJ14" s="114"/>
      <c r="ICK14" s="114"/>
      <c r="ICL14" s="114"/>
      <c r="ICM14" s="114"/>
      <c r="ICN14" s="114"/>
      <c r="ICO14" s="114"/>
      <c r="ICP14" s="114"/>
      <c r="ICQ14" s="114"/>
      <c r="ICR14" s="114"/>
      <c r="ICS14" s="114"/>
      <c r="ICT14" s="114"/>
      <c r="ICU14" s="114"/>
      <c r="ICV14" s="114"/>
      <c r="ICW14" s="114"/>
      <c r="ICX14" s="114"/>
      <c r="ICY14" s="114"/>
      <c r="ICZ14" s="114"/>
      <c r="IDA14" s="114"/>
      <c r="IDB14" s="114"/>
      <c r="IDC14" s="114"/>
      <c r="IDD14" s="114"/>
      <c r="IDE14" s="114"/>
      <c r="IDF14" s="114"/>
      <c r="IDG14" s="114"/>
      <c r="IDH14" s="114"/>
      <c r="IDI14" s="114"/>
      <c r="IDJ14" s="114"/>
      <c r="IDK14" s="114"/>
      <c r="IDL14" s="114"/>
      <c r="IDM14" s="114"/>
      <c r="IDN14" s="114"/>
      <c r="IDO14" s="114"/>
      <c r="IDP14" s="114"/>
      <c r="IDQ14" s="114"/>
      <c r="IDR14" s="114"/>
      <c r="IDS14" s="114"/>
      <c r="IDT14" s="114"/>
      <c r="IDU14" s="114"/>
      <c r="IDV14" s="114"/>
      <c r="IDW14" s="114"/>
      <c r="IDX14" s="114"/>
      <c r="IDY14" s="114"/>
      <c r="IDZ14" s="114"/>
      <c r="IEA14" s="114"/>
      <c r="IEB14" s="114"/>
      <c r="IEC14" s="114"/>
      <c r="IED14" s="114"/>
      <c r="IEE14" s="114"/>
      <c r="IEF14" s="114"/>
      <c r="IEG14" s="114"/>
      <c r="IEH14" s="114"/>
      <c r="IEI14" s="114"/>
      <c r="IEJ14" s="114"/>
      <c r="IEK14" s="114"/>
      <c r="IEL14" s="114"/>
      <c r="IEM14" s="114"/>
      <c r="IEN14" s="114"/>
      <c r="IEO14" s="114"/>
      <c r="IEP14" s="114"/>
      <c r="IEQ14" s="114"/>
      <c r="IER14" s="114"/>
      <c r="IES14" s="114"/>
      <c r="IET14" s="114"/>
      <c r="IEU14" s="114"/>
      <c r="IEV14" s="114"/>
      <c r="IEW14" s="114"/>
      <c r="IEX14" s="114"/>
      <c r="IEY14" s="114"/>
      <c r="IEZ14" s="114"/>
      <c r="IFA14" s="114"/>
      <c r="IFB14" s="114"/>
      <c r="IFC14" s="114"/>
      <c r="IFD14" s="114"/>
      <c r="IFE14" s="114"/>
      <c r="IFF14" s="114"/>
      <c r="IFG14" s="114"/>
      <c r="IFH14" s="114"/>
      <c r="IFI14" s="114"/>
      <c r="IFJ14" s="114"/>
      <c r="IFK14" s="114"/>
      <c r="IFL14" s="114"/>
      <c r="IFM14" s="114"/>
      <c r="IFN14" s="114"/>
      <c r="IFO14" s="114"/>
      <c r="IFP14" s="114"/>
      <c r="IFQ14" s="114"/>
      <c r="IFR14" s="114"/>
      <c r="IFS14" s="114"/>
      <c r="IFT14" s="114"/>
      <c r="IFU14" s="114"/>
      <c r="IFV14" s="114"/>
      <c r="IFW14" s="114"/>
      <c r="IFX14" s="114"/>
      <c r="IFY14" s="114"/>
      <c r="IFZ14" s="114"/>
      <c r="IGA14" s="114"/>
      <c r="IGB14" s="114"/>
      <c r="IGC14" s="114"/>
      <c r="IGD14" s="114"/>
      <c r="IGE14" s="114"/>
      <c r="IGF14" s="114"/>
      <c r="IGG14" s="114"/>
      <c r="IGH14" s="114"/>
      <c r="IGI14" s="114"/>
      <c r="IGJ14" s="114"/>
      <c r="IGK14" s="114"/>
      <c r="IGL14" s="114"/>
      <c r="IGM14" s="114"/>
      <c r="IGN14" s="114"/>
      <c r="IGO14" s="114"/>
      <c r="IGP14" s="114"/>
      <c r="IGQ14" s="114"/>
      <c r="IGR14" s="114"/>
      <c r="IGS14" s="114"/>
      <c r="IGT14" s="114"/>
      <c r="IGU14" s="114"/>
      <c r="IGV14" s="114"/>
      <c r="IGW14" s="114"/>
      <c r="IGX14" s="114"/>
      <c r="IGY14" s="114"/>
      <c r="IGZ14" s="114"/>
      <c r="IHA14" s="114"/>
      <c r="IHB14" s="114"/>
      <c r="IHC14" s="114"/>
      <c r="IHD14" s="114"/>
      <c r="IHE14" s="114"/>
      <c r="IHF14" s="114"/>
      <c r="IHG14" s="114"/>
      <c r="IHH14" s="114"/>
      <c r="IHI14" s="114"/>
      <c r="IHJ14" s="114"/>
      <c r="IHK14" s="114"/>
      <c r="IHL14" s="114"/>
      <c r="IHM14" s="114"/>
      <c r="IHN14" s="114"/>
      <c r="IHO14" s="114"/>
      <c r="IHP14" s="114"/>
      <c r="IHQ14" s="114"/>
      <c r="IHR14" s="114"/>
      <c r="IHS14" s="114"/>
      <c r="IHT14" s="114"/>
      <c r="IHU14" s="114"/>
      <c r="IHV14" s="114"/>
      <c r="IHW14" s="114"/>
      <c r="IHX14" s="114"/>
      <c r="IHY14" s="114"/>
      <c r="IHZ14" s="114"/>
      <c r="IIA14" s="114"/>
      <c r="IIB14" s="114"/>
      <c r="IIC14" s="114"/>
      <c r="IID14" s="114"/>
      <c r="IIE14" s="114"/>
      <c r="IIF14" s="114"/>
      <c r="IIG14" s="114"/>
      <c r="IIH14" s="114"/>
      <c r="III14" s="114"/>
      <c r="IIJ14" s="114"/>
      <c r="IIK14" s="114"/>
      <c r="IIL14" s="114"/>
      <c r="IIM14" s="114"/>
      <c r="IIN14" s="114"/>
      <c r="IIO14" s="114"/>
      <c r="IIP14" s="114"/>
      <c r="IIQ14" s="114"/>
      <c r="IIR14" s="114"/>
      <c r="IIS14" s="114"/>
      <c r="IIT14" s="114"/>
      <c r="IIU14" s="114"/>
      <c r="IIV14" s="114"/>
      <c r="IIW14" s="114"/>
      <c r="IIX14" s="114"/>
      <c r="IIY14" s="114"/>
      <c r="IIZ14" s="114"/>
      <c r="IJA14" s="114"/>
      <c r="IJB14" s="114"/>
      <c r="IJC14" s="114"/>
      <c r="IJD14" s="114"/>
      <c r="IJE14" s="114"/>
      <c r="IJF14" s="114"/>
      <c r="IJG14" s="114"/>
      <c r="IJH14" s="114"/>
      <c r="IJI14" s="114"/>
      <c r="IJJ14" s="114"/>
      <c r="IJK14" s="114"/>
      <c r="IJL14" s="114"/>
      <c r="IJM14" s="114"/>
      <c r="IJN14" s="114"/>
      <c r="IJO14" s="114"/>
      <c r="IJP14" s="114"/>
      <c r="IJQ14" s="114"/>
      <c r="IJR14" s="114"/>
      <c r="IJS14" s="114"/>
      <c r="IJT14" s="114"/>
      <c r="IJU14" s="114"/>
      <c r="IJV14" s="114"/>
      <c r="IJW14" s="114"/>
      <c r="IJX14" s="114"/>
      <c r="IJY14" s="114"/>
      <c r="IJZ14" s="114"/>
      <c r="IKA14" s="114"/>
      <c r="IKB14" s="114"/>
      <c r="IKC14" s="114"/>
      <c r="IKD14" s="114"/>
      <c r="IKE14" s="114"/>
      <c r="IKF14" s="114"/>
      <c r="IKG14" s="114"/>
      <c r="IKH14" s="114"/>
      <c r="IKI14" s="114"/>
      <c r="IKJ14" s="114"/>
      <c r="IKK14" s="114"/>
      <c r="IKL14" s="114"/>
      <c r="IKM14" s="114"/>
      <c r="IKN14" s="114"/>
      <c r="IKO14" s="114"/>
      <c r="IKP14" s="114"/>
      <c r="IKQ14" s="114"/>
      <c r="IKR14" s="114"/>
      <c r="IKS14" s="114"/>
      <c r="IKT14" s="114"/>
      <c r="IKU14" s="114"/>
      <c r="IKV14" s="114"/>
      <c r="IKW14" s="114"/>
      <c r="IKX14" s="114"/>
      <c r="IKY14" s="114"/>
      <c r="IKZ14" s="114"/>
      <c r="ILA14" s="114"/>
      <c r="ILB14" s="114"/>
      <c r="ILC14" s="114"/>
      <c r="ILD14" s="114"/>
      <c r="ILE14" s="114"/>
      <c r="ILF14" s="114"/>
      <c r="ILG14" s="114"/>
      <c r="ILH14" s="114"/>
      <c r="ILI14" s="114"/>
      <c r="ILJ14" s="114"/>
      <c r="ILK14" s="114"/>
      <c r="ILL14" s="114"/>
      <c r="ILM14" s="114"/>
      <c r="ILN14" s="114"/>
      <c r="ILO14" s="114"/>
      <c r="ILP14" s="114"/>
      <c r="ILQ14" s="114"/>
      <c r="ILR14" s="114"/>
      <c r="ILS14" s="114"/>
      <c r="ILT14" s="114"/>
      <c r="ILU14" s="114"/>
      <c r="ILV14" s="114"/>
      <c r="ILW14" s="114"/>
      <c r="ILX14" s="114"/>
      <c r="ILY14" s="114"/>
      <c r="ILZ14" s="114"/>
      <c r="IMA14" s="114"/>
      <c r="IMB14" s="114"/>
      <c r="IMC14" s="114"/>
      <c r="IMD14" s="114"/>
      <c r="IME14" s="114"/>
      <c r="IMF14" s="114"/>
      <c r="IMG14" s="114"/>
      <c r="IMH14" s="114"/>
      <c r="IMI14" s="114"/>
      <c r="IMJ14" s="114"/>
      <c r="IMK14" s="114"/>
      <c r="IML14" s="114"/>
      <c r="IMM14" s="114"/>
      <c r="IMN14" s="114"/>
      <c r="IMO14" s="114"/>
      <c r="IMP14" s="114"/>
      <c r="IMQ14" s="114"/>
      <c r="IMR14" s="114"/>
      <c r="IMS14" s="114"/>
      <c r="IMT14" s="114"/>
      <c r="IMU14" s="114"/>
      <c r="IMV14" s="114"/>
      <c r="IMW14" s="114"/>
      <c r="IMX14" s="114"/>
      <c r="IMY14" s="114"/>
      <c r="IMZ14" s="114"/>
      <c r="INA14" s="114"/>
      <c r="INB14" s="114"/>
      <c r="INC14" s="114"/>
      <c r="IND14" s="114"/>
      <c r="INE14" s="114"/>
      <c r="INF14" s="114"/>
      <c r="ING14" s="114"/>
      <c r="INH14" s="114"/>
      <c r="INI14" s="114"/>
      <c r="INJ14" s="114"/>
      <c r="INK14" s="114"/>
      <c r="INL14" s="114"/>
      <c r="INM14" s="114"/>
      <c r="INN14" s="114"/>
      <c r="INO14" s="114"/>
      <c r="INP14" s="114"/>
      <c r="INQ14" s="114"/>
      <c r="INR14" s="114"/>
      <c r="INS14" s="114"/>
      <c r="INT14" s="114"/>
      <c r="INU14" s="114"/>
      <c r="INV14" s="114"/>
      <c r="INW14" s="114"/>
      <c r="INX14" s="114"/>
      <c r="INY14" s="114"/>
      <c r="INZ14" s="114"/>
      <c r="IOA14" s="114"/>
      <c r="IOB14" s="114"/>
      <c r="IOC14" s="114"/>
      <c r="IOD14" s="114"/>
      <c r="IOE14" s="114"/>
      <c r="IOF14" s="114"/>
      <c r="IOG14" s="114"/>
      <c r="IOH14" s="114"/>
      <c r="IOI14" s="114"/>
      <c r="IOJ14" s="114"/>
      <c r="IOK14" s="114"/>
      <c r="IOL14" s="114"/>
      <c r="IOM14" s="114"/>
      <c r="ION14" s="114"/>
      <c r="IOO14" s="114"/>
      <c r="IOP14" s="114"/>
      <c r="IOQ14" s="114"/>
      <c r="IOR14" s="114"/>
      <c r="IOS14" s="114"/>
      <c r="IOT14" s="114"/>
      <c r="IOU14" s="114"/>
      <c r="IOV14" s="114"/>
      <c r="IOW14" s="114"/>
      <c r="IOX14" s="114"/>
      <c r="IOY14" s="114"/>
      <c r="IOZ14" s="114"/>
      <c r="IPA14" s="114"/>
      <c r="IPB14" s="114"/>
      <c r="IPC14" s="114"/>
      <c r="IPD14" s="114"/>
      <c r="IPE14" s="114"/>
      <c r="IPF14" s="114"/>
      <c r="IPG14" s="114"/>
      <c r="IPH14" s="114"/>
      <c r="IPI14" s="114"/>
      <c r="IPJ14" s="114"/>
      <c r="IPK14" s="114"/>
      <c r="IPL14" s="114"/>
      <c r="IPM14" s="114"/>
      <c r="IPN14" s="114"/>
      <c r="IPO14" s="114"/>
      <c r="IPP14" s="114"/>
      <c r="IPQ14" s="114"/>
      <c r="IPR14" s="114"/>
      <c r="IPS14" s="114"/>
      <c r="IPT14" s="114"/>
      <c r="IPU14" s="114"/>
      <c r="IPV14" s="114"/>
      <c r="IPW14" s="114"/>
      <c r="IPX14" s="114"/>
      <c r="IPY14" s="114"/>
      <c r="IPZ14" s="114"/>
      <c r="IQA14" s="114"/>
      <c r="IQB14" s="114"/>
      <c r="IQC14" s="114"/>
      <c r="IQD14" s="114"/>
      <c r="IQE14" s="114"/>
      <c r="IQF14" s="114"/>
      <c r="IQG14" s="114"/>
      <c r="IQH14" s="114"/>
      <c r="IQI14" s="114"/>
      <c r="IQJ14" s="114"/>
      <c r="IQK14" s="114"/>
      <c r="IQL14" s="114"/>
      <c r="IQM14" s="114"/>
      <c r="IQN14" s="114"/>
      <c r="IQO14" s="114"/>
      <c r="IQP14" s="114"/>
      <c r="IQQ14" s="114"/>
      <c r="IQR14" s="114"/>
      <c r="IQS14" s="114"/>
      <c r="IQT14" s="114"/>
      <c r="IQU14" s="114"/>
      <c r="IQV14" s="114"/>
      <c r="IQW14" s="114"/>
      <c r="IQX14" s="114"/>
      <c r="IQY14" s="114"/>
      <c r="IQZ14" s="114"/>
      <c r="IRA14" s="114"/>
      <c r="IRB14" s="114"/>
      <c r="IRC14" s="114"/>
      <c r="IRD14" s="114"/>
      <c r="IRE14" s="114"/>
      <c r="IRF14" s="114"/>
      <c r="IRG14" s="114"/>
      <c r="IRH14" s="114"/>
      <c r="IRI14" s="114"/>
      <c r="IRJ14" s="114"/>
      <c r="IRK14" s="114"/>
      <c r="IRL14" s="114"/>
      <c r="IRM14" s="114"/>
      <c r="IRN14" s="114"/>
      <c r="IRO14" s="114"/>
      <c r="IRP14" s="114"/>
      <c r="IRQ14" s="114"/>
      <c r="IRR14" s="114"/>
      <c r="IRS14" s="114"/>
      <c r="IRT14" s="114"/>
      <c r="IRU14" s="114"/>
      <c r="IRV14" s="114"/>
      <c r="IRW14" s="114"/>
      <c r="IRX14" s="114"/>
      <c r="IRY14" s="114"/>
      <c r="IRZ14" s="114"/>
      <c r="ISA14" s="114"/>
      <c r="ISB14" s="114"/>
      <c r="ISC14" s="114"/>
      <c r="ISD14" s="114"/>
      <c r="ISE14" s="114"/>
      <c r="ISF14" s="114"/>
      <c r="ISG14" s="114"/>
      <c r="ISH14" s="114"/>
      <c r="ISI14" s="114"/>
      <c r="ISJ14" s="114"/>
      <c r="ISK14" s="114"/>
      <c r="ISL14" s="114"/>
      <c r="ISM14" s="114"/>
      <c r="ISN14" s="114"/>
      <c r="ISO14" s="114"/>
      <c r="ISP14" s="114"/>
      <c r="ISQ14" s="114"/>
      <c r="ISR14" s="114"/>
      <c r="ISS14" s="114"/>
      <c r="IST14" s="114"/>
      <c r="ISU14" s="114"/>
      <c r="ISV14" s="114"/>
      <c r="ISW14" s="114"/>
      <c r="ISX14" s="114"/>
      <c r="ISY14" s="114"/>
      <c r="ISZ14" s="114"/>
      <c r="ITA14" s="114"/>
      <c r="ITB14" s="114"/>
      <c r="ITC14" s="114"/>
      <c r="ITD14" s="114"/>
      <c r="ITE14" s="114"/>
      <c r="ITF14" s="114"/>
      <c r="ITG14" s="114"/>
      <c r="ITH14" s="114"/>
      <c r="ITI14" s="114"/>
      <c r="ITJ14" s="114"/>
      <c r="ITK14" s="114"/>
      <c r="ITL14" s="114"/>
      <c r="ITM14" s="114"/>
      <c r="ITN14" s="114"/>
      <c r="ITO14" s="114"/>
      <c r="ITP14" s="114"/>
      <c r="ITQ14" s="114"/>
      <c r="ITR14" s="114"/>
      <c r="ITS14" s="114"/>
      <c r="ITT14" s="114"/>
      <c r="ITU14" s="114"/>
      <c r="ITV14" s="114"/>
      <c r="ITW14" s="114"/>
      <c r="ITX14" s="114"/>
      <c r="ITY14" s="114"/>
      <c r="ITZ14" s="114"/>
      <c r="IUA14" s="114"/>
      <c r="IUB14" s="114"/>
      <c r="IUC14" s="114"/>
      <c r="IUD14" s="114"/>
      <c r="IUE14" s="114"/>
      <c r="IUF14" s="114"/>
      <c r="IUG14" s="114"/>
      <c r="IUH14" s="114"/>
      <c r="IUI14" s="114"/>
      <c r="IUJ14" s="114"/>
      <c r="IUK14" s="114"/>
      <c r="IUL14" s="114"/>
      <c r="IUM14" s="114"/>
      <c r="IUN14" s="114"/>
      <c r="IUO14" s="114"/>
      <c r="IUP14" s="114"/>
      <c r="IUQ14" s="114"/>
      <c r="IUR14" s="114"/>
      <c r="IUS14" s="114"/>
      <c r="IUT14" s="114"/>
      <c r="IUU14" s="114"/>
      <c r="IUV14" s="114"/>
      <c r="IUW14" s="114"/>
      <c r="IUX14" s="114"/>
      <c r="IUY14" s="114"/>
      <c r="IUZ14" s="114"/>
      <c r="IVA14" s="114"/>
      <c r="IVB14" s="114"/>
      <c r="IVC14" s="114"/>
      <c r="IVD14" s="114"/>
      <c r="IVE14" s="114"/>
      <c r="IVF14" s="114"/>
      <c r="IVG14" s="114"/>
      <c r="IVH14" s="114"/>
      <c r="IVI14" s="114"/>
      <c r="IVJ14" s="114"/>
      <c r="IVK14" s="114"/>
      <c r="IVL14" s="114"/>
      <c r="IVM14" s="114"/>
      <c r="IVN14" s="114"/>
      <c r="IVO14" s="114"/>
      <c r="IVP14" s="114"/>
      <c r="IVQ14" s="114"/>
      <c r="IVR14" s="114"/>
      <c r="IVS14" s="114"/>
      <c r="IVT14" s="114"/>
      <c r="IVU14" s="114"/>
      <c r="IVV14" s="114"/>
      <c r="IVW14" s="114"/>
      <c r="IVX14" s="114"/>
      <c r="IVY14" s="114"/>
      <c r="IVZ14" s="114"/>
      <c r="IWA14" s="114"/>
      <c r="IWB14" s="114"/>
      <c r="IWC14" s="114"/>
      <c r="IWD14" s="114"/>
      <c r="IWE14" s="114"/>
      <c r="IWF14" s="114"/>
      <c r="IWG14" s="114"/>
      <c r="IWH14" s="114"/>
      <c r="IWI14" s="114"/>
      <c r="IWJ14" s="114"/>
      <c r="IWK14" s="114"/>
      <c r="IWL14" s="114"/>
      <c r="IWM14" s="114"/>
      <c r="IWN14" s="114"/>
      <c r="IWO14" s="114"/>
      <c r="IWP14" s="114"/>
      <c r="IWQ14" s="114"/>
      <c r="IWR14" s="114"/>
      <c r="IWS14" s="114"/>
      <c r="IWT14" s="114"/>
      <c r="IWU14" s="114"/>
      <c r="IWV14" s="114"/>
      <c r="IWW14" s="114"/>
      <c r="IWX14" s="114"/>
      <c r="IWY14" s="114"/>
      <c r="IWZ14" s="114"/>
      <c r="IXA14" s="114"/>
      <c r="IXB14" s="114"/>
      <c r="IXC14" s="114"/>
      <c r="IXD14" s="114"/>
      <c r="IXE14" s="114"/>
      <c r="IXF14" s="114"/>
      <c r="IXG14" s="114"/>
      <c r="IXH14" s="114"/>
      <c r="IXI14" s="114"/>
      <c r="IXJ14" s="114"/>
      <c r="IXK14" s="114"/>
      <c r="IXL14" s="114"/>
      <c r="IXM14" s="114"/>
      <c r="IXN14" s="114"/>
      <c r="IXO14" s="114"/>
      <c r="IXP14" s="114"/>
      <c r="IXQ14" s="114"/>
      <c r="IXR14" s="114"/>
      <c r="IXS14" s="114"/>
      <c r="IXT14" s="114"/>
      <c r="IXU14" s="114"/>
      <c r="IXV14" s="114"/>
      <c r="IXW14" s="114"/>
      <c r="IXX14" s="114"/>
      <c r="IXY14" s="114"/>
      <c r="IXZ14" s="114"/>
      <c r="IYA14" s="114"/>
      <c r="IYB14" s="114"/>
      <c r="IYC14" s="114"/>
      <c r="IYD14" s="114"/>
      <c r="IYE14" s="114"/>
      <c r="IYF14" s="114"/>
      <c r="IYG14" s="114"/>
      <c r="IYH14" s="114"/>
      <c r="IYI14" s="114"/>
      <c r="IYJ14" s="114"/>
      <c r="IYK14" s="114"/>
      <c r="IYL14" s="114"/>
      <c r="IYM14" s="114"/>
      <c r="IYN14" s="114"/>
      <c r="IYO14" s="114"/>
      <c r="IYP14" s="114"/>
      <c r="IYQ14" s="114"/>
      <c r="IYR14" s="114"/>
      <c r="IYS14" s="114"/>
      <c r="IYT14" s="114"/>
      <c r="IYU14" s="114"/>
      <c r="IYV14" s="114"/>
      <c r="IYW14" s="114"/>
      <c r="IYX14" s="114"/>
      <c r="IYY14" s="114"/>
      <c r="IYZ14" s="114"/>
      <c r="IZA14" s="114"/>
      <c r="IZB14" s="114"/>
      <c r="IZC14" s="114"/>
      <c r="IZD14" s="114"/>
      <c r="IZE14" s="114"/>
      <c r="IZF14" s="114"/>
      <c r="IZG14" s="114"/>
      <c r="IZH14" s="114"/>
      <c r="IZI14" s="114"/>
      <c r="IZJ14" s="114"/>
      <c r="IZK14" s="114"/>
      <c r="IZL14" s="114"/>
      <c r="IZM14" s="114"/>
      <c r="IZN14" s="114"/>
      <c r="IZO14" s="114"/>
      <c r="IZP14" s="114"/>
      <c r="IZQ14" s="114"/>
      <c r="IZR14" s="114"/>
      <c r="IZS14" s="114"/>
      <c r="IZT14" s="114"/>
      <c r="IZU14" s="114"/>
      <c r="IZV14" s="114"/>
      <c r="IZW14" s="114"/>
      <c r="IZX14" s="114"/>
      <c r="IZY14" s="114"/>
      <c r="IZZ14" s="114"/>
      <c r="JAA14" s="114"/>
      <c r="JAB14" s="114"/>
      <c r="JAC14" s="114"/>
      <c r="JAD14" s="114"/>
      <c r="JAE14" s="114"/>
      <c r="JAF14" s="114"/>
      <c r="JAG14" s="114"/>
      <c r="JAH14" s="114"/>
      <c r="JAI14" s="114"/>
      <c r="JAJ14" s="114"/>
      <c r="JAK14" s="114"/>
      <c r="JAL14" s="114"/>
      <c r="JAM14" s="114"/>
      <c r="JAN14" s="114"/>
      <c r="JAO14" s="114"/>
      <c r="JAP14" s="114"/>
      <c r="JAQ14" s="114"/>
      <c r="JAR14" s="114"/>
      <c r="JAS14" s="114"/>
      <c r="JAT14" s="114"/>
      <c r="JAU14" s="114"/>
      <c r="JAV14" s="114"/>
      <c r="JAW14" s="114"/>
      <c r="JAX14" s="114"/>
      <c r="JAY14" s="114"/>
      <c r="JAZ14" s="114"/>
      <c r="JBA14" s="114"/>
      <c r="JBB14" s="114"/>
      <c r="JBC14" s="114"/>
      <c r="JBD14" s="114"/>
      <c r="JBE14" s="114"/>
      <c r="JBF14" s="114"/>
      <c r="JBG14" s="114"/>
      <c r="JBH14" s="114"/>
      <c r="JBI14" s="114"/>
      <c r="JBJ14" s="114"/>
      <c r="JBK14" s="114"/>
      <c r="JBL14" s="114"/>
      <c r="JBM14" s="114"/>
      <c r="JBN14" s="114"/>
      <c r="JBO14" s="114"/>
      <c r="JBP14" s="114"/>
      <c r="JBQ14" s="114"/>
      <c r="JBR14" s="114"/>
      <c r="JBS14" s="114"/>
      <c r="JBT14" s="114"/>
      <c r="JBU14" s="114"/>
      <c r="JBV14" s="114"/>
      <c r="JBW14" s="114"/>
      <c r="JBX14" s="114"/>
      <c r="JBY14" s="114"/>
      <c r="JBZ14" s="114"/>
      <c r="JCA14" s="114"/>
      <c r="JCB14" s="114"/>
      <c r="JCC14" s="114"/>
      <c r="JCD14" s="114"/>
      <c r="JCE14" s="114"/>
      <c r="JCF14" s="114"/>
      <c r="JCG14" s="114"/>
      <c r="JCH14" s="114"/>
      <c r="JCI14" s="114"/>
      <c r="JCJ14" s="114"/>
      <c r="JCK14" s="114"/>
      <c r="JCL14" s="114"/>
      <c r="JCM14" s="114"/>
      <c r="JCN14" s="114"/>
      <c r="JCO14" s="114"/>
      <c r="JCP14" s="114"/>
      <c r="JCQ14" s="114"/>
      <c r="JCR14" s="114"/>
      <c r="JCS14" s="114"/>
      <c r="JCT14" s="114"/>
      <c r="JCU14" s="114"/>
      <c r="JCV14" s="114"/>
      <c r="JCW14" s="114"/>
      <c r="JCX14" s="114"/>
      <c r="JCY14" s="114"/>
      <c r="JCZ14" s="114"/>
      <c r="JDA14" s="114"/>
      <c r="JDB14" s="114"/>
      <c r="JDC14" s="114"/>
      <c r="JDD14" s="114"/>
      <c r="JDE14" s="114"/>
      <c r="JDF14" s="114"/>
      <c r="JDG14" s="114"/>
      <c r="JDH14" s="114"/>
      <c r="JDI14" s="114"/>
      <c r="JDJ14" s="114"/>
      <c r="JDK14" s="114"/>
      <c r="JDL14" s="114"/>
      <c r="JDM14" s="114"/>
      <c r="JDN14" s="114"/>
      <c r="JDO14" s="114"/>
      <c r="JDP14" s="114"/>
      <c r="JDQ14" s="114"/>
      <c r="JDR14" s="114"/>
      <c r="JDS14" s="114"/>
      <c r="JDT14" s="114"/>
      <c r="JDU14" s="114"/>
      <c r="JDV14" s="114"/>
      <c r="JDW14" s="114"/>
      <c r="JDX14" s="114"/>
      <c r="JDY14" s="114"/>
      <c r="JDZ14" s="114"/>
      <c r="JEA14" s="114"/>
      <c r="JEB14" s="114"/>
      <c r="JEC14" s="114"/>
      <c r="JED14" s="114"/>
      <c r="JEE14" s="114"/>
      <c r="JEF14" s="114"/>
      <c r="JEG14" s="114"/>
      <c r="JEH14" s="114"/>
      <c r="JEI14" s="114"/>
      <c r="JEJ14" s="114"/>
      <c r="JEK14" s="114"/>
      <c r="JEL14" s="114"/>
      <c r="JEM14" s="114"/>
      <c r="JEN14" s="114"/>
      <c r="JEO14" s="114"/>
      <c r="JEP14" s="114"/>
      <c r="JEQ14" s="114"/>
      <c r="JER14" s="114"/>
      <c r="JES14" s="114"/>
      <c r="JET14" s="114"/>
      <c r="JEU14" s="114"/>
      <c r="JEV14" s="114"/>
      <c r="JEW14" s="114"/>
      <c r="JEX14" s="114"/>
      <c r="JEY14" s="114"/>
      <c r="JEZ14" s="114"/>
      <c r="JFA14" s="114"/>
      <c r="JFB14" s="114"/>
      <c r="JFC14" s="114"/>
      <c r="JFD14" s="114"/>
      <c r="JFE14" s="114"/>
      <c r="JFF14" s="114"/>
      <c r="JFG14" s="114"/>
      <c r="JFH14" s="114"/>
      <c r="JFI14" s="114"/>
      <c r="JFJ14" s="114"/>
      <c r="JFK14" s="114"/>
      <c r="JFL14" s="114"/>
      <c r="JFM14" s="114"/>
      <c r="JFN14" s="114"/>
      <c r="JFO14" s="114"/>
      <c r="JFP14" s="114"/>
      <c r="JFQ14" s="114"/>
      <c r="JFR14" s="114"/>
      <c r="JFS14" s="114"/>
      <c r="JFT14" s="114"/>
      <c r="JFU14" s="114"/>
      <c r="JFV14" s="114"/>
      <c r="JFW14" s="114"/>
      <c r="JFX14" s="114"/>
      <c r="JFY14" s="114"/>
      <c r="JFZ14" s="114"/>
      <c r="JGA14" s="114"/>
      <c r="JGB14" s="114"/>
      <c r="JGC14" s="114"/>
      <c r="JGD14" s="114"/>
      <c r="JGE14" s="114"/>
      <c r="JGF14" s="114"/>
      <c r="JGG14" s="114"/>
      <c r="JGH14" s="114"/>
      <c r="JGI14" s="114"/>
      <c r="JGJ14" s="114"/>
      <c r="JGK14" s="114"/>
      <c r="JGL14" s="114"/>
      <c r="JGM14" s="114"/>
      <c r="JGN14" s="114"/>
      <c r="JGO14" s="114"/>
      <c r="JGP14" s="114"/>
      <c r="JGQ14" s="114"/>
      <c r="JGR14" s="114"/>
      <c r="JGS14" s="114"/>
      <c r="JGT14" s="114"/>
      <c r="JGU14" s="114"/>
      <c r="JGV14" s="114"/>
      <c r="JGW14" s="114"/>
      <c r="JGX14" s="114"/>
      <c r="JGY14" s="114"/>
      <c r="JGZ14" s="114"/>
      <c r="JHA14" s="114"/>
      <c r="JHB14" s="114"/>
      <c r="JHC14" s="114"/>
      <c r="JHD14" s="114"/>
      <c r="JHE14" s="114"/>
      <c r="JHF14" s="114"/>
      <c r="JHG14" s="114"/>
      <c r="JHH14" s="114"/>
      <c r="JHI14" s="114"/>
      <c r="JHJ14" s="114"/>
      <c r="JHK14" s="114"/>
      <c r="JHL14" s="114"/>
      <c r="JHM14" s="114"/>
      <c r="JHN14" s="114"/>
      <c r="JHO14" s="114"/>
      <c r="JHP14" s="114"/>
      <c r="JHQ14" s="114"/>
      <c r="JHR14" s="114"/>
      <c r="JHS14" s="114"/>
      <c r="JHT14" s="114"/>
      <c r="JHU14" s="114"/>
      <c r="JHV14" s="114"/>
      <c r="JHW14" s="114"/>
      <c r="JHX14" s="114"/>
      <c r="JHY14" s="114"/>
      <c r="JHZ14" s="114"/>
      <c r="JIA14" s="114"/>
      <c r="JIB14" s="114"/>
      <c r="JIC14" s="114"/>
      <c r="JID14" s="114"/>
      <c r="JIE14" s="114"/>
      <c r="JIF14" s="114"/>
      <c r="JIG14" s="114"/>
      <c r="JIH14" s="114"/>
      <c r="JII14" s="114"/>
      <c r="JIJ14" s="114"/>
      <c r="JIK14" s="114"/>
      <c r="JIL14" s="114"/>
      <c r="JIM14" s="114"/>
      <c r="JIN14" s="114"/>
      <c r="JIO14" s="114"/>
      <c r="JIP14" s="114"/>
      <c r="JIQ14" s="114"/>
      <c r="JIR14" s="114"/>
      <c r="JIS14" s="114"/>
      <c r="JIT14" s="114"/>
      <c r="JIU14" s="114"/>
      <c r="JIV14" s="114"/>
      <c r="JIW14" s="114"/>
      <c r="JIX14" s="114"/>
      <c r="JIY14" s="114"/>
      <c r="JIZ14" s="114"/>
      <c r="JJA14" s="114"/>
      <c r="JJB14" s="114"/>
      <c r="JJC14" s="114"/>
      <c r="JJD14" s="114"/>
      <c r="JJE14" s="114"/>
      <c r="JJF14" s="114"/>
      <c r="JJG14" s="114"/>
      <c r="JJH14" s="114"/>
      <c r="JJI14" s="114"/>
      <c r="JJJ14" s="114"/>
      <c r="JJK14" s="114"/>
      <c r="JJL14" s="114"/>
      <c r="JJM14" s="114"/>
      <c r="JJN14" s="114"/>
      <c r="JJO14" s="114"/>
      <c r="JJP14" s="114"/>
      <c r="JJQ14" s="114"/>
      <c r="JJR14" s="114"/>
      <c r="JJS14" s="114"/>
      <c r="JJT14" s="114"/>
      <c r="JJU14" s="114"/>
      <c r="JJV14" s="114"/>
      <c r="JJW14" s="114"/>
      <c r="JJX14" s="114"/>
      <c r="JJY14" s="114"/>
      <c r="JJZ14" s="114"/>
      <c r="JKA14" s="114"/>
      <c r="JKB14" s="114"/>
      <c r="JKC14" s="114"/>
      <c r="JKD14" s="114"/>
      <c r="JKE14" s="114"/>
      <c r="JKF14" s="114"/>
      <c r="JKG14" s="114"/>
      <c r="JKH14" s="114"/>
      <c r="JKI14" s="114"/>
      <c r="JKJ14" s="114"/>
      <c r="JKK14" s="114"/>
      <c r="JKL14" s="114"/>
      <c r="JKM14" s="114"/>
      <c r="JKN14" s="114"/>
      <c r="JKO14" s="114"/>
      <c r="JKP14" s="114"/>
      <c r="JKQ14" s="114"/>
      <c r="JKR14" s="114"/>
      <c r="JKS14" s="114"/>
      <c r="JKT14" s="114"/>
      <c r="JKU14" s="114"/>
      <c r="JKV14" s="114"/>
      <c r="JKW14" s="114"/>
      <c r="JKX14" s="114"/>
      <c r="JKY14" s="114"/>
      <c r="JKZ14" s="114"/>
      <c r="JLA14" s="114"/>
      <c r="JLB14" s="114"/>
      <c r="JLC14" s="114"/>
      <c r="JLD14" s="114"/>
      <c r="JLE14" s="114"/>
      <c r="JLF14" s="114"/>
      <c r="JLG14" s="114"/>
      <c r="JLH14" s="114"/>
      <c r="JLI14" s="114"/>
      <c r="JLJ14" s="114"/>
      <c r="JLK14" s="114"/>
      <c r="JLL14" s="114"/>
      <c r="JLM14" s="114"/>
      <c r="JLN14" s="114"/>
      <c r="JLO14" s="114"/>
      <c r="JLP14" s="114"/>
      <c r="JLQ14" s="114"/>
      <c r="JLR14" s="114"/>
      <c r="JLS14" s="114"/>
      <c r="JLT14" s="114"/>
      <c r="JLU14" s="114"/>
      <c r="JLV14" s="114"/>
      <c r="JLW14" s="114"/>
      <c r="JLX14" s="114"/>
      <c r="JLY14" s="114"/>
      <c r="JLZ14" s="114"/>
      <c r="JMA14" s="114"/>
      <c r="JMB14" s="114"/>
      <c r="JMC14" s="114"/>
      <c r="JMD14" s="114"/>
      <c r="JME14" s="114"/>
      <c r="JMF14" s="114"/>
      <c r="JMG14" s="114"/>
      <c r="JMH14" s="114"/>
      <c r="JMI14" s="114"/>
      <c r="JMJ14" s="114"/>
      <c r="JMK14" s="114"/>
      <c r="JML14" s="114"/>
      <c r="JMM14" s="114"/>
      <c r="JMN14" s="114"/>
      <c r="JMO14" s="114"/>
      <c r="JMP14" s="114"/>
      <c r="JMQ14" s="114"/>
      <c r="JMR14" s="114"/>
      <c r="JMS14" s="114"/>
      <c r="JMT14" s="114"/>
      <c r="JMU14" s="114"/>
      <c r="JMV14" s="114"/>
      <c r="JMW14" s="114"/>
      <c r="JMX14" s="114"/>
      <c r="JMY14" s="114"/>
      <c r="JMZ14" s="114"/>
      <c r="JNA14" s="114"/>
      <c r="JNB14" s="114"/>
      <c r="JNC14" s="114"/>
      <c r="JND14" s="114"/>
      <c r="JNE14" s="114"/>
      <c r="JNF14" s="114"/>
      <c r="JNG14" s="114"/>
      <c r="JNH14" s="114"/>
      <c r="JNI14" s="114"/>
      <c r="JNJ14" s="114"/>
      <c r="JNK14" s="114"/>
      <c r="JNL14" s="114"/>
      <c r="JNM14" s="114"/>
      <c r="JNN14" s="114"/>
      <c r="JNO14" s="114"/>
      <c r="JNP14" s="114"/>
      <c r="JNQ14" s="114"/>
      <c r="JNR14" s="114"/>
      <c r="JNS14" s="114"/>
      <c r="JNT14" s="114"/>
      <c r="JNU14" s="114"/>
      <c r="JNV14" s="114"/>
      <c r="JNW14" s="114"/>
      <c r="JNX14" s="114"/>
      <c r="JNY14" s="114"/>
      <c r="JNZ14" s="114"/>
      <c r="JOA14" s="114"/>
      <c r="JOB14" s="114"/>
      <c r="JOC14" s="114"/>
      <c r="JOD14" s="114"/>
      <c r="JOE14" s="114"/>
      <c r="JOF14" s="114"/>
      <c r="JOG14" s="114"/>
      <c r="JOH14" s="114"/>
      <c r="JOI14" s="114"/>
      <c r="JOJ14" s="114"/>
      <c r="JOK14" s="114"/>
      <c r="JOL14" s="114"/>
      <c r="JOM14" s="114"/>
      <c r="JON14" s="114"/>
      <c r="JOO14" s="114"/>
      <c r="JOP14" s="114"/>
      <c r="JOQ14" s="114"/>
      <c r="JOR14" s="114"/>
      <c r="JOS14" s="114"/>
      <c r="JOT14" s="114"/>
      <c r="JOU14" s="114"/>
      <c r="JOV14" s="114"/>
      <c r="JOW14" s="114"/>
      <c r="JOX14" s="114"/>
      <c r="JOY14" s="114"/>
      <c r="JOZ14" s="114"/>
      <c r="JPA14" s="114"/>
      <c r="JPB14" s="114"/>
      <c r="JPC14" s="114"/>
      <c r="JPD14" s="114"/>
      <c r="JPE14" s="114"/>
      <c r="JPF14" s="114"/>
      <c r="JPG14" s="114"/>
      <c r="JPH14" s="114"/>
      <c r="JPI14" s="114"/>
      <c r="JPJ14" s="114"/>
      <c r="JPK14" s="114"/>
      <c r="JPL14" s="114"/>
      <c r="JPM14" s="114"/>
      <c r="JPN14" s="114"/>
      <c r="JPO14" s="114"/>
      <c r="JPP14" s="114"/>
      <c r="JPQ14" s="114"/>
      <c r="JPR14" s="114"/>
      <c r="JPS14" s="114"/>
      <c r="JPT14" s="114"/>
      <c r="JPU14" s="114"/>
      <c r="JPV14" s="114"/>
      <c r="JPW14" s="114"/>
      <c r="JPX14" s="114"/>
      <c r="JPY14" s="114"/>
      <c r="JPZ14" s="114"/>
      <c r="JQA14" s="114"/>
      <c r="JQB14" s="114"/>
      <c r="JQC14" s="114"/>
      <c r="JQD14" s="114"/>
      <c r="JQE14" s="114"/>
      <c r="JQF14" s="114"/>
      <c r="JQG14" s="114"/>
      <c r="JQH14" s="114"/>
      <c r="JQI14" s="114"/>
      <c r="JQJ14" s="114"/>
      <c r="JQK14" s="114"/>
      <c r="JQL14" s="114"/>
      <c r="JQM14" s="114"/>
      <c r="JQN14" s="114"/>
      <c r="JQO14" s="114"/>
      <c r="JQP14" s="114"/>
      <c r="JQQ14" s="114"/>
      <c r="JQR14" s="114"/>
      <c r="JQS14" s="114"/>
      <c r="JQT14" s="114"/>
      <c r="JQU14" s="114"/>
      <c r="JQV14" s="114"/>
      <c r="JQW14" s="114"/>
      <c r="JQX14" s="114"/>
      <c r="JQY14" s="114"/>
      <c r="JQZ14" s="114"/>
      <c r="JRA14" s="114"/>
      <c r="JRB14" s="114"/>
      <c r="JRC14" s="114"/>
      <c r="JRD14" s="114"/>
      <c r="JRE14" s="114"/>
      <c r="JRF14" s="114"/>
      <c r="JRG14" s="114"/>
      <c r="JRH14" s="114"/>
      <c r="JRI14" s="114"/>
      <c r="JRJ14" s="114"/>
      <c r="JRK14" s="114"/>
      <c r="JRL14" s="114"/>
      <c r="JRM14" s="114"/>
      <c r="JRN14" s="114"/>
      <c r="JRO14" s="114"/>
      <c r="JRP14" s="114"/>
      <c r="JRQ14" s="114"/>
      <c r="JRR14" s="114"/>
      <c r="JRS14" s="114"/>
      <c r="JRT14" s="114"/>
      <c r="JRU14" s="114"/>
      <c r="JRV14" s="114"/>
      <c r="JRW14" s="114"/>
      <c r="JRX14" s="114"/>
      <c r="JRY14" s="114"/>
      <c r="JRZ14" s="114"/>
      <c r="JSA14" s="114"/>
      <c r="JSB14" s="114"/>
      <c r="JSC14" s="114"/>
      <c r="JSD14" s="114"/>
      <c r="JSE14" s="114"/>
      <c r="JSF14" s="114"/>
      <c r="JSG14" s="114"/>
      <c r="JSH14" s="114"/>
      <c r="JSI14" s="114"/>
      <c r="JSJ14" s="114"/>
      <c r="JSK14" s="114"/>
      <c r="JSL14" s="114"/>
      <c r="JSM14" s="114"/>
      <c r="JSN14" s="114"/>
      <c r="JSO14" s="114"/>
      <c r="JSP14" s="114"/>
      <c r="JSQ14" s="114"/>
      <c r="JSR14" s="114"/>
      <c r="JSS14" s="114"/>
      <c r="JST14" s="114"/>
      <c r="JSU14" s="114"/>
      <c r="JSV14" s="114"/>
      <c r="JSW14" s="114"/>
      <c r="JSX14" s="114"/>
      <c r="JSY14" s="114"/>
      <c r="JSZ14" s="114"/>
      <c r="JTA14" s="114"/>
      <c r="JTB14" s="114"/>
      <c r="JTC14" s="114"/>
      <c r="JTD14" s="114"/>
      <c r="JTE14" s="114"/>
      <c r="JTF14" s="114"/>
      <c r="JTG14" s="114"/>
      <c r="JTH14" s="114"/>
      <c r="JTI14" s="114"/>
      <c r="JTJ14" s="114"/>
      <c r="JTK14" s="114"/>
      <c r="JTL14" s="114"/>
      <c r="JTM14" s="114"/>
      <c r="JTN14" s="114"/>
      <c r="JTO14" s="114"/>
      <c r="JTP14" s="114"/>
      <c r="JTQ14" s="114"/>
      <c r="JTR14" s="114"/>
      <c r="JTS14" s="114"/>
      <c r="JTT14" s="114"/>
      <c r="JTU14" s="114"/>
      <c r="JTV14" s="114"/>
      <c r="JTW14" s="114"/>
      <c r="JTX14" s="114"/>
      <c r="JTY14" s="114"/>
      <c r="JTZ14" s="114"/>
      <c r="JUA14" s="114"/>
      <c r="JUB14" s="114"/>
      <c r="JUC14" s="114"/>
      <c r="JUD14" s="114"/>
      <c r="JUE14" s="114"/>
      <c r="JUF14" s="114"/>
      <c r="JUG14" s="114"/>
      <c r="JUH14" s="114"/>
      <c r="JUI14" s="114"/>
      <c r="JUJ14" s="114"/>
      <c r="JUK14" s="114"/>
      <c r="JUL14" s="114"/>
      <c r="JUM14" s="114"/>
      <c r="JUN14" s="114"/>
      <c r="JUO14" s="114"/>
      <c r="JUP14" s="114"/>
      <c r="JUQ14" s="114"/>
      <c r="JUR14" s="114"/>
      <c r="JUS14" s="114"/>
      <c r="JUT14" s="114"/>
      <c r="JUU14" s="114"/>
      <c r="JUV14" s="114"/>
      <c r="JUW14" s="114"/>
      <c r="JUX14" s="114"/>
      <c r="JUY14" s="114"/>
      <c r="JUZ14" s="114"/>
      <c r="JVA14" s="114"/>
      <c r="JVB14" s="114"/>
      <c r="JVC14" s="114"/>
      <c r="JVD14" s="114"/>
      <c r="JVE14" s="114"/>
      <c r="JVF14" s="114"/>
      <c r="JVG14" s="114"/>
      <c r="JVH14" s="114"/>
      <c r="JVI14" s="114"/>
      <c r="JVJ14" s="114"/>
      <c r="JVK14" s="114"/>
      <c r="JVL14" s="114"/>
      <c r="JVM14" s="114"/>
      <c r="JVN14" s="114"/>
      <c r="JVO14" s="114"/>
      <c r="JVP14" s="114"/>
      <c r="JVQ14" s="114"/>
      <c r="JVR14" s="114"/>
      <c r="JVS14" s="114"/>
      <c r="JVT14" s="114"/>
      <c r="JVU14" s="114"/>
      <c r="JVV14" s="114"/>
      <c r="JVW14" s="114"/>
      <c r="JVX14" s="114"/>
      <c r="JVY14" s="114"/>
      <c r="JVZ14" s="114"/>
      <c r="JWA14" s="114"/>
      <c r="JWB14" s="114"/>
      <c r="JWC14" s="114"/>
      <c r="JWD14" s="114"/>
      <c r="JWE14" s="114"/>
      <c r="JWF14" s="114"/>
      <c r="JWG14" s="114"/>
      <c r="JWH14" s="114"/>
      <c r="JWI14" s="114"/>
      <c r="JWJ14" s="114"/>
      <c r="JWK14" s="114"/>
      <c r="JWL14" s="114"/>
      <c r="JWM14" s="114"/>
      <c r="JWN14" s="114"/>
      <c r="JWO14" s="114"/>
      <c r="JWP14" s="114"/>
      <c r="JWQ14" s="114"/>
      <c r="JWR14" s="114"/>
      <c r="JWS14" s="114"/>
      <c r="JWT14" s="114"/>
      <c r="JWU14" s="114"/>
      <c r="JWV14" s="114"/>
      <c r="JWW14" s="114"/>
      <c r="JWX14" s="114"/>
      <c r="JWY14" s="114"/>
      <c r="JWZ14" s="114"/>
      <c r="JXA14" s="114"/>
      <c r="JXB14" s="114"/>
      <c r="JXC14" s="114"/>
      <c r="JXD14" s="114"/>
      <c r="JXE14" s="114"/>
      <c r="JXF14" s="114"/>
      <c r="JXG14" s="114"/>
      <c r="JXH14" s="114"/>
      <c r="JXI14" s="114"/>
      <c r="JXJ14" s="114"/>
      <c r="JXK14" s="114"/>
      <c r="JXL14" s="114"/>
      <c r="JXM14" s="114"/>
      <c r="JXN14" s="114"/>
      <c r="JXO14" s="114"/>
      <c r="JXP14" s="114"/>
      <c r="JXQ14" s="114"/>
      <c r="JXR14" s="114"/>
      <c r="JXS14" s="114"/>
      <c r="JXT14" s="114"/>
      <c r="JXU14" s="114"/>
      <c r="JXV14" s="114"/>
      <c r="JXW14" s="114"/>
      <c r="JXX14" s="114"/>
      <c r="JXY14" s="114"/>
      <c r="JXZ14" s="114"/>
      <c r="JYA14" s="114"/>
      <c r="JYB14" s="114"/>
      <c r="JYC14" s="114"/>
      <c r="JYD14" s="114"/>
      <c r="JYE14" s="114"/>
      <c r="JYF14" s="114"/>
      <c r="JYG14" s="114"/>
      <c r="JYH14" s="114"/>
      <c r="JYI14" s="114"/>
      <c r="JYJ14" s="114"/>
      <c r="JYK14" s="114"/>
      <c r="JYL14" s="114"/>
      <c r="JYM14" s="114"/>
      <c r="JYN14" s="114"/>
      <c r="JYO14" s="114"/>
      <c r="JYP14" s="114"/>
      <c r="JYQ14" s="114"/>
      <c r="JYR14" s="114"/>
      <c r="JYS14" s="114"/>
      <c r="JYT14" s="114"/>
      <c r="JYU14" s="114"/>
      <c r="JYV14" s="114"/>
      <c r="JYW14" s="114"/>
      <c r="JYX14" s="114"/>
      <c r="JYY14" s="114"/>
      <c r="JYZ14" s="114"/>
      <c r="JZA14" s="114"/>
      <c r="JZB14" s="114"/>
      <c r="JZC14" s="114"/>
      <c r="JZD14" s="114"/>
      <c r="JZE14" s="114"/>
      <c r="JZF14" s="114"/>
      <c r="JZG14" s="114"/>
      <c r="JZH14" s="114"/>
      <c r="JZI14" s="114"/>
      <c r="JZJ14" s="114"/>
      <c r="JZK14" s="114"/>
      <c r="JZL14" s="114"/>
      <c r="JZM14" s="114"/>
      <c r="JZN14" s="114"/>
      <c r="JZO14" s="114"/>
      <c r="JZP14" s="114"/>
      <c r="JZQ14" s="114"/>
      <c r="JZR14" s="114"/>
      <c r="JZS14" s="114"/>
      <c r="JZT14" s="114"/>
      <c r="JZU14" s="114"/>
      <c r="JZV14" s="114"/>
      <c r="JZW14" s="114"/>
      <c r="JZX14" s="114"/>
      <c r="JZY14" s="114"/>
      <c r="JZZ14" s="114"/>
      <c r="KAA14" s="114"/>
      <c r="KAB14" s="114"/>
      <c r="KAC14" s="114"/>
      <c r="KAD14" s="114"/>
      <c r="KAE14" s="114"/>
      <c r="KAF14" s="114"/>
      <c r="KAG14" s="114"/>
      <c r="KAH14" s="114"/>
      <c r="KAI14" s="114"/>
      <c r="KAJ14" s="114"/>
      <c r="KAK14" s="114"/>
      <c r="KAL14" s="114"/>
      <c r="KAM14" s="114"/>
      <c r="KAN14" s="114"/>
      <c r="KAO14" s="114"/>
      <c r="KAP14" s="114"/>
      <c r="KAQ14" s="114"/>
      <c r="KAR14" s="114"/>
      <c r="KAS14" s="114"/>
      <c r="KAT14" s="114"/>
      <c r="KAU14" s="114"/>
      <c r="KAV14" s="114"/>
      <c r="KAW14" s="114"/>
      <c r="KAX14" s="114"/>
      <c r="KAY14" s="114"/>
      <c r="KAZ14" s="114"/>
      <c r="KBA14" s="114"/>
      <c r="KBB14" s="114"/>
      <c r="KBC14" s="114"/>
      <c r="KBD14" s="114"/>
      <c r="KBE14" s="114"/>
      <c r="KBF14" s="114"/>
      <c r="KBG14" s="114"/>
      <c r="KBH14" s="114"/>
      <c r="KBI14" s="114"/>
      <c r="KBJ14" s="114"/>
      <c r="KBK14" s="114"/>
      <c r="KBL14" s="114"/>
      <c r="KBM14" s="114"/>
      <c r="KBN14" s="114"/>
      <c r="KBO14" s="114"/>
      <c r="KBP14" s="114"/>
      <c r="KBQ14" s="114"/>
      <c r="KBR14" s="114"/>
      <c r="KBS14" s="114"/>
      <c r="KBT14" s="114"/>
      <c r="KBU14" s="114"/>
      <c r="KBV14" s="114"/>
      <c r="KBW14" s="114"/>
      <c r="KBX14" s="114"/>
      <c r="KBY14" s="114"/>
      <c r="KBZ14" s="114"/>
      <c r="KCA14" s="114"/>
      <c r="KCB14" s="114"/>
      <c r="KCC14" s="114"/>
      <c r="KCD14" s="114"/>
      <c r="KCE14" s="114"/>
      <c r="KCF14" s="114"/>
      <c r="KCG14" s="114"/>
      <c r="KCH14" s="114"/>
      <c r="KCI14" s="114"/>
      <c r="KCJ14" s="114"/>
      <c r="KCK14" s="114"/>
      <c r="KCL14" s="114"/>
      <c r="KCM14" s="114"/>
      <c r="KCN14" s="114"/>
      <c r="KCO14" s="114"/>
      <c r="KCP14" s="114"/>
      <c r="KCQ14" s="114"/>
      <c r="KCR14" s="114"/>
      <c r="KCS14" s="114"/>
      <c r="KCT14" s="114"/>
      <c r="KCU14" s="114"/>
      <c r="KCV14" s="114"/>
      <c r="KCW14" s="114"/>
      <c r="KCX14" s="114"/>
      <c r="KCY14" s="114"/>
      <c r="KCZ14" s="114"/>
      <c r="KDA14" s="114"/>
      <c r="KDB14" s="114"/>
      <c r="KDC14" s="114"/>
      <c r="KDD14" s="114"/>
      <c r="KDE14" s="114"/>
      <c r="KDF14" s="114"/>
      <c r="KDG14" s="114"/>
      <c r="KDH14" s="114"/>
      <c r="KDI14" s="114"/>
      <c r="KDJ14" s="114"/>
      <c r="KDK14" s="114"/>
      <c r="KDL14" s="114"/>
      <c r="KDM14" s="114"/>
      <c r="KDN14" s="114"/>
      <c r="KDO14" s="114"/>
      <c r="KDP14" s="114"/>
      <c r="KDQ14" s="114"/>
      <c r="KDR14" s="114"/>
      <c r="KDS14" s="114"/>
      <c r="KDT14" s="114"/>
      <c r="KDU14" s="114"/>
      <c r="KDV14" s="114"/>
      <c r="KDW14" s="114"/>
      <c r="KDX14" s="114"/>
      <c r="KDY14" s="114"/>
      <c r="KDZ14" s="114"/>
      <c r="KEA14" s="114"/>
      <c r="KEB14" s="114"/>
      <c r="KEC14" s="114"/>
      <c r="KED14" s="114"/>
      <c r="KEE14" s="114"/>
      <c r="KEF14" s="114"/>
      <c r="KEG14" s="114"/>
      <c r="KEH14" s="114"/>
      <c r="KEI14" s="114"/>
      <c r="KEJ14" s="114"/>
      <c r="KEK14" s="114"/>
      <c r="KEL14" s="114"/>
      <c r="KEM14" s="114"/>
      <c r="KEN14" s="114"/>
      <c r="KEO14" s="114"/>
      <c r="KEP14" s="114"/>
      <c r="KEQ14" s="114"/>
      <c r="KER14" s="114"/>
      <c r="KES14" s="114"/>
      <c r="KET14" s="114"/>
      <c r="KEU14" s="114"/>
      <c r="KEV14" s="114"/>
      <c r="KEW14" s="114"/>
      <c r="KEX14" s="114"/>
      <c r="KEY14" s="114"/>
      <c r="KEZ14" s="114"/>
      <c r="KFA14" s="114"/>
      <c r="KFB14" s="114"/>
      <c r="KFC14" s="114"/>
      <c r="KFD14" s="114"/>
      <c r="KFE14" s="114"/>
      <c r="KFF14" s="114"/>
      <c r="KFG14" s="114"/>
      <c r="KFH14" s="114"/>
      <c r="KFI14" s="114"/>
      <c r="KFJ14" s="114"/>
      <c r="KFK14" s="114"/>
      <c r="KFL14" s="114"/>
      <c r="KFM14" s="114"/>
      <c r="KFN14" s="114"/>
      <c r="KFO14" s="114"/>
      <c r="KFP14" s="114"/>
      <c r="KFQ14" s="114"/>
      <c r="KFR14" s="114"/>
      <c r="KFS14" s="114"/>
      <c r="KFT14" s="114"/>
      <c r="KFU14" s="114"/>
      <c r="KFV14" s="114"/>
      <c r="KFW14" s="114"/>
      <c r="KFX14" s="114"/>
      <c r="KFY14" s="114"/>
      <c r="KFZ14" s="114"/>
      <c r="KGA14" s="114"/>
      <c r="KGB14" s="114"/>
      <c r="KGC14" s="114"/>
      <c r="KGD14" s="114"/>
      <c r="KGE14" s="114"/>
      <c r="KGF14" s="114"/>
      <c r="KGG14" s="114"/>
      <c r="KGH14" s="114"/>
      <c r="KGI14" s="114"/>
      <c r="KGJ14" s="114"/>
      <c r="KGK14" s="114"/>
      <c r="KGL14" s="114"/>
      <c r="KGM14" s="114"/>
      <c r="KGN14" s="114"/>
      <c r="KGO14" s="114"/>
      <c r="KGP14" s="114"/>
      <c r="KGQ14" s="114"/>
      <c r="KGR14" s="114"/>
      <c r="KGS14" s="114"/>
      <c r="KGT14" s="114"/>
      <c r="KGU14" s="114"/>
      <c r="KGV14" s="114"/>
      <c r="KGW14" s="114"/>
      <c r="KGX14" s="114"/>
      <c r="KGY14" s="114"/>
      <c r="KGZ14" s="114"/>
      <c r="KHA14" s="114"/>
      <c r="KHB14" s="114"/>
      <c r="KHC14" s="114"/>
      <c r="KHD14" s="114"/>
      <c r="KHE14" s="114"/>
      <c r="KHF14" s="114"/>
      <c r="KHG14" s="114"/>
      <c r="KHH14" s="114"/>
      <c r="KHI14" s="114"/>
      <c r="KHJ14" s="114"/>
      <c r="KHK14" s="114"/>
      <c r="KHL14" s="114"/>
      <c r="KHM14" s="114"/>
      <c r="KHN14" s="114"/>
      <c r="KHO14" s="114"/>
      <c r="KHP14" s="114"/>
      <c r="KHQ14" s="114"/>
      <c r="KHR14" s="114"/>
      <c r="KHS14" s="114"/>
      <c r="KHT14" s="114"/>
      <c r="KHU14" s="114"/>
      <c r="KHV14" s="114"/>
      <c r="KHW14" s="114"/>
      <c r="KHX14" s="114"/>
      <c r="KHY14" s="114"/>
      <c r="KHZ14" s="114"/>
      <c r="KIA14" s="114"/>
      <c r="KIB14" s="114"/>
      <c r="KIC14" s="114"/>
      <c r="KID14" s="114"/>
      <c r="KIE14" s="114"/>
      <c r="KIF14" s="114"/>
      <c r="KIG14" s="114"/>
      <c r="KIH14" s="114"/>
      <c r="KII14" s="114"/>
      <c r="KIJ14" s="114"/>
      <c r="KIK14" s="114"/>
      <c r="KIL14" s="114"/>
      <c r="KIM14" s="114"/>
      <c r="KIN14" s="114"/>
      <c r="KIO14" s="114"/>
      <c r="KIP14" s="114"/>
      <c r="KIQ14" s="114"/>
      <c r="KIR14" s="114"/>
      <c r="KIS14" s="114"/>
      <c r="KIT14" s="114"/>
      <c r="KIU14" s="114"/>
      <c r="KIV14" s="114"/>
      <c r="KIW14" s="114"/>
      <c r="KIX14" s="114"/>
      <c r="KIY14" s="114"/>
      <c r="KIZ14" s="114"/>
      <c r="KJA14" s="114"/>
      <c r="KJB14" s="114"/>
      <c r="KJC14" s="114"/>
      <c r="KJD14" s="114"/>
      <c r="KJE14" s="114"/>
      <c r="KJF14" s="114"/>
      <c r="KJG14" s="114"/>
      <c r="KJH14" s="114"/>
      <c r="KJI14" s="114"/>
      <c r="KJJ14" s="114"/>
      <c r="KJK14" s="114"/>
      <c r="KJL14" s="114"/>
      <c r="KJM14" s="114"/>
      <c r="KJN14" s="114"/>
      <c r="KJO14" s="114"/>
      <c r="KJP14" s="114"/>
      <c r="KJQ14" s="114"/>
      <c r="KJR14" s="114"/>
      <c r="KJS14" s="114"/>
      <c r="KJT14" s="114"/>
      <c r="KJU14" s="114"/>
      <c r="KJV14" s="114"/>
      <c r="KJW14" s="114"/>
      <c r="KJX14" s="114"/>
      <c r="KJY14" s="114"/>
      <c r="KJZ14" s="114"/>
      <c r="KKA14" s="114"/>
      <c r="KKB14" s="114"/>
      <c r="KKC14" s="114"/>
      <c r="KKD14" s="114"/>
      <c r="KKE14" s="114"/>
      <c r="KKF14" s="114"/>
      <c r="KKG14" s="114"/>
      <c r="KKH14" s="114"/>
      <c r="KKI14" s="114"/>
      <c r="KKJ14" s="114"/>
      <c r="KKK14" s="114"/>
      <c r="KKL14" s="114"/>
      <c r="KKM14" s="114"/>
      <c r="KKN14" s="114"/>
      <c r="KKO14" s="114"/>
      <c r="KKP14" s="114"/>
      <c r="KKQ14" s="114"/>
      <c r="KKR14" s="114"/>
      <c r="KKS14" s="114"/>
      <c r="KKT14" s="114"/>
      <c r="KKU14" s="114"/>
      <c r="KKV14" s="114"/>
      <c r="KKW14" s="114"/>
      <c r="KKX14" s="114"/>
      <c r="KKY14" s="114"/>
      <c r="KKZ14" s="114"/>
      <c r="KLA14" s="114"/>
      <c r="KLB14" s="114"/>
      <c r="KLC14" s="114"/>
      <c r="KLD14" s="114"/>
      <c r="KLE14" s="114"/>
      <c r="KLF14" s="114"/>
      <c r="KLG14" s="114"/>
      <c r="KLH14" s="114"/>
      <c r="KLI14" s="114"/>
      <c r="KLJ14" s="114"/>
      <c r="KLK14" s="114"/>
      <c r="KLL14" s="114"/>
      <c r="KLM14" s="114"/>
      <c r="KLN14" s="114"/>
      <c r="KLO14" s="114"/>
      <c r="KLP14" s="114"/>
      <c r="KLQ14" s="114"/>
      <c r="KLR14" s="114"/>
      <c r="KLS14" s="114"/>
      <c r="KLT14" s="114"/>
      <c r="KLU14" s="114"/>
      <c r="KLV14" s="114"/>
      <c r="KLW14" s="114"/>
      <c r="KLX14" s="114"/>
      <c r="KLY14" s="114"/>
      <c r="KLZ14" s="114"/>
      <c r="KMA14" s="114"/>
      <c r="KMB14" s="114"/>
      <c r="KMC14" s="114"/>
      <c r="KMD14" s="114"/>
      <c r="KME14" s="114"/>
      <c r="KMF14" s="114"/>
      <c r="KMG14" s="114"/>
      <c r="KMH14" s="114"/>
      <c r="KMI14" s="114"/>
      <c r="KMJ14" s="114"/>
      <c r="KMK14" s="114"/>
      <c r="KML14" s="114"/>
      <c r="KMM14" s="114"/>
      <c r="KMN14" s="114"/>
      <c r="KMO14" s="114"/>
      <c r="KMP14" s="114"/>
      <c r="KMQ14" s="114"/>
      <c r="KMR14" s="114"/>
      <c r="KMS14" s="114"/>
      <c r="KMT14" s="114"/>
      <c r="KMU14" s="114"/>
      <c r="KMV14" s="114"/>
      <c r="KMW14" s="114"/>
      <c r="KMX14" s="114"/>
      <c r="KMY14" s="114"/>
      <c r="KMZ14" s="114"/>
      <c r="KNA14" s="114"/>
      <c r="KNB14" s="114"/>
      <c r="KNC14" s="114"/>
      <c r="KND14" s="114"/>
      <c r="KNE14" s="114"/>
      <c r="KNF14" s="114"/>
      <c r="KNG14" s="114"/>
      <c r="KNH14" s="114"/>
      <c r="KNI14" s="114"/>
      <c r="KNJ14" s="114"/>
      <c r="KNK14" s="114"/>
      <c r="KNL14" s="114"/>
      <c r="KNM14" s="114"/>
      <c r="KNN14" s="114"/>
      <c r="KNO14" s="114"/>
      <c r="KNP14" s="114"/>
      <c r="KNQ14" s="114"/>
      <c r="KNR14" s="114"/>
      <c r="KNS14" s="114"/>
      <c r="KNT14" s="114"/>
      <c r="KNU14" s="114"/>
      <c r="KNV14" s="114"/>
      <c r="KNW14" s="114"/>
      <c r="KNX14" s="114"/>
      <c r="KNY14" s="114"/>
      <c r="KNZ14" s="114"/>
      <c r="KOA14" s="114"/>
      <c r="KOB14" s="114"/>
      <c r="KOC14" s="114"/>
      <c r="KOD14" s="114"/>
      <c r="KOE14" s="114"/>
      <c r="KOF14" s="114"/>
      <c r="KOG14" s="114"/>
      <c r="KOH14" s="114"/>
      <c r="KOI14" s="114"/>
      <c r="KOJ14" s="114"/>
      <c r="KOK14" s="114"/>
      <c r="KOL14" s="114"/>
      <c r="KOM14" s="114"/>
      <c r="KON14" s="114"/>
      <c r="KOO14" s="114"/>
      <c r="KOP14" s="114"/>
      <c r="KOQ14" s="114"/>
      <c r="KOR14" s="114"/>
      <c r="KOS14" s="114"/>
      <c r="KOT14" s="114"/>
      <c r="KOU14" s="114"/>
      <c r="KOV14" s="114"/>
      <c r="KOW14" s="114"/>
      <c r="KOX14" s="114"/>
      <c r="KOY14" s="114"/>
      <c r="KOZ14" s="114"/>
      <c r="KPA14" s="114"/>
      <c r="KPB14" s="114"/>
      <c r="KPC14" s="114"/>
      <c r="KPD14" s="114"/>
      <c r="KPE14" s="114"/>
      <c r="KPF14" s="114"/>
      <c r="KPG14" s="114"/>
      <c r="KPH14" s="114"/>
      <c r="KPI14" s="114"/>
      <c r="KPJ14" s="114"/>
      <c r="KPK14" s="114"/>
      <c r="KPL14" s="114"/>
      <c r="KPM14" s="114"/>
      <c r="KPN14" s="114"/>
      <c r="KPO14" s="114"/>
      <c r="KPP14" s="114"/>
      <c r="KPQ14" s="114"/>
      <c r="KPR14" s="114"/>
      <c r="KPS14" s="114"/>
      <c r="KPT14" s="114"/>
      <c r="KPU14" s="114"/>
      <c r="KPV14" s="114"/>
      <c r="KPW14" s="114"/>
      <c r="KPX14" s="114"/>
      <c r="KPY14" s="114"/>
      <c r="KPZ14" s="114"/>
      <c r="KQA14" s="114"/>
      <c r="KQB14" s="114"/>
      <c r="KQC14" s="114"/>
      <c r="KQD14" s="114"/>
      <c r="KQE14" s="114"/>
      <c r="KQF14" s="114"/>
      <c r="KQG14" s="114"/>
      <c r="KQH14" s="114"/>
      <c r="KQI14" s="114"/>
      <c r="KQJ14" s="114"/>
      <c r="KQK14" s="114"/>
      <c r="KQL14" s="114"/>
      <c r="KQM14" s="114"/>
      <c r="KQN14" s="114"/>
      <c r="KQO14" s="114"/>
      <c r="KQP14" s="114"/>
      <c r="KQQ14" s="114"/>
      <c r="KQR14" s="114"/>
      <c r="KQS14" s="114"/>
      <c r="KQT14" s="114"/>
      <c r="KQU14" s="114"/>
      <c r="KQV14" s="114"/>
      <c r="KQW14" s="114"/>
      <c r="KQX14" s="114"/>
      <c r="KQY14" s="114"/>
      <c r="KQZ14" s="114"/>
      <c r="KRA14" s="114"/>
      <c r="KRB14" s="114"/>
      <c r="KRC14" s="114"/>
      <c r="KRD14" s="114"/>
      <c r="KRE14" s="114"/>
      <c r="KRF14" s="114"/>
      <c r="KRG14" s="114"/>
      <c r="KRH14" s="114"/>
      <c r="KRI14" s="114"/>
      <c r="KRJ14" s="114"/>
      <c r="KRK14" s="114"/>
      <c r="KRL14" s="114"/>
      <c r="KRM14" s="114"/>
      <c r="KRN14" s="114"/>
      <c r="KRO14" s="114"/>
      <c r="KRP14" s="114"/>
      <c r="KRQ14" s="114"/>
      <c r="KRR14" s="114"/>
      <c r="KRS14" s="114"/>
      <c r="KRT14" s="114"/>
      <c r="KRU14" s="114"/>
      <c r="KRV14" s="114"/>
      <c r="KRW14" s="114"/>
      <c r="KRX14" s="114"/>
      <c r="KRY14" s="114"/>
      <c r="KRZ14" s="114"/>
      <c r="KSA14" s="114"/>
      <c r="KSB14" s="114"/>
      <c r="KSC14" s="114"/>
      <c r="KSD14" s="114"/>
      <c r="KSE14" s="114"/>
      <c r="KSF14" s="114"/>
      <c r="KSG14" s="114"/>
      <c r="KSH14" s="114"/>
      <c r="KSI14" s="114"/>
      <c r="KSJ14" s="114"/>
      <c r="KSK14" s="114"/>
      <c r="KSL14" s="114"/>
      <c r="KSM14" s="114"/>
      <c r="KSN14" s="114"/>
      <c r="KSO14" s="114"/>
      <c r="KSP14" s="114"/>
      <c r="KSQ14" s="114"/>
      <c r="KSR14" s="114"/>
      <c r="KSS14" s="114"/>
      <c r="KST14" s="114"/>
      <c r="KSU14" s="114"/>
      <c r="KSV14" s="114"/>
      <c r="KSW14" s="114"/>
      <c r="KSX14" s="114"/>
      <c r="KSY14" s="114"/>
      <c r="KSZ14" s="114"/>
      <c r="KTA14" s="114"/>
      <c r="KTB14" s="114"/>
      <c r="KTC14" s="114"/>
      <c r="KTD14" s="114"/>
      <c r="KTE14" s="114"/>
      <c r="KTF14" s="114"/>
      <c r="KTG14" s="114"/>
      <c r="KTH14" s="114"/>
      <c r="KTI14" s="114"/>
      <c r="KTJ14" s="114"/>
      <c r="KTK14" s="114"/>
      <c r="KTL14" s="114"/>
      <c r="KTM14" s="114"/>
      <c r="KTN14" s="114"/>
      <c r="KTO14" s="114"/>
      <c r="KTP14" s="114"/>
      <c r="KTQ14" s="114"/>
      <c r="KTR14" s="114"/>
      <c r="KTS14" s="114"/>
      <c r="KTT14" s="114"/>
      <c r="KTU14" s="114"/>
      <c r="KTV14" s="114"/>
      <c r="KTW14" s="114"/>
      <c r="KTX14" s="114"/>
      <c r="KTY14" s="114"/>
      <c r="KTZ14" s="114"/>
      <c r="KUA14" s="114"/>
      <c r="KUB14" s="114"/>
      <c r="KUC14" s="114"/>
      <c r="KUD14" s="114"/>
      <c r="KUE14" s="114"/>
      <c r="KUF14" s="114"/>
      <c r="KUG14" s="114"/>
      <c r="KUH14" s="114"/>
      <c r="KUI14" s="114"/>
      <c r="KUJ14" s="114"/>
      <c r="KUK14" s="114"/>
      <c r="KUL14" s="114"/>
      <c r="KUM14" s="114"/>
      <c r="KUN14" s="114"/>
      <c r="KUO14" s="114"/>
      <c r="KUP14" s="114"/>
      <c r="KUQ14" s="114"/>
      <c r="KUR14" s="114"/>
      <c r="KUS14" s="114"/>
      <c r="KUT14" s="114"/>
      <c r="KUU14" s="114"/>
      <c r="KUV14" s="114"/>
      <c r="KUW14" s="114"/>
      <c r="KUX14" s="114"/>
      <c r="KUY14" s="114"/>
      <c r="KUZ14" s="114"/>
      <c r="KVA14" s="114"/>
      <c r="KVB14" s="114"/>
      <c r="KVC14" s="114"/>
      <c r="KVD14" s="114"/>
      <c r="KVE14" s="114"/>
      <c r="KVF14" s="114"/>
      <c r="KVG14" s="114"/>
      <c r="KVH14" s="114"/>
      <c r="KVI14" s="114"/>
      <c r="KVJ14" s="114"/>
      <c r="KVK14" s="114"/>
      <c r="KVL14" s="114"/>
      <c r="KVM14" s="114"/>
      <c r="KVN14" s="114"/>
      <c r="KVO14" s="114"/>
      <c r="KVP14" s="114"/>
      <c r="KVQ14" s="114"/>
      <c r="KVR14" s="114"/>
      <c r="KVS14" s="114"/>
      <c r="KVT14" s="114"/>
      <c r="KVU14" s="114"/>
      <c r="KVV14" s="114"/>
      <c r="KVW14" s="114"/>
      <c r="KVX14" s="114"/>
      <c r="KVY14" s="114"/>
      <c r="KVZ14" s="114"/>
      <c r="KWA14" s="114"/>
      <c r="KWB14" s="114"/>
      <c r="KWC14" s="114"/>
      <c r="KWD14" s="114"/>
      <c r="KWE14" s="114"/>
      <c r="KWF14" s="114"/>
      <c r="KWG14" s="114"/>
      <c r="KWH14" s="114"/>
      <c r="KWI14" s="114"/>
      <c r="KWJ14" s="114"/>
      <c r="KWK14" s="114"/>
      <c r="KWL14" s="114"/>
      <c r="KWM14" s="114"/>
      <c r="KWN14" s="114"/>
      <c r="KWO14" s="114"/>
      <c r="KWP14" s="114"/>
      <c r="KWQ14" s="114"/>
      <c r="KWR14" s="114"/>
      <c r="KWS14" s="114"/>
      <c r="KWT14" s="114"/>
      <c r="KWU14" s="114"/>
      <c r="KWV14" s="114"/>
      <c r="KWW14" s="114"/>
      <c r="KWX14" s="114"/>
      <c r="KWY14" s="114"/>
      <c r="KWZ14" s="114"/>
      <c r="KXA14" s="114"/>
      <c r="KXB14" s="114"/>
      <c r="KXC14" s="114"/>
      <c r="KXD14" s="114"/>
      <c r="KXE14" s="114"/>
      <c r="KXF14" s="114"/>
      <c r="KXG14" s="114"/>
      <c r="KXH14" s="114"/>
      <c r="KXI14" s="114"/>
      <c r="KXJ14" s="114"/>
      <c r="KXK14" s="114"/>
      <c r="KXL14" s="114"/>
      <c r="KXM14" s="114"/>
      <c r="KXN14" s="114"/>
      <c r="KXO14" s="114"/>
      <c r="KXP14" s="114"/>
      <c r="KXQ14" s="114"/>
      <c r="KXR14" s="114"/>
      <c r="KXS14" s="114"/>
      <c r="KXT14" s="114"/>
      <c r="KXU14" s="114"/>
      <c r="KXV14" s="114"/>
      <c r="KXW14" s="114"/>
      <c r="KXX14" s="114"/>
      <c r="KXY14" s="114"/>
      <c r="KXZ14" s="114"/>
      <c r="KYA14" s="114"/>
      <c r="KYB14" s="114"/>
      <c r="KYC14" s="114"/>
      <c r="KYD14" s="114"/>
      <c r="KYE14" s="114"/>
      <c r="KYF14" s="114"/>
      <c r="KYG14" s="114"/>
      <c r="KYH14" s="114"/>
      <c r="KYI14" s="114"/>
      <c r="KYJ14" s="114"/>
      <c r="KYK14" s="114"/>
      <c r="KYL14" s="114"/>
      <c r="KYM14" s="114"/>
      <c r="KYN14" s="114"/>
      <c r="KYO14" s="114"/>
      <c r="KYP14" s="114"/>
      <c r="KYQ14" s="114"/>
      <c r="KYR14" s="114"/>
      <c r="KYS14" s="114"/>
      <c r="KYT14" s="114"/>
      <c r="KYU14" s="114"/>
      <c r="KYV14" s="114"/>
      <c r="KYW14" s="114"/>
      <c r="KYX14" s="114"/>
      <c r="KYY14" s="114"/>
      <c r="KYZ14" s="114"/>
      <c r="KZA14" s="114"/>
      <c r="KZB14" s="114"/>
      <c r="KZC14" s="114"/>
      <c r="KZD14" s="114"/>
      <c r="KZE14" s="114"/>
      <c r="KZF14" s="114"/>
      <c r="KZG14" s="114"/>
      <c r="KZH14" s="114"/>
      <c r="KZI14" s="114"/>
      <c r="KZJ14" s="114"/>
      <c r="KZK14" s="114"/>
      <c r="KZL14" s="114"/>
      <c r="KZM14" s="114"/>
      <c r="KZN14" s="114"/>
      <c r="KZO14" s="114"/>
      <c r="KZP14" s="114"/>
      <c r="KZQ14" s="114"/>
      <c r="KZR14" s="114"/>
      <c r="KZS14" s="114"/>
      <c r="KZT14" s="114"/>
      <c r="KZU14" s="114"/>
      <c r="KZV14" s="114"/>
      <c r="KZW14" s="114"/>
      <c r="KZX14" s="114"/>
      <c r="KZY14" s="114"/>
      <c r="KZZ14" s="114"/>
      <c r="LAA14" s="114"/>
      <c r="LAB14" s="114"/>
      <c r="LAC14" s="114"/>
      <c r="LAD14" s="114"/>
      <c r="LAE14" s="114"/>
      <c r="LAF14" s="114"/>
      <c r="LAG14" s="114"/>
      <c r="LAH14" s="114"/>
      <c r="LAI14" s="114"/>
      <c r="LAJ14" s="114"/>
      <c r="LAK14" s="114"/>
      <c r="LAL14" s="114"/>
      <c r="LAM14" s="114"/>
      <c r="LAN14" s="114"/>
      <c r="LAO14" s="114"/>
      <c r="LAP14" s="114"/>
      <c r="LAQ14" s="114"/>
      <c r="LAR14" s="114"/>
      <c r="LAS14" s="114"/>
      <c r="LAT14" s="114"/>
      <c r="LAU14" s="114"/>
      <c r="LAV14" s="114"/>
      <c r="LAW14" s="114"/>
      <c r="LAX14" s="114"/>
      <c r="LAY14" s="114"/>
      <c r="LAZ14" s="114"/>
      <c r="LBA14" s="114"/>
      <c r="LBB14" s="114"/>
      <c r="LBC14" s="114"/>
      <c r="LBD14" s="114"/>
      <c r="LBE14" s="114"/>
      <c r="LBF14" s="114"/>
      <c r="LBG14" s="114"/>
      <c r="LBH14" s="114"/>
      <c r="LBI14" s="114"/>
      <c r="LBJ14" s="114"/>
      <c r="LBK14" s="114"/>
      <c r="LBL14" s="114"/>
      <c r="LBM14" s="114"/>
      <c r="LBN14" s="114"/>
      <c r="LBO14" s="114"/>
      <c r="LBP14" s="114"/>
      <c r="LBQ14" s="114"/>
      <c r="LBR14" s="114"/>
      <c r="LBS14" s="114"/>
      <c r="LBT14" s="114"/>
      <c r="LBU14" s="114"/>
      <c r="LBV14" s="114"/>
      <c r="LBW14" s="114"/>
      <c r="LBX14" s="114"/>
      <c r="LBY14" s="114"/>
      <c r="LBZ14" s="114"/>
      <c r="LCA14" s="114"/>
      <c r="LCB14" s="114"/>
      <c r="LCC14" s="114"/>
      <c r="LCD14" s="114"/>
      <c r="LCE14" s="114"/>
      <c r="LCF14" s="114"/>
      <c r="LCG14" s="114"/>
      <c r="LCH14" s="114"/>
      <c r="LCI14" s="114"/>
      <c r="LCJ14" s="114"/>
      <c r="LCK14" s="114"/>
      <c r="LCL14" s="114"/>
      <c r="LCM14" s="114"/>
      <c r="LCN14" s="114"/>
      <c r="LCO14" s="114"/>
      <c r="LCP14" s="114"/>
      <c r="LCQ14" s="114"/>
      <c r="LCR14" s="114"/>
      <c r="LCS14" s="114"/>
      <c r="LCT14" s="114"/>
      <c r="LCU14" s="114"/>
      <c r="LCV14" s="114"/>
      <c r="LCW14" s="114"/>
      <c r="LCX14" s="114"/>
      <c r="LCY14" s="114"/>
      <c r="LCZ14" s="114"/>
      <c r="LDA14" s="114"/>
      <c r="LDB14" s="114"/>
      <c r="LDC14" s="114"/>
      <c r="LDD14" s="114"/>
      <c r="LDE14" s="114"/>
      <c r="LDF14" s="114"/>
      <c r="LDG14" s="114"/>
      <c r="LDH14" s="114"/>
      <c r="LDI14" s="114"/>
      <c r="LDJ14" s="114"/>
      <c r="LDK14" s="114"/>
      <c r="LDL14" s="114"/>
      <c r="LDM14" s="114"/>
      <c r="LDN14" s="114"/>
      <c r="LDO14" s="114"/>
      <c r="LDP14" s="114"/>
      <c r="LDQ14" s="114"/>
      <c r="LDR14" s="114"/>
      <c r="LDS14" s="114"/>
      <c r="LDT14" s="114"/>
      <c r="LDU14" s="114"/>
      <c r="LDV14" s="114"/>
      <c r="LDW14" s="114"/>
      <c r="LDX14" s="114"/>
      <c r="LDY14" s="114"/>
      <c r="LDZ14" s="114"/>
      <c r="LEA14" s="114"/>
      <c r="LEB14" s="114"/>
      <c r="LEC14" s="114"/>
      <c r="LED14" s="114"/>
      <c r="LEE14" s="114"/>
      <c r="LEF14" s="114"/>
      <c r="LEG14" s="114"/>
      <c r="LEH14" s="114"/>
      <c r="LEI14" s="114"/>
      <c r="LEJ14" s="114"/>
      <c r="LEK14" s="114"/>
      <c r="LEL14" s="114"/>
      <c r="LEM14" s="114"/>
      <c r="LEN14" s="114"/>
      <c r="LEO14" s="114"/>
      <c r="LEP14" s="114"/>
      <c r="LEQ14" s="114"/>
      <c r="LER14" s="114"/>
      <c r="LES14" s="114"/>
      <c r="LET14" s="114"/>
      <c r="LEU14" s="114"/>
      <c r="LEV14" s="114"/>
      <c r="LEW14" s="114"/>
      <c r="LEX14" s="114"/>
      <c r="LEY14" s="114"/>
      <c r="LEZ14" s="114"/>
      <c r="LFA14" s="114"/>
      <c r="LFB14" s="114"/>
      <c r="LFC14" s="114"/>
      <c r="LFD14" s="114"/>
      <c r="LFE14" s="114"/>
      <c r="LFF14" s="114"/>
      <c r="LFG14" s="114"/>
      <c r="LFH14" s="114"/>
      <c r="LFI14" s="114"/>
      <c r="LFJ14" s="114"/>
      <c r="LFK14" s="114"/>
      <c r="LFL14" s="114"/>
      <c r="LFM14" s="114"/>
      <c r="LFN14" s="114"/>
      <c r="LFO14" s="114"/>
      <c r="LFP14" s="114"/>
      <c r="LFQ14" s="114"/>
      <c r="LFR14" s="114"/>
      <c r="LFS14" s="114"/>
      <c r="LFT14" s="114"/>
      <c r="LFU14" s="114"/>
      <c r="LFV14" s="114"/>
      <c r="LFW14" s="114"/>
      <c r="LFX14" s="114"/>
      <c r="LFY14" s="114"/>
      <c r="LFZ14" s="114"/>
      <c r="LGA14" s="114"/>
      <c r="LGB14" s="114"/>
      <c r="LGC14" s="114"/>
      <c r="LGD14" s="114"/>
      <c r="LGE14" s="114"/>
      <c r="LGF14" s="114"/>
      <c r="LGG14" s="114"/>
      <c r="LGH14" s="114"/>
      <c r="LGI14" s="114"/>
      <c r="LGJ14" s="114"/>
      <c r="LGK14" s="114"/>
      <c r="LGL14" s="114"/>
      <c r="LGM14" s="114"/>
      <c r="LGN14" s="114"/>
      <c r="LGO14" s="114"/>
      <c r="LGP14" s="114"/>
      <c r="LGQ14" s="114"/>
      <c r="LGR14" s="114"/>
      <c r="LGS14" s="114"/>
      <c r="LGT14" s="114"/>
      <c r="LGU14" s="114"/>
      <c r="LGV14" s="114"/>
      <c r="LGW14" s="114"/>
      <c r="LGX14" s="114"/>
      <c r="LGY14" s="114"/>
      <c r="LGZ14" s="114"/>
      <c r="LHA14" s="114"/>
      <c r="LHB14" s="114"/>
      <c r="LHC14" s="114"/>
      <c r="LHD14" s="114"/>
      <c r="LHE14" s="114"/>
      <c r="LHF14" s="114"/>
      <c r="LHG14" s="114"/>
      <c r="LHH14" s="114"/>
      <c r="LHI14" s="114"/>
      <c r="LHJ14" s="114"/>
      <c r="LHK14" s="114"/>
      <c r="LHL14" s="114"/>
      <c r="LHM14" s="114"/>
      <c r="LHN14" s="114"/>
      <c r="LHO14" s="114"/>
      <c r="LHP14" s="114"/>
      <c r="LHQ14" s="114"/>
      <c r="LHR14" s="114"/>
      <c r="LHS14" s="114"/>
      <c r="LHT14" s="114"/>
      <c r="LHU14" s="114"/>
      <c r="LHV14" s="114"/>
      <c r="LHW14" s="114"/>
      <c r="LHX14" s="114"/>
      <c r="LHY14" s="114"/>
      <c r="LHZ14" s="114"/>
      <c r="LIA14" s="114"/>
      <c r="LIB14" s="114"/>
      <c r="LIC14" s="114"/>
      <c r="LID14" s="114"/>
      <c r="LIE14" s="114"/>
      <c r="LIF14" s="114"/>
      <c r="LIG14" s="114"/>
      <c r="LIH14" s="114"/>
      <c r="LII14" s="114"/>
      <c r="LIJ14" s="114"/>
      <c r="LIK14" s="114"/>
      <c r="LIL14" s="114"/>
      <c r="LIM14" s="114"/>
      <c r="LIN14" s="114"/>
      <c r="LIO14" s="114"/>
      <c r="LIP14" s="114"/>
      <c r="LIQ14" s="114"/>
      <c r="LIR14" s="114"/>
      <c r="LIS14" s="114"/>
      <c r="LIT14" s="114"/>
      <c r="LIU14" s="114"/>
      <c r="LIV14" s="114"/>
      <c r="LIW14" s="114"/>
      <c r="LIX14" s="114"/>
      <c r="LIY14" s="114"/>
      <c r="LIZ14" s="114"/>
      <c r="LJA14" s="114"/>
      <c r="LJB14" s="114"/>
      <c r="LJC14" s="114"/>
      <c r="LJD14" s="114"/>
      <c r="LJE14" s="114"/>
      <c r="LJF14" s="114"/>
      <c r="LJG14" s="114"/>
      <c r="LJH14" s="114"/>
      <c r="LJI14" s="114"/>
      <c r="LJJ14" s="114"/>
      <c r="LJK14" s="114"/>
      <c r="LJL14" s="114"/>
      <c r="LJM14" s="114"/>
      <c r="LJN14" s="114"/>
      <c r="LJO14" s="114"/>
      <c r="LJP14" s="114"/>
      <c r="LJQ14" s="114"/>
      <c r="LJR14" s="114"/>
      <c r="LJS14" s="114"/>
      <c r="LJT14" s="114"/>
      <c r="LJU14" s="114"/>
      <c r="LJV14" s="114"/>
      <c r="LJW14" s="114"/>
      <c r="LJX14" s="114"/>
      <c r="LJY14" s="114"/>
      <c r="LJZ14" s="114"/>
      <c r="LKA14" s="114"/>
      <c r="LKB14" s="114"/>
      <c r="LKC14" s="114"/>
      <c r="LKD14" s="114"/>
      <c r="LKE14" s="114"/>
      <c r="LKF14" s="114"/>
      <c r="LKG14" s="114"/>
      <c r="LKH14" s="114"/>
      <c r="LKI14" s="114"/>
      <c r="LKJ14" s="114"/>
      <c r="LKK14" s="114"/>
      <c r="LKL14" s="114"/>
      <c r="LKM14" s="114"/>
      <c r="LKN14" s="114"/>
      <c r="LKO14" s="114"/>
      <c r="LKP14" s="114"/>
      <c r="LKQ14" s="114"/>
      <c r="LKR14" s="114"/>
      <c r="LKS14" s="114"/>
      <c r="LKT14" s="114"/>
      <c r="LKU14" s="114"/>
      <c r="LKV14" s="114"/>
      <c r="LKW14" s="114"/>
      <c r="LKX14" s="114"/>
      <c r="LKY14" s="114"/>
      <c r="LKZ14" s="114"/>
      <c r="LLA14" s="114"/>
      <c r="LLB14" s="114"/>
      <c r="LLC14" s="114"/>
      <c r="LLD14" s="114"/>
      <c r="LLE14" s="114"/>
      <c r="LLF14" s="114"/>
      <c r="LLG14" s="114"/>
      <c r="LLH14" s="114"/>
      <c r="LLI14" s="114"/>
      <c r="LLJ14" s="114"/>
      <c r="LLK14" s="114"/>
      <c r="LLL14" s="114"/>
      <c r="LLM14" s="114"/>
      <c r="LLN14" s="114"/>
      <c r="LLO14" s="114"/>
      <c r="LLP14" s="114"/>
      <c r="LLQ14" s="114"/>
      <c r="LLR14" s="114"/>
      <c r="LLS14" s="114"/>
      <c r="LLT14" s="114"/>
      <c r="LLU14" s="114"/>
      <c r="LLV14" s="114"/>
      <c r="LLW14" s="114"/>
      <c r="LLX14" s="114"/>
      <c r="LLY14" s="114"/>
      <c r="LLZ14" s="114"/>
      <c r="LMA14" s="114"/>
      <c r="LMB14" s="114"/>
      <c r="LMC14" s="114"/>
      <c r="LMD14" s="114"/>
      <c r="LME14" s="114"/>
      <c r="LMF14" s="114"/>
      <c r="LMG14" s="114"/>
      <c r="LMH14" s="114"/>
      <c r="LMI14" s="114"/>
      <c r="LMJ14" s="114"/>
      <c r="LMK14" s="114"/>
      <c r="LML14" s="114"/>
      <c r="LMM14" s="114"/>
      <c r="LMN14" s="114"/>
      <c r="LMO14" s="114"/>
      <c r="LMP14" s="114"/>
      <c r="LMQ14" s="114"/>
      <c r="LMR14" s="114"/>
      <c r="LMS14" s="114"/>
      <c r="LMT14" s="114"/>
      <c r="LMU14" s="114"/>
      <c r="LMV14" s="114"/>
      <c r="LMW14" s="114"/>
      <c r="LMX14" s="114"/>
      <c r="LMY14" s="114"/>
      <c r="LMZ14" s="114"/>
      <c r="LNA14" s="114"/>
      <c r="LNB14" s="114"/>
      <c r="LNC14" s="114"/>
      <c r="LND14" s="114"/>
      <c r="LNE14" s="114"/>
      <c r="LNF14" s="114"/>
      <c r="LNG14" s="114"/>
      <c r="LNH14" s="114"/>
      <c r="LNI14" s="114"/>
      <c r="LNJ14" s="114"/>
      <c r="LNK14" s="114"/>
      <c r="LNL14" s="114"/>
      <c r="LNM14" s="114"/>
      <c r="LNN14" s="114"/>
      <c r="LNO14" s="114"/>
      <c r="LNP14" s="114"/>
      <c r="LNQ14" s="114"/>
      <c r="LNR14" s="114"/>
      <c r="LNS14" s="114"/>
      <c r="LNT14" s="114"/>
      <c r="LNU14" s="114"/>
      <c r="LNV14" s="114"/>
      <c r="LNW14" s="114"/>
      <c r="LNX14" s="114"/>
      <c r="LNY14" s="114"/>
      <c r="LNZ14" s="114"/>
      <c r="LOA14" s="114"/>
      <c r="LOB14" s="114"/>
      <c r="LOC14" s="114"/>
      <c r="LOD14" s="114"/>
      <c r="LOE14" s="114"/>
      <c r="LOF14" s="114"/>
      <c r="LOG14" s="114"/>
      <c r="LOH14" s="114"/>
      <c r="LOI14" s="114"/>
      <c r="LOJ14" s="114"/>
      <c r="LOK14" s="114"/>
      <c r="LOL14" s="114"/>
      <c r="LOM14" s="114"/>
      <c r="LON14" s="114"/>
      <c r="LOO14" s="114"/>
      <c r="LOP14" s="114"/>
      <c r="LOQ14" s="114"/>
      <c r="LOR14" s="114"/>
      <c r="LOS14" s="114"/>
      <c r="LOT14" s="114"/>
      <c r="LOU14" s="114"/>
      <c r="LOV14" s="114"/>
      <c r="LOW14" s="114"/>
      <c r="LOX14" s="114"/>
      <c r="LOY14" s="114"/>
      <c r="LOZ14" s="114"/>
      <c r="LPA14" s="114"/>
      <c r="LPB14" s="114"/>
      <c r="LPC14" s="114"/>
      <c r="LPD14" s="114"/>
      <c r="LPE14" s="114"/>
      <c r="LPF14" s="114"/>
      <c r="LPG14" s="114"/>
      <c r="LPH14" s="114"/>
      <c r="LPI14" s="114"/>
      <c r="LPJ14" s="114"/>
      <c r="LPK14" s="114"/>
      <c r="LPL14" s="114"/>
      <c r="LPM14" s="114"/>
      <c r="LPN14" s="114"/>
      <c r="LPO14" s="114"/>
      <c r="LPP14" s="114"/>
      <c r="LPQ14" s="114"/>
      <c r="LPR14" s="114"/>
      <c r="LPS14" s="114"/>
      <c r="LPT14" s="114"/>
      <c r="LPU14" s="114"/>
      <c r="LPV14" s="114"/>
      <c r="LPW14" s="114"/>
      <c r="LPX14" s="114"/>
      <c r="LPY14" s="114"/>
      <c r="LPZ14" s="114"/>
      <c r="LQA14" s="114"/>
      <c r="LQB14" s="114"/>
      <c r="LQC14" s="114"/>
      <c r="LQD14" s="114"/>
      <c r="LQE14" s="114"/>
      <c r="LQF14" s="114"/>
      <c r="LQG14" s="114"/>
      <c r="LQH14" s="114"/>
      <c r="LQI14" s="114"/>
      <c r="LQJ14" s="114"/>
      <c r="LQK14" s="114"/>
      <c r="LQL14" s="114"/>
      <c r="LQM14" s="114"/>
      <c r="LQN14" s="114"/>
      <c r="LQO14" s="114"/>
      <c r="LQP14" s="114"/>
      <c r="LQQ14" s="114"/>
      <c r="LQR14" s="114"/>
      <c r="LQS14" s="114"/>
      <c r="LQT14" s="114"/>
      <c r="LQU14" s="114"/>
      <c r="LQV14" s="114"/>
      <c r="LQW14" s="114"/>
      <c r="LQX14" s="114"/>
      <c r="LQY14" s="114"/>
      <c r="LQZ14" s="114"/>
      <c r="LRA14" s="114"/>
      <c r="LRB14" s="114"/>
      <c r="LRC14" s="114"/>
      <c r="LRD14" s="114"/>
      <c r="LRE14" s="114"/>
      <c r="LRF14" s="114"/>
      <c r="LRG14" s="114"/>
      <c r="LRH14" s="114"/>
      <c r="LRI14" s="114"/>
      <c r="LRJ14" s="114"/>
      <c r="LRK14" s="114"/>
      <c r="LRL14" s="114"/>
      <c r="LRM14" s="114"/>
      <c r="LRN14" s="114"/>
      <c r="LRO14" s="114"/>
      <c r="LRP14" s="114"/>
      <c r="LRQ14" s="114"/>
      <c r="LRR14" s="114"/>
      <c r="LRS14" s="114"/>
      <c r="LRT14" s="114"/>
      <c r="LRU14" s="114"/>
      <c r="LRV14" s="114"/>
      <c r="LRW14" s="114"/>
      <c r="LRX14" s="114"/>
      <c r="LRY14" s="114"/>
      <c r="LRZ14" s="114"/>
      <c r="LSA14" s="114"/>
      <c r="LSB14" s="114"/>
      <c r="LSC14" s="114"/>
      <c r="LSD14" s="114"/>
      <c r="LSE14" s="114"/>
      <c r="LSF14" s="114"/>
      <c r="LSG14" s="114"/>
      <c r="LSH14" s="114"/>
      <c r="LSI14" s="114"/>
      <c r="LSJ14" s="114"/>
      <c r="LSK14" s="114"/>
      <c r="LSL14" s="114"/>
      <c r="LSM14" s="114"/>
      <c r="LSN14" s="114"/>
      <c r="LSO14" s="114"/>
      <c r="LSP14" s="114"/>
      <c r="LSQ14" s="114"/>
      <c r="LSR14" s="114"/>
      <c r="LSS14" s="114"/>
      <c r="LST14" s="114"/>
      <c r="LSU14" s="114"/>
      <c r="LSV14" s="114"/>
      <c r="LSW14" s="114"/>
      <c r="LSX14" s="114"/>
      <c r="LSY14" s="114"/>
      <c r="LSZ14" s="114"/>
      <c r="LTA14" s="114"/>
      <c r="LTB14" s="114"/>
      <c r="LTC14" s="114"/>
      <c r="LTD14" s="114"/>
      <c r="LTE14" s="114"/>
      <c r="LTF14" s="114"/>
      <c r="LTG14" s="114"/>
      <c r="LTH14" s="114"/>
      <c r="LTI14" s="114"/>
      <c r="LTJ14" s="114"/>
      <c r="LTK14" s="114"/>
      <c r="LTL14" s="114"/>
      <c r="LTM14" s="114"/>
      <c r="LTN14" s="114"/>
      <c r="LTO14" s="114"/>
      <c r="LTP14" s="114"/>
      <c r="LTQ14" s="114"/>
      <c r="LTR14" s="114"/>
      <c r="LTS14" s="114"/>
      <c r="LTT14" s="114"/>
      <c r="LTU14" s="114"/>
      <c r="LTV14" s="114"/>
      <c r="LTW14" s="114"/>
      <c r="LTX14" s="114"/>
      <c r="LTY14" s="114"/>
      <c r="LTZ14" s="114"/>
      <c r="LUA14" s="114"/>
      <c r="LUB14" s="114"/>
      <c r="LUC14" s="114"/>
      <c r="LUD14" s="114"/>
      <c r="LUE14" s="114"/>
      <c r="LUF14" s="114"/>
      <c r="LUG14" s="114"/>
      <c r="LUH14" s="114"/>
      <c r="LUI14" s="114"/>
      <c r="LUJ14" s="114"/>
      <c r="LUK14" s="114"/>
      <c r="LUL14" s="114"/>
      <c r="LUM14" s="114"/>
      <c r="LUN14" s="114"/>
      <c r="LUO14" s="114"/>
      <c r="LUP14" s="114"/>
      <c r="LUQ14" s="114"/>
      <c r="LUR14" s="114"/>
      <c r="LUS14" s="114"/>
      <c r="LUT14" s="114"/>
      <c r="LUU14" s="114"/>
      <c r="LUV14" s="114"/>
      <c r="LUW14" s="114"/>
      <c r="LUX14" s="114"/>
      <c r="LUY14" s="114"/>
      <c r="LUZ14" s="114"/>
      <c r="LVA14" s="114"/>
      <c r="LVB14" s="114"/>
      <c r="LVC14" s="114"/>
      <c r="LVD14" s="114"/>
      <c r="LVE14" s="114"/>
      <c r="LVF14" s="114"/>
      <c r="LVG14" s="114"/>
      <c r="LVH14" s="114"/>
      <c r="LVI14" s="114"/>
      <c r="LVJ14" s="114"/>
      <c r="LVK14" s="114"/>
      <c r="LVL14" s="114"/>
      <c r="LVM14" s="114"/>
      <c r="LVN14" s="114"/>
      <c r="LVO14" s="114"/>
      <c r="LVP14" s="114"/>
      <c r="LVQ14" s="114"/>
      <c r="LVR14" s="114"/>
      <c r="LVS14" s="114"/>
      <c r="LVT14" s="114"/>
      <c r="LVU14" s="114"/>
      <c r="LVV14" s="114"/>
      <c r="LVW14" s="114"/>
      <c r="LVX14" s="114"/>
      <c r="LVY14" s="114"/>
      <c r="LVZ14" s="114"/>
      <c r="LWA14" s="114"/>
      <c r="LWB14" s="114"/>
      <c r="LWC14" s="114"/>
      <c r="LWD14" s="114"/>
      <c r="LWE14" s="114"/>
      <c r="LWF14" s="114"/>
      <c r="LWG14" s="114"/>
      <c r="LWH14" s="114"/>
      <c r="LWI14" s="114"/>
      <c r="LWJ14" s="114"/>
      <c r="LWK14" s="114"/>
      <c r="LWL14" s="114"/>
      <c r="LWM14" s="114"/>
      <c r="LWN14" s="114"/>
      <c r="LWO14" s="114"/>
      <c r="LWP14" s="114"/>
      <c r="LWQ14" s="114"/>
      <c r="LWR14" s="114"/>
      <c r="LWS14" s="114"/>
      <c r="LWT14" s="114"/>
      <c r="LWU14" s="114"/>
      <c r="LWV14" s="114"/>
      <c r="LWW14" s="114"/>
      <c r="LWX14" s="114"/>
      <c r="LWY14" s="114"/>
      <c r="LWZ14" s="114"/>
      <c r="LXA14" s="114"/>
      <c r="LXB14" s="114"/>
      <c r="LXC14" s="114"/>
      <c r="LXD14" s="114"/>
      <c r="LXE14" s="114"/>
      <c r="LXF14" s="114"/>
      <c r="LXG14" s="114"/>
      <c r="LXH14" s="114"/>
      <c r="LXI14" s="114"/>
      <c r="LXJ14" s="114"/>
      <c r="LXK14" s="114"/>
      <c r="LXL14" s="114"/>
      <c r="LXM14" s="114"/>
      <c r="LXN14" s="114"/>
      <c r="LXO14" s="114"/>
      <c r="LXP14" s="114"/>
      <c r="LXQ14" s="114"/>
      <c r="LXR14" s="114"/>
      <c r="LXS14" s="114"/>
      <c r="LXT14" s="114"/>
      <c r="LXU14" s="114"/>
      <c r="LXV14" s="114"/>
      <c r="LXW14" s="114"/>
      <c r="LXX14" s="114"/>
      <c r="LXY14" s="114"/>
      <c r="LXZ14" s="114"/>
      <c r="LYA14" s="114"/>
      <c r="LYB14" s="114"/>
      <c r="LYC14" s="114"/>
      <c r="LYD14" s="114"/>
      <c r="LYE14" s="114"/>
      <c r="LYF14" s="114"/>
      <c r="LYG14" s="114"/>
      <c r="LYH14" s="114"/>
      <c r="LYI14" s="114"/>
      <c r="LYJ14" s="114"/>
      <c r="LYK14" s="114"/>
      <c r="LYL14" s="114"/>
      <c r="LYM14" s="114"/>
      <c r="LYN14" s="114"/>
      <c r="LYO14" s="114"/>
      <c r="LYP14" s="114"/>
      <c r="LYQ14" s="114"/>
      <c r="LYR14" s="114"/>
      <c r="LYS14" s="114"/>
      <c r="LYT14" s="114"/>
      <c r="LYU14" s="114"/>
      <c r="LYV14" s="114"/>
      <c r="LYW14" s="114"/>
      <c r="LYX14" s="114"/>
      <c r="LYY14" s="114"/>
      <c r="LYZ14" s="114"/>
      <c r="LZA14" s="114"/>
      <c r="LZB14" s="114"/>
      <c r="LZC14" s="114"/>
      <c r="LZD14" s="114"/>
      <c r="LZE14" s="114"/>
      <c r="LZF14" s="114"/>
      <c r="LZG14" s="114"/>
      <c r="LZH14" s="114"/>
      <c r="LZI14" s="114"/>
      <c r="LZJ14" s="114"/>
      <c r="LZK14" s="114"/>
      <c r="LZL14" s="114"/>
      <c r="LZM14" s="114"/>
      <c r="LZN14" s="114"/>
      <c r="LZO14" s="114"/>
      <c r="LZP14" s="114"/>
      <c r="LZQ14" s="114"/>
      <c r="LZR14" s="114"/>
      <c r="LZS14" s="114"/>
      <c r="LZT14" s="114"/>
      <c r="LZU14" s="114"/>
      <c r="LZV14" s="114"/>
      <c r="LZW14" s="114"/>
      <c r="LZX14" s="114"/>
      <c r="LZY14" s="114"/>
      <c r="LZZ14" s="114"/>
      <c r="MAA14" s="114"/>
      <c r="MAB14" s="114"/>
      <c r="MAC14" s="114"/>
      <c r="MAD14" s="114"/>
      <c r="MAE14" s="114"/>
      <c r="MAF14" s="114"/>
      <c r="MAG14" s="114"/>
      <c r="MAH14" s="114"/>
      <c r="MAI14" s="114"/>
      <c r="MAJ14" s="114"/>
      <c r="MAK14" s="114"/>
      <c r="MAL14" s="114"/>
      <c r="MAM14" s="114"/>
      <c r="MAN14" s="114"/>
      <c r="MAO14" s="114"/>
      <c r="MAP14" s="114"/>
      <c r="MAQ14" s="114"/>
      <c r="MAR14" s="114"/>
      <c r="MAS14" s="114"/>
      <c r="MAT14" s="114"/>
      <c r="MAU14" s="114"/>
      <c r="MAV14" s="114"/>
      <c r="MAW14" s="114"/>
      <c r="MAX14" s="114"/>
      <c r="MAY14" s="114"/>
      <c r="MAZ14" s="114"/>
      <c r="MBA14" s="114"/>
      <c r="MBB14" s="114"/>
      <c r="MBC14" s="114"/>
      <c r="MBD14" s="114"/>
      <c r="MBE14" s="114"/>
      <c r="MBF14" s="114"/>
      <c r="MBG14" s="114"/>
      <c r="MBH14" s="114"/>
      <c r="MBI14" s="114"/>
      <c r="MBJ14" s="114"/>
      <c r="MBK14" s="114"/>
      <c r="MBL14" s="114"/>
      <c r="MBM14" s="114"/>
      <c r="MBN14" s="114"/>
      <c r="MBO14" s="114"/>
      <c r="MBP14" s="114"/>
      <c r="MBQ14" s="114"/>
      <c r="MBR14" s="114"/>
      <c r="MBS14" s="114"/>
      <c r="MBT14" s="114"/>
      <c r="MBU14" s="114"/>
      <c r="MBV14" s="114"/>
      <c r="MBW14" s="114"/>
      <c r="MBX14" s="114"/>
      <c r="MBY14" s="114"/>
      <c r="MBZ14" s="114"/>
      <c r="MCA14" s="114"/>
      <c r="MCB14" s="114"/>
      <c r="MCC14" s="114"/>
      <c r="MCD14" s="114"/>
      <c r="MCE14" s="114"/>
      <c r="MCF14" s="114"/>
      <c r="MCG14" s="114"/>
      <c r="MCH14" s="114"/>
      <c r="MCI14" s="114"/>
      <c r="MCJ14" s="114"/>
      <c r="MCK14" s="114"/>
      <c r="MCL14" s="114"/>
      <c r="MCM14" s="114"/>
      <c r="MCN14" s="114"/>
      <c r="MCO14" s="114"/>
      <c r="MCP14" s="114"/>
      <c r="MCQ14" s="114"/>
      <c r="MCR14" s="114"/>
      <c r="MCS14" s="114"/>
      <c r="MCT14" s="114"/>
      <c r="MCU14" s="114"/>
      <c r="MCV14" s="114"/>
      <c r="MCW14" s="114"/>
      <c r="MCX14" s="114"/>
      <c r="MCY14" s="114"/>
      <c r="MCZ14" s="114"/>
      <c r="MDA14" s="114"/>
      <c r="MDB14" s="114"/>
      <c r="MDC14" s="114"/>
      <c r="MDD14" s="114"/>
      <c r="MDE14" s="114"/>
      <c r="MDF14" s="114"/>
      <c r="MDG14" s="114"/>
      <c r="MDH14" s="114"/>
      <c r="MDI14" s="114"/>
      <c r="MDJ14" s="114"/>
      <c r="MDK14" s="114"/>
      <c r="MDL14" s="114"/>
      <c r="MDM14" s="114"/>
      <c r="MDN14" s="114"/>
      <c r="MDO14" s="114"/>
      <c r="MDP14" s="114"/>
      <c r="MDQ14" s="114"/>
      <c r="MDR14" s="114"/>
      <c r="MDS14" s="114"/>
      <c r="MDT14" s="114"/>
      <c r="MDU14" s="114"/>
      <c r="MDV14" s="114"/>
      <c r="MDW14" s="114"/>
      <c r="MDX14" s="114"/>
      <c r="MDY14" s="114"/>
      <c r="MDZ14" s="114"/>
      <c r="MEA14" s="114"/>
      <c r="MEB14" s="114"/>
      <c r="MEC14" s="114"/>
      <c r="MED14" s="114"/>
      <c r="MEE14" s="114"/>
      <c r="MEF14" s="114"/>
      <c r="MEG14" s="114"/>
      <c r="MEH14" s="114"/>
      <c r="MEI14" s="114"/>
      <c r="MEJ14" s="114"/>
      <c r="MEK14" s="114"/>
      <c r="MEL14" s="114"/>
      <c r="MEM14" s="114"/>
      <c r="MEN14" s="114"/>
      <c r="MEO14" s="114"/>
      <c r="MEP14" s="114"/>
      <c r="MEQ14" s="114"/>
      <c r="MER14" s="114"/>
      <c r="MES14" s="114"/>
      <c r="MET14" s="114"/>
      <c r="MEU14" s="114"/>
      <c r="MEV14" s="114"/>
      <c r="MEW14" s="114"/>
      <c r="MEX14" s="114"/>
      <c r="MEY14" s="114"/>
      <c r="MEZ14" s="114"/>
      <c r="MFA14" s="114"/>
      <c r="MFB14" s="114"/>
      <c r="MFC14" s="114"/>
      <c r="MFD14" s="114"/>
      <c r="MFE14" s="114"/>
      <c r="MFF14" s="114"/>
      <c r="MFG14" s="114"/>
      <c r="MFH14" s="114"/>
      <c r="MFI14" s="114"/>
      <c r="MFJ14" s="114"/>
      <c r="MFK14" s="114"/>
      <c r="MFL14" s="114"/>
      <c r="MFM14" s="114"/>
      <c r="MFN14" s="114"/>
      <c r="MFO14" s="114"/>
      <c r="MFP14" s="114"/>
      <c r="MFQ14" s="114"/>
      <c r="MFR14" s="114"/>
      <c r="MFS14" s="114"/>
      <c r="MFT14" s="114"/>
      <c r="MFU14" s="114"/>
      <c r="MFV14" s="114"/>
      <c r="MFW14" s="114"/>
      <c r="MFX14" s="114"/>
      <c r="MFY14" s="114"/>
      <c r="MFZ14" s="114"/>
      <c r="MGA14" s="114"/>
      <c r="MGB14" s="114"/>
      <c r="MGC14" s="114"/>
      <c r="MGD14" s="114"/>
      <c r="MGE14" s="114"/>
      <c r="MGF14" s="114"/>
      <c r="MGG14" s="114"/>
      <c r="MGH14" s="114"/>
      <c r="MGI14" s="114"/>
      <c r="MGJ14" s="114"/>
      <c r="MGK14" s="114"/>
      <c r="MGL14" s="114"/>
      <c r="MGM14" s="114"/>
      <c r="MGN14" s="114"/>
      <c r="MGO14" s="114"/>
      <c r="MGP14" s="114"/>
      <c r="MGQ14" s="114"/>
      <c r="MGR14" s="114"/>
      <c r="MGS14" s="114"/>
      <c r="MGT14" s="114"/>
      <c r="MGU14" s="114"/>
      <c r="MGV14" s="114"/>
      <c r="MGW14" s="114"/>
      <c r="MGX14" s="114"/>
      <c r="MGY14" s="114"/>
      <c r="MGZ14" s="114"/>
      <c r="MHA14" s="114"/>
      <c r="MHB14" s="114"/>
      <c r="MHC14" s="114"/>
      <c r="MHD14" s="114"/>
      <c r="MHE14" s="114"/>
      <c r="MHF14" s="114"/>
      <c r="MHG14" s="114"/>
      <c r="MHH14" s="114"/>
      <c r="MHI14" s="114"/>
      <c r="MHJ14" s="114"/>
      <c r="MHK14" s="114"/>
      <c r="MHL14" s="114"/>
      <c r="MHM14" s="114"/>
      <c r="MHN14" s="114"/>
      <c r="MHO14" s="114"/>
      <c r="MHP14" s="114"/>
      <c r="MHQ14" s="114"/>
      <c r="MHR14" s="114"/>
      <c r="MHS14" s="114"/>
      <c r="MHT14" s="114"/>
      <c r="MHU14" s="114"/>
      <c r="MHV14" s="114"/>
      <c r="MHW14" s="114"/>
      <c r="MHX14" s="114"/>
      <c r="MHY14" s="114"/>
      <c r="MHZ14" s="114"/>
      <c r="MIA14" s="114"/>
      <c r="MIB14" s="114"/>
      <c r="MIC14" s="114"/>
      <c r="MID14" s="114"/>
      <c r="MIE14" s="114"/>
      <c r="MIF14" s="114"/>
      <c r="MIG14" s="114"/>
      <c r="MIH14" s="114"/>
      <c r="MII14" s="114"/>
      <c r="MIJ14" s="114"/>
      <c r="MIK14" s="114"/>
      <c r="MIL14" s="114"/>
      <c r="MIM14" s="114"/>
      <c r="MIN14" s="114"/>
      <c r="MIO14" s="114"/>
      <c r="MIP14" s="114"/>
      <c r="MIQ14" s="114"/>
      <c r="MIR14" s="114"/>
      <c r="MIS14" s="114"/>
      <c r="MIT14" s="114"/>
      <c r="MIU14" s="114"/>
      <c r="MIV14" s="114"/>
      <c r="MIW14" s="114"/>
      <c r="MIX14" s="114"/>
      <c r="MIY14" s="114"/>
      <c r="MIZ14" s="114"/>
      <c r="MJA14" s="114"/>
      <c r="MJB14" s="114"/>
      <c r="MJC14" s="114"/>
      <c r="MJD14" s="114"/>
      <c r="MJE14" s="114"/>
      <c r="MJF14" s="114"/>
      <c r="MJG14" s="114"/>
      <c r="MJH14" s="114"/>
      <c r="MJI14" s="114"/>
      <c r="MJJ14" s="114"/>
      <c r="MJK14" s="114"/>
      <c r="MJL14" s="114"/>
      <c r="MJM14" s="114"/>
      <c r="MJN14" s="114"/>
      <c r="MJO14" s="114"/>
      <c r="MJP14" s="114"/>
      <c r="MJQ14" s="114"/>
      <c r="MJR14" s="114"/>
      <c r="MJS14" s="114"/>
      <c r="MJT14" s="114"/>
      <c r="MJU14" s="114"/>
      <c r="MJV14" s="114"/>
      <c r="MJW14" s="114"/>
      <c r="MJX14" s="114"/>
      <c r="MJY14" s="114"/>
      <c r="MJZ14" s="114"/>
      <c r="MKA14" s="114"/>
      <c r="MKB14" s="114"/>
      <c r="MKC14" s="114"/>
      <c r="MKD14" s="114"/>
      <c r="MKE14" s="114"/>
      <c r="MKF14" s="114"/>
      <c r="MKG14" s="114"/>
      <c r="MKH14" s="114"/>
      <c r="MKI14" s="114"/>
      <c r="MKJ14" s="114"/>
      <c r="MKK14" s="114"/>
      <c r="MKL14" s="114"/>
      <c r="MKM14" s="114"/>
      <c r="MKN14" s="114"/>
      <c r="MKO14" s="114"/>
      <c r="MKP14" s="114"/>
      <c r="MKQ14" s="114"/>
      <c r="MKR14" s="114"/>
      <c r="MKS14" s="114"/>
      <c r="MKT14" s="114"/>
      <c r="MKU14" s="114"/>
      <c r="MKV14" s="114"/>
      <c r="MKW14" s="114"/>
      <c r="MKX14" s="114"/>
      <c r="MKY14" s="114"/>
      <c r="MKZ14" s="114"/>
      <c r="MLA14" s="114"/>
      <c r="MLB14" s="114"/>
      <c r="MLC14" s="114"/>
      <c r="MLD14" s="114"/>
      <c r="MLE14" s="114"/>
      <c r="MLF14" s="114"/>
      <c r="MLG14" s="114"/>
      <c r="MLH14" s="114"/>
      <c r="MLI14" s="114"/>
      <c r="MLJ14" s="114"/>
      <c r="MLK14" s="114"/>
      <c r="MLL14" s="114"/>
      <c r="MLM14" s="114"/>
      <c r="MLN14" s="114"/>
      <c r="MLO14" s="114"/>
      <c r="MLP14" s="114"/>
      <c r="MLQ14" s="114"/>
      <c r="MLR14" s="114"/>
      <c r="MLS14" s="114"/>
      <c r="MLT14" s="114"/>
      <c r="MLU14" s="114"/>
      <c r="MLV14" s="114"/>
      <c r="MLW14" s="114"/>
      <c r="MLX14" s="114"/>
      <c r="MLY14" s="114"/>
      <c r="MLZ14" s="114"/>
      <c r="MMA14" s="114"/>
      <c r="MMB14" s="114"/>
      <c r="MMC14" s="114"/>
      <c r="MMD14" s="114"/>
      <c r="MME14" s="114"/>
      <c r="MMF14" s="114"/>
      <c r="MMG14" s="114"/>
      <c r="MMH14" s="114"/>
      <c r="MMI14" s="114"/>
      <c r="MMJ14" s="114"/>
      <c r="MMK14" s="114"/>
      <c r="MML14" s="114"/>
      <c r="MMM14" s="114"/>
      <c r="MMN14" s="114"/>
      <c r="MMO14" s="114"/>
      <c r="MMP14" s="114"/>
      <c r="MMQ14" s="114"/>
      <c r="MMR14" s="114"/>
      <c r="MMS14" s="114"/>
      <c r="MMT14" s="114"/>
      <c r="MMU14" s="114"/>
      <c r="MMV14" s="114"/>
      <c r="MMW14" s="114"/>
      <c r="MMX14" s="114"/>
      <c r="MMY14" s="114"/>
      <c r="MMZ14" s="114"/>
      <c r="MNA14" s="114"/>
      <c r="MNB14" s="114"/>
      <c r="MNC14" s="114"/>
      <c r="MND14" s="114"/>
      <c r="MNE14" s="114"/>
      <c r="MNF14" s="114"/>
      <c r="MNG14" s="114"/>
      <c r="MNH14" s="114"/>
      <c r="MNI14" s="114"/>
      <c r="MNJ14" s="114"/>
      <c r="MNK14" s="114"/>
      <c r="MNL14" s="114"/>
      <c r="MNM14" s="114"/>
      <c r="MNN14" s="114"/>
      <c r="MNO14" s="114"/>
      <c r="MNP14" s="114"/>
      <c r="MNQ14" s="114"/>
      <c r="MNR14" s="114"/>
      <c r="MNS14" s="114"/>
      <c r="MNT14" s="114"/>
      <c r="MNU14" s="114"/>
      <c r="MNV14" s="114"/>
      <c r="MNW14" s="114"/>
      <c r="MNX14" s="114"/>
      <c r="MNY14" s="114"/>
      <c r="MNZ14" s="114"/>
      <c r="MOA14" s="114"/>
      <c r="MOB14" s="114"/>
      <c r="MOC14" s="114"/>
      <c r="MOD14" s="114"/>
      <c r="MOE14" s="114"/>
      <c r="MOF14" s="114"/>
      <c r="MOG14" s="114"/>
      <c r="MOH14" s="114"/>
      <c r="MOI14" s="114"/>
      <c r="MOJ14" s="114"/>
      <c r="MOK14" s="114"/>
      <c r="MOL14" s="114"/>
      <c r="MOM14" s="114"/>
      <c r="MON14" s="114"/>
      <c r="MOO14" s="114"/>
      <c r="MOP14" s="114"/>
      <c r="MOQ14" s="114"/>
      <c r="MOR14" s="114"/>
      <c r="MOS14" s="114"/>
      <c r="MOT14" s="114"/>
      <c r="MOU14" s="114"/>
      <c r="MOV14" s="114"/>
      <c r="MOW14" s="114"/>
      <c r="MOX14" s="114"/>
      <c r="MOY14" s="114"/>
      <c r="MOZ14" s="114"/>
      <c r="MPA14" s="114"/>
      <c r="MPB14" s="114"/>
      <c r="MPC14" s="114"/>
      <c r="MPD14" s="114"/>
      <c r="MPE14" s="114"/>
      <c r="MPF14" s="114"/>
      <c r="MPG14" s="114"/>
      <c r="MPH14" s="114"/>
      <c r="MPI14" s="114"/>
      <c r="MPJ14" s="114"/>
      <c r="MPK14" s="114"/>
      <c r="MPL14" s="114"/>
      <c r="MPM14" s="114"/>
      <c r="MPN14" s="114"/>
      <c r="MPO14" s="114"/>
      <c r="MPP14" s="114"/>
      <c r="MPQ14" s="114"/>
      <c r="MPR14" s="114"/>
      <c r="MPS14" s="114"/>
      <c r="MPT14" s="114"/>
      <c r="MPU14" s="114"/>
      <c r="MPV14" s="114"/>
      <c r="MPW14" s="114"/>
      <c r="MPX14" s="114"/>
      <c r="MPY14" s="114"/>
      <c r="MPZ14" s="114"/>
      <c r="MQA14" s="114"/>
      <c r="MQB14" s="114"/>
      <c r="MQC14" s="114"/>
      <c r="MQD14" s="114"/>
      <c r="MQE14" s="114"/>
      <c r="MQF14" s="114"/>
      <c r="MQG14" s="114"/>
      <c r="MQH14" s="114"/>
      <c r="MQI14" s="114"/>
      <c r="MQJ14" s="114"/>
      <c r="MQK14" s="114"/>
      <c r="MQL14" s="114"/>
      <c r="MQM14" s="114"/>
      <c r="MQN14" s="114"/>
      <c r="MQO14" s="114"/>
      <c r="MQP14" s="114"/>
      <c r="MQQ14" s="114"/>
      <c r="MQR14" s="114"/>
      <c r="MQS14" s="114"/>
      <c r="MQT14" s="114"/>
      <c r="MQU14" s="114"/>
      <c r="MQV14" s="114"/>
      <c r="MQW14" s="114"/>
      <c r="MQX14" s="114"/>
      <c r="MQY14" s="114"/>
      <c r="MQZ14" s="114"/>
      <c r="MRA14" s="114"/>
      <c r="MRB14" s="114"/>
      <c r="MRC14" s="114"/>
      <c r="MRD14" s="114"/>
      <c r="MRE14" s="114"/>
      <c r="MRF14" s="114"/>
      <c r="MRG14" s="114"/>
      <c r="MRH14" s="114"/>
      <c r="MRI14" s="114"/>
      <c r="MRJ14" s="114"/>
      <c r="MRK14" s="114"/>
      <c r="MRL14" s="114"/>
      <c r="MRM14" s="114"/>
      <c r="MRN14" s="114"/>
      <c r="MRO14" s="114"/>
      <c r="MRP14" s="114"/>
      <c r="MRQ14" s="114"/>
      <c r="MRR14" s="114"/>
      <c r="MRS14" s="114"/>
      <c r="MRT14" s="114"/>
      <c r="MRU14" s="114"/>
      <c r="MRV14" s="114"/>
      <c r="MRW14" s="114"/>
      <c r="MRX14" s="114"/>
      <c r="MRY14" s="114"/>
      <c r="MRZ14" s="114"/>
      <c r="MSA14" s="114"/>
      <c r="MSB14" s="114"/>
      <c r="MSC14" s="114"/>
      <c r="MSD14" s="114"/>
      <c r="MSE14" s="114"/>
      <c r="MSF14" s="114"/>
      <c r="MSG14" s="114"/>
      <c r="MSH14" s="114"/>
      <c r="MSI14" s="114"/>
      <c r="MSJ14" s="114"/>
      <c r="MSK14" s="114"/>
      <c r="MSL14" s="114"/>
      <c r="MSM14" s="114"/>
      <c r="MSN14" s="114"/>
      <c r="MSO14" s="114"/>
      <c r="MSP14" s="114"/>
      <c r="MSQ14" s="114"/>
      <c r="MSR14" s="114"/>
      <c r="MSS14" s="114"/>
      <c r="MST14" s="114"/>
      <c r="MSU14" s="114"/>
      <c r="MSV14" s="114"/>
      <c r="MSW14" s="114"/>
      <c r="MSX14" s="114"/>
      <c r="MSY14" s="114"/>
      <c r="MSZ14" s="114"/>
      <c r="MTA14" s="114"/>
      <c r="MTB14" s="114"/>
      <c r="MTC14" s="114"/>
      <c r="MTD14" s="114"/>
      <c r="MTE14" s="114"/>
      <c r="MTF14" s="114"/>
      <c r="MTG14" s="114"/>
      <c r="MTH14" s="114"/>
      <c r="MTI14" s="114"/>
      <c r="MTJ14" s="114"/>
      <c r="MTK14" s="114"/>
      <c r="MTL14" s="114"/>
      <c r="MTM14" s="114"/>
      <c r="MTN14" s="114"/>
      <c r="MTO14" s="114"/>
      <c r="MTP14" s="114"/>
      <c r="MTQ14" s="114"/>
      <c r="MTR14" s="114"/>
      <c r="MTS14" s="114"/>
      <c r="MTT14" s="114"/>
      <c r="MTU14" s="114"/>
      <c r="MTV14" s="114"/>
      <c r="MTW14" s="114"/>
      <c r="MTX14" s="114"/>
      <c r="MTY14" s="114"/>
      <c r="MTZ14" s="114"/>
      <c r="MUA14" s="114"/>
      <c r="MUB14" s="114"/>
      <c r="MUC14" s="114"/>
      <c r="MUD14" s="114"/>
      <c r="MUE14" s="114"/>
      <c r="MUF14" s="114"/>
      <c r="MUG14" s="114"/>
      <c r="MUH14" s="114"/>
      <c r="MUI14" s="114"/>
      <c r="MUJ14" s="114"/>
      <c r="MUK14" s="114"/>
      <c r="MUL14" s="114"/>
      <c r="MUM14" s="114"/>
      <c r="MUN14" s="114"/>
      <c r="MUO14" s="114"/>
      <c r="MUP14" s="114"/>
      <c r="MUQ14" s="114"/>
      <c r="MUR14" s="114"/>
      <c r="MUS14" s="114"/>
      <c r="MUT14" s="114"/>
      <c r="MUU14" s="114"/>
      <c r="MUV14" s="114"/>
      <c r="MUW14" s="114"/>
      <c r="MUX14" s="114"/>
      <c r="MUY14" s="114"/>
      <c r="MUZ14" s="114"/>
      <c r="MVA14" s="114"/>
      <c r="MVB14" s="114"/>
      <c r="MVC14" s="114"/>
      <c r="MVD14" s="114"/>
      <c r="MVE14" s="114"/>
      <c r="MVF14" s="114"/>
      <c r="MVG14" s="114"/>
      <c r="MVH14" s="114"/>
      <c r="MVI14" s="114"/>
      <c r="MVJ14" s="114"/>
      <c r="MVK14" s="114"/>
      <c r="MVL14" s="114"/>
      <c r="MVM14" s="114"/>
      <c r="MVN14" s="114"/>
      <c r="MVO14" s="114"/>
      <c r="MVP14" s="114"/>
      <c r="MVQ14" s="114"/>
      <c r="MVR14" s="114"/>
      <c r="MVS14" s="114"/>
      <c r="MVT14" s="114"/>
      <c r="MVU14" s="114"/>
      <c r="MVV14" s="114"/>
      <c r="MVW14" s="114"/>
      <c r="MVX14" s="114"/>
      <c r="MVY14" s="114"/>
      <c r="MVZ14" s="114"/>
      <c r="MWA14" s="114"/>
      <c r="MWB14" s="114"/>
      <c r="MWC14" s="114"/>
      <c r="MWD14" s="114"/>
      <c r="MWE14" s="114"/>
      <c r="MWF14" s="114"/>
      <c r="MWG14" s="114"/>
      <c r="MWH14" s="114"/>
      <c r="MWI14" s="114"/>
      <c r="MWJ14" s="114"/>
      <c r="MWK14" s="114"/>
      <c r="MWL14" s="114"/>
      <c r="MWM14" s="114"/>
      <c r="MWN14" s="114"/>
      <c r="MWO14" s="114"/>
      <c r="MWP14" s="114"/>
      <c r="MWQ14" s="114"/>
      <c r="MWR14" s="114"/>
      <c r="MWS14" s="114"/>
      <c r="MWT14" s="114"/>
      <c r="MWU14" s="114"/>
      <c r="MWV14" s="114"/>
      <c r="MWW14" s="114"/>
      <c r="MWX14" s="114"/>
      <c r="MWY14" s="114"/>
      <c r="MWZ14" s="114"/>
      <c r="MXA14" s="114"/>
      <c r="MXB14" s="114"/>
      <c r="MXC14" s="114"/>
      <c r="MXD14" s="114"/>
      <c r="MXE14" s="114"/>
      <c r="MXF14" s="114"/>
      <c r="MXG14" s="114"/>
      <c r="MXH14" s="114"/>
      <c r="MXI14" s="114"/>
      <c r="MXJ14" s="114"/>
      <c r="MXK14" s="114"/>
      <c r="MXL14" s="114"/>
      <c r="MXM14" s="114"/>
      <c r="MXN14" s="114"/>
      <c r="MXO14" s="114"/>
      <c r="MXP14" s="114"/>
      <c r="MXQ14" s="114"/>
      <c r="MXR14" s="114"/>
      <c r="MXS14" s="114"/>
      <c r="MXT14" s="114"/>
      <c r="MXU14" s="114"/>
      <c r="MXV14" s="114"/>
      <c r="MXW14" s="114"/>
      <c r="MXX14" s="114"/>
      <c r="MXY14" s="114"/>
      <c r="MXZ14" s="114"/>
      <c r="MYA14" s="114"/>
      <c r="MYB14" s="114"/>
      <c r="MYC14" s="114"/>
      <c r="MYD14" s="114"/>
      <c r="MYE14" s="114"/>
      <c r="MYF14" s="114"/>
      <c r="MYG14" s="114"/>
      <c r="MYH14" s="114"/>
      <c r="MYI14" s="114"/>
      <c r="MYJ14" s="114"/>
      <c r="MYK14" s="114"/>
      <c r="MYL14" s="114"/>
      <c r="MYM14" s="114"/>
      <c r="MYN14" s="114"/>
      <c r="MYO14" s="114"/>
      <c r="MYP14" s="114"/>
      <c r="MYQ14" s="114"/>
      <c r="MYR14" s="114"/>
      <c r="MYS14" s="114"/>
      <c r="MYT14" s="114"/>
      <c r="MYU14" s="114"/>
      <c r="MYV14" s="114"/>
      <c r="MYW14" s="114"/>
      <c r="MYX14" s="114"/>
      <c r="MYY14" s="114"/>
      <c r="MYZ14" s="114"/>
      <c r="MZA14" s="114"/>
      <c r="MZB14" s="114"/>
      <c r="MZC14" s="114"/>
      <c r="MZD14" s="114"/>
      <c r="MZE14" s="114"/>
      <c r="MZF14" s="114"/>
      <c r="MZG14" s="114"/>
      <c r="MZH14" s="114"/>
      <c r="MZI14" s="114"/>
      <c r="MZJ14" s="114"/>
      <c r="MZK14" s="114"/>
      <c r="MZL14" s="114"/>
      <c r="MZM14" s="114"/>
      <c r="MZN14" s="114"/>
      <c r="MZO14" s="114"/>
      <c r="MZP14" s="114"/>
      <c r="MZQ14" s="114"/>
      <c r="MZR14" s="114"/>
      <c r="MZS14" s="114"/>
      <c r="MZT14" s="114"/>
      <c r="MZU14" s="114"/>
      <c r="MZV14" s="114"/>
      <c r="MZW14" s="114"/>
      <c r="MZX14" s="114"/>
      <c r="MZY14" s="114"/>
      <c r="MZZ14" s="114"/>
      <c r="NAA14" s="114"/>
      <c r="NAB14" s="114"/>
      <c r="NAC14" s="114"/>
      <c r="NAD14" s="114"/>
      <c r="NAE14" s="114"/>
      <c r="NAF14" s="114"/>
      <c r="NAG14" s="114"/>
      <c r="NAH14" s="114"/>
      <c r="NAI14" s="114"/>
      <c r="NAJ14" s="114"/>
      <c r="NAK14" s="114"/>
      <c r="NAL14" s="114"/>
      <c r="NAM14" s="114"/>
      <c r="NAN14" s="114"/>
      <c r="NAO14" s="114"/>
      <c r="NAP14" s="114"/>
      <c r="NAQ14" s="114"/>
      <c r="NAR14" s="114"/>
      <c r="NAS14" s="114"/>
      <c r="NAT14" s="114"/>
      <c r="NAU14" s="114"/>
      <c r="NAV14" s="114"/>
      <c r="NAW14" s="114"/>
      <c r="NAX14" s="114"/>
      <c r="NAY14" s="114"/>
      <c r="NAZ14" s="114"/>
      <c r="NBA14" s="114"/>
      <c r="NBB14" s="114"/>
      <c r="NBC14" s="114"/>
      <c r="NBD14" s="114"/>
      <c r="NBE14" s="114"/>
      <c r="NBF14" s="114"/>
      <c r="NBG14" s="114"/>
      <c r="NBH14" s="114"/>
      <c r="NBI14" s="114"/>
      <c r="NBJ14" s="114"/>
      <c r="NBK14" s="114"/>
      <c r="NBL14" s="114"/>
      <c r="NBM14" s="114"/>
      <c r="NBN14" s="114"/>
      <c r="NBO14" s="114"/>
      <c r="NBP14" s="114"/>
      <c r="NBQ14" s="114"/>
      <c r="NBR14" s="114"/>
      <c r="NBS14" s="114"/>
      <c r="NBT14" s="114"/>
      <c r="NBU14" s="114"/>
      <c r="NBV14" s="114"/>
      <c r="NBW14" s="114"/>
      <c r="NBX14" s="114"/>
      <c r="NBY14" s="114"/>
      <c r="NBZ14" s="114"/>
      <c r="NCA14" s="114"/>
      <c r="NCB14" s="114"/>
      <c r="NCC14" s="114"/>
      <c r="NCD14" s="114"/>
      <c r="NCE14" s="114"/>
      <c r="NCF14" s="114"/>
      <c r="NCG14" s="114"/>
      <c r="NCH14" s="114"/>
      <c r="NCI14" s="114"/>
      <c r="NCJ14" s="114"/>
      <c r="NCK14" s="114"/>
      <c r="NCL14" s="114"/>
      <c r="NCM14" s="114"/>
      <c r="NCN14" s="114"/>
      <c r="NCO14" s="114"/>
      <c r="NCP14" s="114"/>
      <c r="NCQ14" s="114"/>
      <c r="NCR14" s="114"/>
      <c r="NCS14" s="114"/>
      <c r="NCT14" s="114"/>
      <c r="NCU14" s="114"/>
      <c r="NCV14" s="114"/>
      <c r="NCW14" s="114"/>
      <c r="NCX14" s="114"/>
      <c r="NCY14" s="114"/>
      <c r="NCZ14" s="114"/>
      <c r="NDA14" s="114"/>
      <c r="NDB14" s="114"/>
      <c r="NDC14" s="114"/>
      <c r="NDD14" s="114"/>
      <c r="NDE14" s="114"/>
      <c r="NDF14" s="114"/>
      <c r="NDG14" s="114"/>
      <c r="NDH14" s="114"/>
      <c r="NDI14" s="114"/>
      <c r="NDJ14" s="114"/>
      <c r="NDK14" s="114"/>
      <c r="NDL14" s="114"/>
      <c r="NDM14" s="114"/>
      <c r="NDN14" s="114"/>
      <c r="NDO14" s="114"/>
      <c r="NDP14" s="114"/>
      <c r="NDQ14" s="114"/>
      <c r="NDR14" s="114"/>
      <c r="NDS14" s="114"/>
      <c r="NDT14" s="114"/>
      <c r="NDU14" s="114"/>
      <c r="NDV14" s="114"/>
      <c r="NDW14" s="114"/>
      <c r="NDX14" s="114"/>
      <c r="NDY14" s="114"/>
      <c r="NDZ14" s="114"/>
      <c r="NEA14" s="114"/>
      <c r="NEB14" s="114"/>
      <c r="NEC14" s="114"/>
      <c r="NED14" s="114"/>
      <c r="NEE14" s="114"/>
      <c r="NEF14" s="114"/>
      <c r="NEG14" s="114"/>
      <c r="NEH14" s="114"/>
      <c r="NEI14" s="114"/>
      <c r="NEJ14" s="114"/>
      <c r="NEK14" s="114"/>
      <c r="NEL14" s="114"/>
      <c r="NEM14" s="114"/>
      <c r="NEN14" s="114"/>
      <c r="NEO14" s="114"/>
      <c r="NEP14" s="114"/>
      <c r="NEQ14" s="114"/>
      <c r="NER14" s="114"/>
      <c r="NES14" s="114"/>
      <c r="NET14" s="114"/>
      <c r="NEU14" s="114"/>
      <c r="NEV14" s="114"/>
      <c r="NEW14" s="114"/>
      <c r="NEX14" s="114"/>
      <c r="NEY14" s="114"/>
      <c r="NEZ14" s="114"/>
      <c r="NFA14" s="114"/>
      <c r="NFB14" s="114"/>
      <c r="NFC14" s="114"/>
      <c r="NFD14" s="114"/>
      <c r="NFE14" s="114"/>
      <c r="NFF14" s="114"/>
      <c r="NFG14" s="114"/>
      <c r="NFH14" s="114"/>
      <c r="NFI14" s="114"/>
      <c r="NFJ14" s="114"/>
      <c r="NFK14" s="114"/>
      <c r="NFL14" s="114"/>
      <c r="NFM14" s="114"/>
      <c r="NFN14" s="114"/>
      <c r="NFO14" s="114"/>
      <c r="NFP14" s="114"/>
      <c r="NFQ14" s="114"/>
      <c r="NFR14" s="114"/>
      <c r="NFS14" s="114"/>
      <c r="NFT14" s="114"/>
      <c r="NFU14" s="114"/>
      <c r="NFV14" s="114"/>
      <c r="NFW14" s="114"/>
      <c r="NFX14" s="114"/>
      <c r="NFY14" s="114"/>
      <c r="NFZ14" s="114"/>
      <c r="NGA14" s="114"/>
      <c r="NGB14" s="114"/>
      <c r="NGC14" s="114"/>
      <c r="NGD14" s="114"/>
      <c r="NGE14" s="114"/>
      <c r="NGF14" s="114"/>
      <c r="NGG14" s="114"/>
      <c r="NGH14" s="114"/>
      <c r="NGI14" s="114"/>
      <c r="NGJ14" s="114"/>
      <c r="NGK14" s="114"/>
      <c r="NGL14" s="114"/>
      <c r="NGM14" s="114"/>
      <c r="NGN14" s="114"/>
      <c r="NGO14" s="114"/>
      <c r="NGP14" s="114"/>
      <c r="NGQ14" s="114"/>
      <c r="NGR14" s="114"/>
      <c r="NGS14" s="114"/>
      <c r="NGT14" s="114"/>
      <c r="NGU14" s="114"/>
      <c r="NGV14" s="114"/>
      <c r="NGW14" s="114"/>
      <c r="NGX14" s="114"/>
      <c r="NGY14" s="114"/>
      <c r="NGZ14" s="114"/>
      <c r="NHA14" s="114"/>
      <c r="NHB14" s="114"/>
      <c r="NHC14" s="114"/>
      <c r="NHD14" s="114"/>
      <c r="NHE14" s="114"/>
      <c r="NHF14" s="114"/>
      <c r="NHG14" s="114"/>
      <c r="NHH14" s="114"/>
      <c r="NHI14" s="114"/>
      <c r="NHJ14" s="114"/>
      <c r="NHK14" s="114"/>
      <c r="NHL14" s="114"/>
      <c r="NHM14" s="114"/>
      <c r="NHN14" s="114"/>
      <c r="NHO14" s="114"/>
      <c r="NHP14" s="114"/>
      <c r="NHQ14" s="114"/>
      <c r="NHR14" s="114"/>
      <c r="NHS14" s="114"/>
      <c r="NHT14" s="114"/>
      <c r="NHU14" s="114"/>
      <c r="NHV14" s="114"/>
      <c r="NHW14" s="114"/>
      <c r="NHX14" s="114"/>
      <c r="NHY14" s="114"/>
      <c r="NHZ14" s="114"/>
      <c r="NIA14" s="114"/>
      <c r="NIB14" s="114"/>
      <c r="NIC14" s="114"/>
      <c r="NID14" s="114"/>
      <c r="NIE14" s="114"/>
      <c r="NIF14" s="114"/>
      <c r="NIG14" s="114"/>
      <c r="NIH14" s="114"/>
      <c r="NII14" s="114"/>
      <c r="NIJ14" s="114"/>
      <c r="NIK14" s="114"/>
      <c r="NIL14" s="114"/>
      <c r="NIM14" s="114"/>
      <c r="NIN14" s="114"/>
      <c r="NIO14" s="114"/>
      <c r="NIP14" s="114"/>
      <c r="NIQ14" s="114"/>
      <c r="NIR14" s="114"/>
      <c r="NIS14" s="114"/>
      <c r="NIT14" s="114"/>
      <c r="NIU14" s="114"/>
      <c r="NIV14" s="114"/>
      <c r="NIW14" s="114"/>
      <c r="NIX14" s="114"/>
      <c r="NIY14" s="114"/>
      <c r="NIZ14" s="114"/>
      <c r="NJA14" s="114"/>
      <c r="NJB14" s="114"/>
      <c r="NJC14" s="114"/>
      <c r="NJD14" s="114"/>
      <c r="NJE14" s="114"/>
      <c r="NJF14" s="114"/>
      <c r="NJG14" s="114"/>
      <c r="NJH14" s="114"/>
      <c r="NJI14" s="114"/>
      <c r="NJJ14" s="114"/>
      <c r="NJK14" s="114"/>
      <c r="NJL14" s="114"/>
      <c r="NJM14" s="114"/>
      <c r="NJN14" s="114"/>
      <c r="NJO14" s="114"/>
      <c r="NJP14" s="114"/>
      <c r="NJQ14" s="114"/>
      <c r="NJR14" s="114"/>
      <c r="NJS14" s="114"/>
      <c r="NJT14" s="114"/>
      <c r="NJU14" s="114"/>
      <c r="NJV14" s="114"/>
      <c r="NJW14" s="114"/>
      <c r="NJX14" s="114"/>
      <c r="NJY14" s="114"/>
      <c r="NJZ14" s="114"/>
      <c r="NKA14" s="114"/>
      <c r="NKB14" s="114"/>
      <c r="NKC14" s="114"/>
      <c r="NKD14" s="114"/>
      <c r="NKE14" s="114"/>
      <c r="NKF14" s="114"/>
      <c r="NKG14" s="114"/>
      <c r="NKH14" s="114"/>
      <c r="NKI14" s="114"/>
      <c r="NKJ14" s="114"/>
      <c r="NKK14" s="114"/>
      <c r="NKL14" s="114"/>
      <c r="NKM14" s="114"/>
      <c r="NKN14" s="114"/>
      <c r="NKO14" s="114"/>
      <c r="NKP14" s="114"/>
      <c r="NKQ14" s="114"/>
      <c r="NKR14" s="114"/>
      <c r="NKS14" s="114"/>
      <c r="NKT14" s="114"/>
      <c r="NKU14" s="114"/>
      <c r="NKV14" s="114"/>
      <c r="NKW14" s="114"/>
      <c r="NKX14" s="114"/>
      <c r="NKY14" s="114"/>
      <c r="NKZ14" s="114"/>
      <c r="NLA14" s="114"/>
      <c r="NLB14" s="114"/>
      <c r="NLC14" s="114"/>
      <c r="NLD14" s="114"/>
      <c r="NLE14" s="114"/>
      <c r="NLF14" s="114"/>
      <c r="NLG14" s="114"/>
      <c r="NLH14" s="114"/>
      <c r="NLI14" s="114"/>
      <c r="NLJ14" s="114"/>
      <c r="NLK14" s="114"/>
      <c r="NLL14" s="114"/>
      <c r="NLM14" s="114"/>
      <c r="NLN14" s="114"/>
      <c r="NLO14" s="114"/>
      <c r="NLP14" s="114"/>
      <c r="NLQ14" s="114"/>
      <c r="NLR14" s="114"/>
      <c r="NLS14" s="114"/>
      <c r="NLT14" s="114"/>
      <c r="NLU14" s="114"/>
      <c r="NLV14" s="114"/>
      <c r="NLW14" s="114"/>
      <c r="NLX14" s="114"/>
      <c r="NLY14" s="114"/>
      <c r="NLZ14" s="114"/>
      <c r="NMA14" s="114"/>
      <c r="NMB14" s="114"/>
      <c r="NMC14" s="114"/>
      <c r="NMD14" s="114"/>
      <c r="NME14" s="114"/>
      <c r="NMF14" s="114"/>
      <c r="NMG14" s="114"/>
      <c r="NMH14" s="114"/>
      <c r="NMI14" s="114"/>
      <c r="NMJ14" s="114"/>
      <c r="NMK14" s="114"/>
      <c r="NML14" s="114"/>
      <c r="NMM14" s="114"/>
      <c r="NMN14" s="114"/>
      <c r="NMO14" s="114"/>
      <c r="NMP14" s="114"/>
      <c r="NMQ14" s="114"/>
      <c r="NMR14" s="114"/>
      <c r="NMS14" s="114"/>
      <c r="NMT14" s="114"/>
      <c r="NMU14" s="114"/>
      <c r="NMV14" s="114"/>
      <c r="NMW14" s="114"/>
      <c r="NMX14" s="114"/>
      <c r="NMY14" s="114"/>
      <c r="NMZ14" s="114"/>
      <c r="NNA14" s="114"/>
      <c r="NNB14" s="114"/>
      <c r="NNC14" s="114"/>
      <c r="NND14" s="114"/>
      <c r="NNE14" s="114"/>
      <c r="NNF14" s="114"/>
      <c r="NNG14" s="114"/>
      <c r="NNH14" s="114"/>
      <c r="NNI14" s="114"/>
      <c r="NNJ14" s="114"/>
      <c r="NNK14" s="114"/>
      <c r="NNL14" s="114"/>
      <c r="NNM14" s="114"/>
      <c r="NNN14" s="114"/>
      <c r="NNO14" s="114"/>
      <c r="NNP14" s="114"/>
      <c r="NNQ14" s="114"/>
      <c r="NNR14" s="114"/>
      <c r="NNS14" s="114"/>
      <c r="NNT14" s="114"/>
      <c r="NNU14" s="114"/>
      <c r="NNV14" s="114"/>
      <c r="NNW14" s="114"/>
      <c r="NNX14" s="114"/>
      <c r="NNY14" s="114"/>
      <c r="NNZ14" s="114"/>
      <c r="NOA14" s="114"/>
      <c r="NOB14" s="114"/>
      <c r="NOC14" s="114"/>
      <c r="NOD14" s="114"/>
      <c r="NOE14" s="114"/>
      <c r="NOF14" s="114"/>
      <c r="NOG14" s="114"/>
      <c r="NOH14" s="114"/>
      <c r="NOI14" s="114"/>
      <c r="NOJ14" s="114"/>
      <c r="NOK14" s="114"/>
      <c r="NOL14" s="114"/>
      <c r="NOM14" s="114"/>
      <c r="NON14" s="114"/>
      <c r="NOO14" s="114"/>
      <c r="NOP14" s="114"/>
      <c r="NOQ14" s="114"/>
      <c r="NOR14" s="114"/>
      <c r="NOS14" s="114"/>
      <c r="NOT14" s="114"/>
      <c r="NOU14" s="114"/>
      <c r="NOV14" s="114"/>
      <c r="NOW14" s="114"/>
      <c r="NOX14" s="114"/>
      <c r="NOY14" s="114"/>
      <c r="NOZ14" s="114"/>
      <c r="NPA14" s="114"/>
      <c r="NPB14" s="114"/>
      <c r="NPC14" s="114"/>
      <c r="NPD14" s="114"/>
      <c r="NPE14" s="114"/>
      <c r="NPF14" s="114"/>
      <c r="NPG14" s="114"/>
      <c r="NPH14" s="114"/>
      <c r="NPI14" s="114"/>
      <c r="NPJ14" s="114"/>
      <c r="NPK14" s="114"/>
      <c r="NPL14" s="114"/>
      <c r="NPM14" s="114"/>
      <c r="NPN14" s="114"/>
      <c r="NPO14" s="114"/>
      <c r="NPP14" s="114"/>
      <c r="NPQ14" s="114"/>
      <c r="NPR14" s="114"/>
      <c r="NPS14" s="114"/>
      <c r="NPT14" s="114"/>
      <c r="NPU14" s="114"/>
      <c r="NPV14" s="114"/>
      <c r="NPW14" s="114"/>
      <c r="NPX14" s="114"/>
      <c r="NPY14" s="114"/>
      <c r="NPZ14" s="114"/>
      <c r="NQA14" s="114"/>
      <c r="NQB14" s="114"/>
      <c r="NQC14" s="114"/>
      <c r="NQD14" s="114"/>
      <c r="NQE14" s="114"/>
      <c r="NQF14" s="114"/>
      <c r="NQG14" s="114"/>
      <c r="NQH14" s="114"/>
      <c r="NQI14" s="114"/>
      <c r="NQJ14" s="114"/>
      <c r="NQK14" s="114"/>
      <c r="NQL14" s="114"/>
      <c r="NQM14" s="114"/>
      <c r="NQN14" s="114"/>
      <c r="NQO14" s="114"/>
      <c r="NQP14" s="114"/>
      <c r="NQQ14" s="114"/>
      <c r="NQR14" s="114"/>
      <c r="NQS14" s="114"/>
      <c r="NQT14" s="114"/>
      <c r="NQU14" s="114"/>
      <c r="NQV14" s="114"/>
      <c r="NQW14" s="114"/>
      <c r="NQX14" s="114"/>
      <c r="NQY14" s="114"/>
      <c r="NQZ14" s="114"/>
      <c r="NRA14" s="114"/>
      <c r="NRB14" s="114"/>
      <c r="NRC14" s="114"/>
      <c r="NRD14" s="114"/>
      <c r="NRE14" s="114"/>
      <c r="NRF14" s="114"/>
      <c r="NRG14" s="114"/>
      <c r="NRH14" s="114"/>
      <c r="NRI14" s="114"/>
      <c r="NRJ14" s="114"/>
      <c r="NRK14" s="114"/>
      <c r="NRL14" s="114"/>
      <c r="NRM14" s="114"/>
      <c r="NRN14" s="114"/>
      <c r="NRO14" s="114"/>
      <c r="NRP14" s="114"/>
      <c r="NRQ14" s="114"/>
      <c r="NRR14" s="114"/>
      <c r="NRS14" s="114"/>
      <c r="NRT14" s="114"/>
      <c r="NRU14" s="114"/>
      <c r="NRV14" s="114"/>
      <c r="NRW14" s="114"/>
      <c r="NRX14" s="114"/>
      <c r="NRY14" s="114"/>
      <c r="NRZ14" s="114"/>
      <c r="NSA14" s="114"/>
      <c r="NSB14" s="114"/>
      <c r="NSC14" s="114"/>
      <c r="NSD14" s="114"/>
      <c r="NSE14" s="114"/>
      <c r="NSF14" s="114"/>
      <c r="NSG14" s="114"/>
      <c r="NSH14" s="114"/>
      <c r="NSI14" s="114"/>
      <c r="NSJ14" s="114"/>
      <c r="NSK14" s="114"/>
      <c r="NSL14" s="114"/>
      <c r="NSM14" s="114"/>
      <c r="NSN14" s="114"/>
      <c r="NSO14" s="114"/>
      <c r="NSP14" s="114"/>
      <c r="NSQ14" s="114"/>
      <c r="NSR14" s="114"/>
      <c r="NSS14" s="114"/>
      <c r="NST14" s="114"/>
      <c r="NSU14" s="114"/>
      <c r="NSV14" s="114"/>
      <c r="NSW14" s="114"/>
      <c r="NSX14" s="114"/>
      <c r="NSY14" s="114"/>
      <c r="NSZ14" s="114"/>
      <c r="NTA14" s="114"/>
      <c r="NTB14" s="114"/>
      <c r="NTC14" s="114"/>
      <c r="NTD14" s="114"/>
      <c r="NTE14" s="114"/>
      <c r="NTF14" s="114"/>
      <c r="NTG14" s="114"/>
      <c r="NTH14" s="114"/>
      <c r="NTI14" s="114"/>
      <c r="NTJ14" s="114"/>
      <c r="NTK14" s="114"/>
      <c r="NTL14" s="114"/>
      <c r="NTM14" s="114"/>
      <c r="NTN14" s="114"/>
      <c r="NTO14" s="114"/>
      <c r="NTP14" s="114"/>
      <c r="NTQ14" s="114"/>
      <c r="NTR14" s="114"/>
      <c r="NTS14" s="114"/>
      <c r="NTT14" s="114"/>
      <c r="NTU14" s="114"/>
      <c r="NTV14" s="114"/>
      <c r="NTW14" s="114"/>
      <c r="NTX14" s="114"/>
      <c r="NTY14" s="114"/>
      <c r="NTZ14" s="114"/>
      <c r="NUA14" s="114"/>
      <c r="NUB14" s="114"/>
      <c r="NUC14" s="114"/>
      <c r="NUD14" s="114"/>
      <c r="NUE14" s="114"/>
      <c r="NUF14" s="114"/>
      <c r="NUG14" s="114"/>
      <c r="NUH14" s="114"/>
      <c r="NUI14" s="114"/>
      <c r="NUJ14" s="114"/>
      <c r="NUK14" s="114"/>
      <c r="NUL14" s="114"/>
      <c r="NUM14" s="114"/>
      <c r="NUN14" s="114"/>
      <c r="NUO14" s="114"/>
      <c r="NUP14" s="114"/>
      <c r="NUQ14" s="114"/>
      <c r="NUR14" s="114"/>
      <c r="NUS14" s="114"/>
      <c r="NUT14" s="114"/>
      <c r="NUU14" s="114"/>
      <c r="NUV14" s="114"/>
      <c r="NUW14" s="114"/>
      <c r="NUX14" s="114"/>
      <c r="NUY14" s="114"/>
      <c r="NUZ14" s="114"/>
      <c r="NVA14" s="114"/>
      <c r="NVB14" s="114"/>
      <c r="NVC14" s="114"/>
      <c r="NVD14" s="114"/>
      <c r="NVE14" s="114"/>
      <c r="NVF14" s="114"/>
      <c r="NVG14" s="114"/>
      <c r="NVH14" s="114"/>
      <c r="NVI14" s="114"/>
      <c r="NVJ14" s="114"/>
      <c r="NVK14" s="114"/>
      <c r="NVL14" s="114"/>
      <c r="NVM14" s="114"/>
      <c r="NVN14" s="114"/>
      <c r="NVO14" s="114"/>
      <c r="NVP14" s="114"/>
      <c r="NVQ14" s="114"/>
      <c r="NVR14" s="114"/>
      <c r="NVS14" s="114"/>
      <c r="NVT14" s="114"/>
      <c r="NVU14" s="114"/>
      <c r="NVV14" s="114"/>
      <c r="NVW14" s="114"/>
      <c r="NVX14" s="114"/>
      <c r="NVY14" s="114"/>
      <c r="NVZ14" s="114"/>
      <c r="NWA14" s="114"/>
      <c r="NWB14" s="114"/>
      <c r="NWC14" s="114"/>
      <c r="NWD14" s="114"/>
      <c r="NWE14" s="114"/>
      <c r="NWF14" s="114"/>
      <c r="NWG14" s="114"/>
      <c r="NWH14" s="114"/>
      <c r="NWI14" s="114"/>
      <c r="NWJ14" s="114"/>
      <c r="NWK14" s="114"/>
      <c r="NWL14" s="114"/>
      <c r="NWM14" s="114"/>
      <c r="NWN14" s="114"/>
      <c r="NWO14" s="114"/>
      <c r="NWP14" s="114"/>
      <c r="NWQ14" s="114"/>
      <c r="NWR14" s="114"/>
      <c r="NWS14" s="114"/>
      <c r="NWT14" s="114"/>
      <c r="NWU14" s="114"/>
      <c r="NWV14" s="114"/>
      <c r="NWW14" s="114"/>
      <c r="NWX14" s="114"/>
      <c r="NWY14" s="114"/>
      <c r="NWZ14" s="114"/>
      <c r="NXA14" s="114"/>
      <c r="NXB14" s="114"/>
      <c r="NXC14" s="114"/>
      <c r="NXD14" s="114"/>
      <c r="NXE14" s="114"/>
      <c r="NXF14" s="114"/>
      <c r="NXG14" s="114"/>
      <c r="NXH14" s="114"/>
      <c r="NXI14" s="114"/>
      <c r="NXJ14" s="114"/>
      <c r="NXK14" s="114"/>
      <c r="NXL14" s="114"/>
      <c r="NXM14" s="114"/>
      <c r="NXN14" s="114"/>
      <c r="NXO14" s="114"/>
      <c r="NXP14" s="114"/>
      <c r="NXQ14" s="114"/>
      <c r="NXR14" s="114"/>
      <c r="NXS14" s="114"/>
      <c r="NXT14" s="114"/>
      <c r="NXU14" s="114"/>
      <c r="NXV14" s="114"/>
      <c r="NXW14" s="114"/>
      <c r="NXX14" s="114"/>
      <c r="NXY14" s="114"/>
      <c r="NXZ14" s="114"/>
      <c r="NYA14" s="114"/>
      <c r="NYB14" s="114"/>
      <c r="NYC14" s="114"/>
      <c r="NYD14" s="114"/>
      <c r="NYE14" s="114"/>
      <c r="NYF14" s="114"/>
      <c r="NYG14" s="114"/>
      <c r="NYH14" s="114"/>
      <c r="NYI14" s="114"/>
      <c r="NYJ14" s="114"/>
      <c r="NYK14" s="114"/>
      <c r="NYL14" s="114"/>
      <c r="NYM14" s="114"/>
      <c r="NYN14" s="114"/>
      <c r="NYO14" s="114"/>
      <c r="NYP14" s="114"/>
      <c r="NYQ14" s="114"/>
      <c r="NYR14" s="114"/>
      <c r="NYS14" s="114"/>
      <c r="NYT14" s="114"/>
      <c r="NYU14" s="114"/>
      <c r="NYV14" s="114"/>
      <c r="NYW14" s="114"/>
      <c r="NYX14" s="114"/>
      <c r="NYY14" s="114"/>
      <c r="NYZ14" s="114"/>
      <c r="NZA14" s="114"/>
      <c r="NZB14" s="114"/>
      <c r="NZC14" s="114"/>
      <c r="NZD14" s="114"/>
      <c r="NZE14" s="114"/>
      <c r="NZF14" s="114"/>
      <c r="NZG14" s="114"/>
      <c r="NZH14" s="114"/>
      <c r="NZI14" s="114"/>
      <c r="NZJ14" s="114"/>
      <c r="NZK14" s="114"/>
      <c r="NZL14" s="114"/>
      <c r="NZM14" s="114"/>
      <c r="NZN14" s="114"/>
      <c r="NZO14" s="114"/>
      <c r="NZP14" s="114"/>
      <c r="NZQ14" s="114"/>
      <c r="NZR14" s="114"/>
      <c r="NZS14" s="114"/>
      <c r="NZT14" s="114"/>
      <c r="NZU14" s="114"/>
      <c r="NZV14" s="114"/>
      <c r="NZW14" s="114"/>
      <c r="NZX14" s="114"/>
      <c r="NZY14" s="114"/>
      <c r="NZZ14" s="114"/>
      <c r="OAA14" s="114"/>
      <c r="OAB14" s="114"/>
      <c r="OAC14" s="114"/>
      <c r="OAD14" s="114"/>
      <c r="OAE14" s="114"/>
      <c r="OAF14" s="114"/>
      <c r="OAG14" s="114"/>
      <c r="OAH14" s="114"/>
      <c r="OAI14" s="114"/>
      <c r="OAJ14" s="114"/>
      <c r="OAK14" s="114"/>
      <c r="OAL14" s="114"/>
      <c r="OAM14" s="114"/>
      <c r="OAN14" s="114"/>
      <c r="OAO14" s="114"/>
      <c r="OAP14" s="114"/>
      <c r="OAQ14" s="114"/>
      <c r="OAR14" s="114"/>
      <c r="OAS14" s="114"/>
      <c r="OAT14" s="114"/>
      <c r="OAU14" s="114"/>
      <c r="OAV14" s="114"/>
      <c r="OAW14" s="114"/>
      <c r="OAX14" s="114"/>
      <c r="OAY14" s="114"/>
      <c r="OAZ14" s="114"/>
      <c r="OBA14" s="114"/>
      <c r="OBB14" s="114"/>
      <c r="OBC14" s="114"/>
      <c r="OBD14" s="114"/>
      <c r="OBE14" s="114"/>
      <c r="OBF14" s="114"/>
      <c r="OBG14" s="114"/>
      <c r="OBH14" s="114"/>
      <c r="OBI14" s="114"/>
      <c r="OBJ14" s="114"/>
      <c r="OBK14" s="114"/>
      <c r="OBL14" s="114"/>
      <c r="OBM14" s="114"/>
      <c r="OBN14" s="114"/>
      <c r="OBO14" s="114"/>
      <c r="OBP14" s="114"/>
      <c r="OBQ14" s="114"/>
      <c r="OBR14" s="114"/>
      <c r="OBS14" s="114"/>
      <c r="OBT14" s="114"/>
      <c r="OBU14" s="114"/>
      <c r="OBV14" s="114"/>
      <c r="OBW14" s="114"/>
      <c r="OBX14" s="114"/>
      <c r="OBY14" s="114"/>
      <c r="OBZ14" s="114"/>
      <c r="OCA14" s="114"/>
      <c r="OCB14" s="114"/>
      <c r="OCC14" s="114"/>
      <c r="OCD14" s="114"/>
      <c r="OCE14" s="114"/>
      <c r="OCF14" s="114"/>
      <c r="OCG14" s="114"/>
      <c r="OCH14" s="114"/>
      <c r="OCI14" s="114"/>
      <c r="OCJ14" s="114"/>
      <c r="OCK14" s="114"/>
      <c r="OCL14" s="114"/>
      <c r="OCM14" s="114"/>
      <c r="OCN14" s="114"/>
      <c r="OCO14" s="114"/>
      <c r="OCP14" s="114"/>
      <c r="OCQ14" s="114"/>
      <c r="OCR14" s="114"/>
      <c r="OCS14" s="114"/>
      <c r="OCT14" s="114"/>
      <c r="OCU14" s="114"/>
      <c r="OCV14" s="114"/>
      <c r="OCW14" s="114"/>
      <c r="OCX14" s="114"/>
      <c r="OCY14" s="114"/>
      <c r="OCZ14" s="114"/>
      <c r="ODA14" s="114"/>
      <c r="ODB14" s="114"/>
      <c r="ODC14" s="114"/>
      <c r="ODD14" s="114"/>
      <c r="ODE14" s="114"/>
      <c r="ODF14" s="114"/>
      <c r="ODG14" s="114"/>
      <c r="ODH14" s="114"/>
      <c r="ODI14" s="114"/>
      <c r="ODJ14" s="114"/>
      <c r="ODK14" s="114"/>
      <c r="ODL14" s="114"/>
      <c r="ODM14" s="114"/>
      <c r="ODN14" s="114"/>
      <c r="ODO14" s="114"/>
      <c r="ODP14" s="114"/>
      <c r="ODQ14" s="114"/>
      <c r="ODR14" s="114"/>
      <c r="ODS14" s="114"/>
      <c r="ODT14" s="114"/>
      <c r="ODU14" s="114"/>
      <c r="ODV14" s="114"/>
      <c r="ODW14" s="114"/>
      <c r="ODX14" s="114"/>
      <c r="ODY14" s="114"/>
      <c r="ODZ14" s="114"/>
      <c r="OEA14" s="114"/>
      <c r="OEB14" s="114"/>
      <c r="OEC14" s="114"/>
      <c r="OED14" s="114"/>
      <c r="OEE14" s="114"/>
      <c r="OEF14" s="114"/>
      <c r="OEG14" s="114"/>
      <c r="OEH14" s="114"/>
      <c r="OEI14" s="114"/>
      <c r="OEJ14" s="114"/>
      <c r="OEK14" s="114"/>
      <c r="OEL14" s="114"/>
      <c r="OEM14" s="114"/>
      <c r="OEN14" s="114"/>
      <c r="OEO14" s="114"/>
      <c r="OEP14" s="114"/>
      <c r="OEQ14" s="114"/>
      <c r="OER14" s="114"/>
      <c r="OES14" s="114"/>
      <c r="OET14" s="114"/>
      <c r="OEU14" s="114"/>
      <c r="OEV14" s="114"/>
      <c r="OEW14" s="114"/>
      <c r="OEX14" s="114"/>
      <c r="OEY14" s="114"/>
      <c r="OEZ14" s="114"/>
      <c r="OFA14" s="114"/>
      <c r="OFB14" s="114"/>
      <c r="OFC14" s="114"/>
      <c r="OFD14" s="114"/>
      <c r="OFE14" s="114"/>
      <c r="OFF14" s="114"/>
      <c r="OFG14" s="114"/>
      <c r="OFH14" s="114"/>
      <c r="OFI14" s="114"/>
      <c r="OFJ14" s="114"/>
      <c r="OFK14" s="114"/>
      <c r="OFL14" s="114"/>
      <c r="OFM14" s="114"/>
      <c r="OFN14" s="114"/>
      <c r="OFO14" s="114"/>
      <c r="OFP14" s="114"/>
      <c r="OFQ14" s="114"/>
      <c r="OFR14" s="114"/>
      <c r="OFS14" s="114"/>
      <c r="OFT14" s="114"/>
      <c r="OFU14" s="114"/>
      <c r="OFV14" s="114"/>
      <c r="OFW14" s="114"/>
      <c r="OFX14" s="114"/>
      <c r="OFY14" s="114"/>
      <c r="OFZ14" s="114"/>
      <c r="OGA14" s="114"/>
      <c r="OGB14" s="114"/>
      <c r="OGC14" s="114"/>
      <c r="OGD14" s="114"/>
      <c r="OGE14" s="114"/>
      <c r="OGF14" s="114"/>
      <c r="OGG14" s="114"/>
      <c r="OGH14" s="114"/>
      <c r="OGI14" s="114"/>
      <c r="OGJ14" s="114"/>
      <c r="OGK14" s="114"/>
      <c r="OGL14" s="114"/>
      <c r="OGM14" s="114"/>
      <c r="OGN14" s="114"/>
      <c r="OGO14" s="114"/>
      <c r="OGP14" s="114"/>
      <c r="OGQ14" s="114"/>
      <c r="OGR14" s="114"/>
      <c r="OGS14" s="114"/>
      <c r="OGT14" s="114"/>
      <c r="OGU14" s="114"/>
      <c r="OGV14" s="114"/>
      <c r="OGW14" s="114"/>
      <c r="OGX14" s="114"/>
      <c r="OGY14" s="114"/>
      <c r="OGZ14" s="114"/>
      <c r="OHA14" s="114"/>
      <c r="OHB14" s="114"/>
      <c r="OHC14" s="114"/>
      <c r="OHD14" s="114"/>
      <c r="OHE14" s="114"/>
      <c r="OHF14" s="114"/>
      <c r="OHG14" s="114"/>
      <c r="OHH14" s="114"/>
      <c r="OHI14" s="114"/>
      <c r="OHJ14" s="114"/>
      <c r="OHK14" s="114"/>
      <c r="OHL14" s="114"/>
      <c r="OHM14" s="114"/>
      <c r="OHN14" s="114"/>
      <c r="OHO14" s="114"/>
      <c r="OHP14" s="114"/>
      <c r="OHQ14" s="114"/>
      <c r="OHR14" s="114"/>
      <c r="OHS14" s="114"/>
      <c r="OHT14" s="114"/>
      <c r="OHU14" s="114"/>
      <c r="OHV14" s="114"/>
      <c r="OHW14" s="114"/>
      <c r="OHX14" s="114"/>
      <c r="OHY14" s="114"/>
      <c r="OHZ14" s="114"/>
      <c r="OIA14" s="114"/>
      <c r="OIB14" s="114"/>
      <c r="OIC14" s="114"/>
      <c r="OID14" s="114"/>
      <c r="OIE14" s="114"/>
      <c r="OIF14" s="114"/>
      <c r="OIG14" s="114"/>
      <c r="OIH14" s="114"/>
      <c r="OII14" s="114"/>
      <c r="OIJ14" s="114"/>
      <c r="OIK14" s="114"/>
      <c r="OIL14" s="114"/>
      <c r="OIM14" s="114"/>
      <c r="OIN14" s="114"/>
      <c r="OIO14" s="114"/>
      <c r="OIP14" s="114"/>
      <c r="OIQ14" s="114"/>
      <c r="OIR14" s="114"/>
      <c r="OIS14" s="114"/>
      <c r="OIT14" s="114"/>
      <c r="OIU14" s="114"/>
      <c r="OIV14" s="114"/>
      <c r="OIW14" s="114"/>
      <c r="OIX14" s="114"/>
      <c r="OIY14" s="114"/>
      <c r="OIZ14" s="114"/>
      <c r="OJA14" s="114"/>
      <c r="OJB14" s="114"/>
      <c r="OJC14" s="114"/>
      <c r="OJD14" s="114"/>
      <c r="OJE14" s="114"/>
      <c r="OJF14" s="114"/>
      <c r="OJG14" s="114"/>
      <c r="OJH14" s="114"/>
      <c r="OJI14" s="114"/>
      <c r="OJJ14" s="114"/>
      <c r="OJK14" s="114"/>
      <c r="OJL14" s="114"/>
      <c r="OJM14" s="114"/>
      <c r="OJN14" s="114"/>
      <c r="OJO14" s="114"/>
      <c r="OJP14" s="114"/>
      <c r="OJQ14" s="114"/>
      <c r="OJR14" s="114"/>
      <c r="OJS14" s="114"/>
      <c r="OJT14" s="114"/>
      <c r="OJU14" s="114"/>
      <c r="OJV14" s="114"/>
      <c r="OJW14" s="114"/>
      <c r="OJX14" s="114"/>
      <c r="OJY14" s="114"/>
      <c r="OJZ14" s="114"/>
      <c r="OKA14" s="114"/>
      <c r="OKB14" s="114"/>
      <c r="OKC14" s="114"/>
      <c r="OKD14" s="114"/>
      <c r="OKE14" s="114"/>
      <c r="OKF14" s="114"/>
      <c r="OKG14" s="114"/>
      <c r="OKH14" s="114"/>
      <c r="OKI14" s="114"/>
      <c r="OKJ14" s="114"/>
      <c r="OKK14" s="114"/>
      <c r="OKL14" s="114"/>
      <c r="OKM14" s="114"/>
      <c r="OKN14" s="114"/>
      <c r="OKO14" s="114"/>
      <c r="OKP14" s="114"/>
      <c r="OKQ14" s="114"/>
      <c r="OKR14" s="114"/>
      <c r="OKS14" s="114"/>
      <c r="OKT14" s="114"/>
      <c r="OKU14" s="114"/>
      <c r="OKV14" s="114"/>
      <c r="OKW14" s="114"/>
      <c r="OKX14" s="114"/>
      <c r="OKY14" s="114"/>
      <c r="OKZ14" s="114"/>
      <c r="OLA14" s="114"/>
      <c r="OLB14" s="114"/>
      <c r="OLC14" s="114"/>
      <c r="OLD14" s="114"/>
      <c r="OLE14" s="114"/>
      <c r="OLF14" s="114"/>
      <c r="OLG14" s="114"/>
      <c r="OLH14" s="114"/>
      <c r="OLI14" s="114"/>
      <c r="OLJ14" s="114"/>
      <c r="OLK14" s="114"/>
      <c r="OLL14" s="114"/>
      <c r="OLM14" s="114"/>
      <c r="OLN14" s="114"/>
      <c r="OLO14" s="114"/>
      <c r="OLP14" s="114"/>
      <c r="OLQ14" s="114"/>
      <c r="OLR14" s="114"/>
      <c r="OLS14" s="114"/>
      <c r="OLT14" s="114"/>
      <c r="OLU14" s="114"/>
      <c r="OLV14" s="114"/>
      <c r="OLW14" s="114"/>
      <c r="OLX14" s="114"/>
      <c r="OLY14" s="114"/>
      <c r="OLZ14" s="114"/>
      <c r="OMA14" s="114"/>
      <c r="OMB14" s="114"/>
      <c r="OMC14" s="114"/>
      <c r="OMD14" s="114"/>
      <c r="OME14" s="114"/>
      <c r="OMF14" s="114"/>
      <c r="OMG14" s="114"/>
      <c r="OMH14" s="114"/>
      <c r="OMI14" s="114"/>
      <c r="OMJ14" s="114"/>
      <c r="OMK14" s="114"/>
      <c r="OML14" s="114"/>
      <c r="OMM14" s="114"/>
      <c r="OMN14" s="114"/>
      <c r="OMO14" s="114"/>
      <c r="OMP14" s="114"/>
      <c r="OMQ14" s="114"/>
      <c r="OMR14" s="114"/>
      <c r="OMS14" s="114"/>
      <c r="OMT14" s="114"/>
      <c r="OMU14" s="114"/>
      <c r="OMV14" s="114"/>
      <c r="OMW14" s="114"/>
      <c r="OMX14" s="114"/>
      <c r="OMY14" s="114"/>
      <c r="OMZ14" s="114"/>
      <c r="ONA14" s="114"/>
      <c r="ONB14" s="114"/>
      <c r="ONC14" s="114"/>
      <c r="OND14" s="114"/>
      <c r="ONE14" s="114"/>
      <c r="ONF14" s="114"/>
      <c r="ONG14" s="114"/>
      <c r="ONH14" s="114"/>
      <c r="ONI14" s="114"/>
      <c r="ONJ14" s="114"/>
      <c r="ONK14" s="114"/>
      <c r="ONL14" s="114"/>
      <c r="ONM14" s="114"/>
      <c r="ONN14" s="114"/>
      <c r="ONO14" s="114"/>
      <c r="ONP14" s="114"/>
      <c r="ONQ14" s="114"/>
      <c r="ONR14" s="114"/>
      <c r="ONS14" s="114"/>
      <c r="ONT14" s="114"/>
      <c r="ONU14" s="114"/>
      <c r="ONV14" s="114"/>
      <c r="ONW14" s="114"/>
      <c r="ONX14" s="114"/>
      <c r="ONY14" s="114"/>
      <c r="ONZ14" s="114"/>
      <c r="OOA14" s="114"/>
      <c r="OOB14" s="114"/>
      <c r="OOC14" s="114"/>
      <c r="OOD14" s="114"/>
      <c r="OOE14" s="114"/>
      <c r="OOF14" s="114"/>
      <c r="OOG14" s="114"/>
      <c r="OOH14" s="114"/>
      <c r="OOI14" s="114"/>
      <c r="OOJ14" s="114"/>
      <c r="OOK14" s="114"/>
      <c r="OOL14" s="114"/>
      <c r="OOM14" s="114"/>
      <c r="OON14" s="114"/>
      <c r="OOO14" s="114"/>
      <c r="OOP14" s="114"/>
      <c r="OOQ14" s="114"/>
      <c r="OOR14" s="114"/>
      <c r="OOS14" s="114"/>
      <c r="OOT14" s="114"/>
      <c r="OOU14" s="114"/>
      <c r="OOV14" s="114"/>
      <c r="OOW14" s="114"/>
      <c r="OOX14" s="114"/>
      <c r="OOY14" s="114"/>
      <c r="OOZ14" s="114"/>
      <c r="OPA14" s="114"/>
      <c r="OPB14" s="114"/>
      <c r="OPC14" s="114"/>
      <c r="OPD14" s="114"/>
      <c r="OPE14" s="114"/>
      <c r="OPF14" s="114"/>
      <c r="OPG14" s="114"/>
      <c r="OPH14" s="114"/>
      <c r="OPI14" s="114"/>
      <c r="OPJ14" s="114"/>
      <c r="OPK14" s="114"/>
      <c r="OPL14" s="114"/>
      <c r="OPM14" s="114"/>
      <c r="OPN14" s="114"/>
      <c r="OPO14" s="114"/>
      <c r="OPP14" s="114"/>
      <c r="OPQ14" s="114"/>
      <c r="OPR14" s="114"/>
      <c r="OPS14" s="114"/>
      <c r="OPT14" s="114"/>
      <c r="OPU14" s="114"/>
      <c r="OPV14" s="114"/>
      <c r="OPW14" s="114"/>
      <c r="OPX14" s="114"/>
      <c r="OPY14" s="114"/>
      <c r="OPZ14" s="114"/>
      <c r="OQA14" s="114"/>
      <c r="OQB14" s="114"/>
      <c r="OQC14" s="114"/>
      <c r="OQD14" s="114"/>
      <c r="OQE14" s="114"/>
      <c r="OQF14" s="114"/>
      <c r="OQG14" s="114"/>
      <c r="OQH14" s="114"/>
      <c r="OQI14" s="114"/>
      <c r="OQJ14" s="114"/>
      <c r="OQK14" s="114"/>
      <c r="OQL14" s="114"/>
      <c r="OQM14" s="114"/>
      <c r="OQN14" s="114"/>
      <c r="OQO14" s="114"/>
      <c r="OQP14" s="114"/>
      <c r="OQQ14" s="114"/>
      <c r="OQR14" s="114"/>
      <c r="OQS14" s="114"/>
      <c r="OQT14" s="114"/>
      <c r="OQU14" s="114"/>
      <c r="OQV14" s="114"/>
      <c r="OQW14" s="114"/>
      <c r="OQX14" s="114"/>
      <c r="OQY14" s="114"/>
      <c r="OQZ14" s="114"/>
      <c r="ORA14" s="114"/>
      <c r="ORB14" s="114"/>
      <c r="ORC14" s="114"/>
      <c r="ORD14" s="114"/>
      <c r="ORE14" s="114"/>
      <c r="ORF14" s="114"/>
      <c r="ORG14" s="114"/>
      <c r="ORH14" s="114"/>
      <c r="ORI14" s="114"/>
      <c r="ORJ14" s="114"/>
      <c r="ORK14" s="114"/>
      <c r="ORL14" s="114"/>
      <c r="ORM14" s="114"/>
      <c r="ORN14" s="114"/>
      <c r="ORO14" s="114"/>
      <c r="ORP14" s="114"/>
      <c r="ORQ14" s="114"/>
      <c r="ORR14" s="114"/>
      <c r="ORS14" s="114"/>
      <c r="ORT14" s="114"/>
      <c r="ORU14" s="114"/>
      <c r="ORV14" s="114"/>
      <c r="ORW14" s="114"/>
      <c r="ORX14" s="114"/>
      <c r="ORY14" s="114"/>
      <c r="ORZ14" s="114"/>
      <c r="OSA14" s="114"/>
      <c r="OSB14" s="114"/>
      <c r="OSC14" s="114"/>
      <c r="OSD14" s="114"/>
      <c r="OSE14" s="114"/>
      <c r="OSF14" s="114"/>
      <c r="OSG14" s="114"/>
      <c r="OSH14" s="114"/>
      <c r="OSI14" s="114"/>
      <c r="OSJ14" s="114"/>
      <c r="OSK14" s="114"/>
      <c r="OSL14" s="114"/>
      <c r="OSM14" s="114"/>
      <c r="OSN14" s="114"/>
      <c r="OSO14" s="114"/>
      <c r="OSP14" s="114"/>
      <c r="OSQ14" s="114"/>
      <c r="OSR14" s="114"/>
      <c r="OSS14" s="114"/>
      <c r="OST14" s="114"/>
      <c r="OSU14" s="114"/>
      <c r="OSV14" s="114"/>
      <c r="OSW14" s="114"/>
      <c r="OSX14" s="114"/>
      <c r="OSY14" s="114"/>
      <c r="OSZ14" s="114"/>
      <c r="OTA14" s="114"/>
      <c r="OTB14" s="114"/>
      <c r="OTC14" s="114"/>
      <c r="OTD14" s="114"/>
      <c r="OTE14" s="114"/>
      <c r="OTF14" s="114"/>
      <c r="OTG14" s="114"/>
      <c r="OTH14" s="114"/>
      <c r="OTI14" s="114"/>
      <c r="OTJ14" s="114"/>
      <c r="OTK14" s="114"/>
      <c r="OTL14" s="114"/>
      <c r="OTM14" s="114"/>
      <c r="OTN14" s="114"/>
      <c r="OTO14" s="114"/>
      <c r="OTP14" s="114"/>
      <c r="OTQ14" s="114"/>
      <c r="OTR14" s="114"/>
      <c r="OTS14" s="114"/>
      <c r="OTT14" s="114"/>
      <c r="OTU14" s="114"/>
      <c r="OTV14" s="114"/>
      <c r="OTW14" s="114"/>
      <c r="OTX14" s="114"/>
      <c r="OTY14" s="114"/>
      <c r="OTZ14" s="114"/>
      <c r="OUA14" s="114"/>
      <c r="OUB14" s="114"/>
      <c r="OUC14" s="114"/>
      <c r="OUD14" s="114"/>
      <c r="OUE14" s="114"/>
      <c r="OUF14" s="114"/>
      <c r="OUG14" s="114"/>
      <c r="OUH14" s="114"/>
      <c r="OUI14" s="114"/>
      <c r="OUJ14" s="114"/>
      <c r="OUK14" s="114"/>
      <c r="OUL14" s="114"/>
      <c r="OUM14" s="114"/>
      <c r="OUN14" s="114"/>
      <c r="OUO14" s="114"/>
      <c r="OUP14" s="114"/>
      <c r="OUQ14" s="114"/>
      <c r="OUR14" s="114"/>
      <c r="OUS14" s="114"/>
      <c r="OUT14" s="114"/>
      <c r="OUU14" s="114"/>
      <c r="OUV14" s="114"/>
      <c r="OUW14" s="114"/>
      <c r="OUX14" s="114"/>
      <c r="OUY14" s="114"/>
      <c r="OUZ14" s="114"/>
      <c r="OVA14" s="114"/>
      <c r="OVB14" s="114"/>
      <c r="OVC14" s="114"/>
      <c r="OVD14" s="114"/>
      <c r="OVE14" s="114"/>
      <c r="OVF14" s="114"/>
      <c r="OVG14" s="114"/>
      <c r="OVH14" s="114"/>
      <c r="OVI14" s="114"/>
      <c r="OVJ14" s="114"/>
      <c r="OVK14" s="114"/>
      <c r="OVL14" s="114"/>
      <c r="OVM14" s="114"/>
      <c r="OVN14" s="114"/>
      <c r="OVO14" s="114"/>
      <c r="OVP14" s="114"/>
      <c r="OVQ14" s="114"/>
      <c r="OVR14" s="114"/>
      <c r="OVS14" s="114"/>
      <c r="OVT14" s="114"/>
      <c r="OVU14" s="114"/>
      <c r="OVV14" s="114"/>
      <c r="OVW14" s="114"/>
      <c r="OVX14" s="114"/>
      <c r="OVY14" s="114"/>
      <c r="OVZ14" s="114"/>
      <c r="OWA14" s="114"/>
      <c r="OWB14" s="114"/>
      <c r="OWC14" s="114"/>
      <c r="OWD14" s="114"/>
      <c r="OWE14" s="114"/>
      <c r="OWF14" s="114"/>
      <c r="OWG14" s="114"/>
      <c r="OWH14" s="114"/>
      <c r="OWI14" s="114"/>
      <c r="OWJ14" s="114"/>
      <c r="OWK14" s="114"/>
      <c r="OWL14" s="114"/>
      <c r="OWM14" s="114"/>
      <c r="OWN14" s="114"/>
      <c r="OWO14" s="114"/>
      <c r="OWP14" s="114"/>
      <c r="OWQ14" s="114"/>
      <c r="OWR14" s="114"/>
      <c r="OWS14" s="114"/>
      <c r="OWT14" s="114"/>
      <c r="OWU14" s="114"/>
      <c r="OWV14" s="114"/>
      <c r="OWW14" s="114"/>
      <c r="OWX14" s="114"/>
      <c r="OWY14" s="114"/>
      <c r="OWZ14" s="114"/>
      <c r="OXA14" s="114"/>
      <c r="OXB14" s="114"/>
      <c r="OXC14" s="114"/>
      <c r="OXD14" s="114"/>
      <c r="OXE14" s="114"/>
      <c r="OXF14" s="114"/>
      <c r="OXG14" s="114"/>
      <c r="OXH14" s="114"/>
      <c r="OXI14" s="114"/>
      <c r="OXJ14" s="114"/>
      <c r="OXK14" s="114"/>
      <c r="OXL14" s="114"/>
      <c r="OXM14" s="114"/>
      <c r="OXN14" s="114"/>
      <c r="OXO14" s="114"/>
      <c r="OXP14" s="114"/>
      <c r="OXQ14" s="114"/>
      <c r="OXR14" s="114"/>
      <c r="OXS14" s="114"/>
      <c r="OXT14" s="114"/>
      <c r="OXU14" s="114"/>
      <c r="OXV14" s="114"/>
      <c r="OXW14" s="114"/>
      <c r="OXX14" s="114"/>
      <c r="OXY14" s="114"/>
      <c r="OXZ14" s="114"/>
      <c r="OYA14" s="114"/>
      <c r="OYB14" s="114"/>
      <c r="OYC14" s="114"/>
      <c r="OYD14" s="114"/>
      <c r="OYE14" s="114"/>
      <c r="OYF14" s="114"/>
      <c r="OYG14" s="114"/>
      <c r="OYH14" s="114"/>
      <c r="OYI14" s="114"/>
      <c r="OYJ14" s="114"/>
      <c r="OYK14" s="114"/>
      <c r="OYL14" s="114"/>
      <c r="OYM14" s="114"/>
      <c r="OYN14" s="114"/>
      <c r="OYO14" s="114"/>
      <c r="OYP14" s="114"/>
      <c r="OYQ14" s="114"/>
      <c r="OYR14" s="114"/>
      <c r="OYS14" s="114"/>
      <c r="OYT14" s="114"/>
      <c r="OYU14" s="114"/>
      <c r="OYV14" s="114"/>
      <c r="OYW14" s="114"/>
      <c r="OYX14" s="114"/>
      <c r="OYY14" s="114"/>
      <c r="OYZ14" s="114"/>
      <c r="OZA14" s="114"/>
      <c r="OZB14" s="114"/>
      <c r="OZC14" s="114"/>
      <c r="OZD14" s="114"/>
      <c r="OZE14" s="114"/>
      <c r="OZF14" s="114"/>
      <c r="OZG14" s="114"/>
      <c r="OZH14" s="114"/>
      <c r="OZI14" s="114"/>
      <c r="OZJ14" s="114"/>
      <c r="OZK14" s="114"/>
      <c r="OZL14" s="114"/>
      <c r="OZM14" s="114"/>
      <c r="OZN14" s="114"/>
      <c r="OZO14" s="114"/>
      <c r="OZP14" s="114"/>
      <c r="OZQ14" s="114"/>
      <c r="OZR14" s="114"/>
      <c r="OZS14" s="114"/>
      <c r="OZT14" s="114"/>
      <c r="OZU14" s="114"/>
      <c r="OZV14" s="114"/>
      <c r="OZW14" s="114"/>
      <c r="OZX14" s="114"/>
      <c r="OZY14" s="114"/>
      <c r="OZZ14" s="114"/>
      <c r="PAA14" s="114"/>
      <c r="PAB14" s="114"/>
      <c r="PAC14" s="114"/>
      <c r="PAD14" s="114"/>
      <c r="PAE14" s="114"/>
      <c r="PAF14" s="114"/>
      <c r="PAG14" s="114"/>
      <c r="PAH14" s="114"/>
      <c r="PAI14" s="114"/>
      <c r="PAJ14" s="114"/>
      <c r="PAK14" s="114"/>
      <c r="PAL14" s="114"/>
      <c r="PAM14" s="114"/>
      <c r="PAN14" s="114"/>
      <c r="PAO14" s="114"/>
      <c r="PAP14" s="114"/>
      <c r="PAQ14" s="114"/>
      <c r="PAR14" s="114"/>
      <c r="PAS14" s="114"/>
      <c r="PAT14" s="114"/>
      <c r="PAU14" s="114"/>
      <c r="PAV14" s="114"/>
      <c r="PAW14" s="114"/>
      <c r="PAX14" s="114"/>
      <c r="PAY14" s="114"/>
      <c r="PAZ14" s="114"/>
      <c r="PBA14" s="114"/>
      <c r="PBB14" s="114"/>
      <c r="PBC14" s="114"/>
      <c r="PBD14" s="114"/>
      <c r="PBE14" s="114"/>
      <c r="PBF14" s="114"/>
      <c r="PBG14" s="114"/>
      <c r="PBH14" s="114"/>
      <c r="PBI14" s="114"/>
      <c r="PBJ14" s="114"/>
      <c r="PBK14" s="114"/>
      <c r="PBL14" s="114"/>
      <c r="PBM14" s="114"/>
      <c r="PBN14" s="114"/>
      <c r="PBO14" s="114"/>
      <c r="PBP14" s="114"/>
      <c r="PBQ14" s="114"/>
      <c r="PBR14" s="114"/>
      <c r="PBS14" s="114"/>
      <c r="PBT14" s="114"/>
      <c r="PBU14" s="114"/>
      <c r="PBV14" s="114"/>
      <c r="PBW14" s="114"/>
      <c r="PBX14" s="114"/>
      <c r="PBY14" s="114"/>
      <c r="PBZ14" s="114"/>
      <c r="PCA14" s="114"/>
      <c r="PCB14" s="114"/>
      <c r="PCC14" s="114"/>
      <c r="PCD14" s="114"/>
      <c r="PCE14" s="114"/>
      <c r="PCF14" s="114"/>
      <c r="PCG14" s="114"/>
      <c r="PCH14" s="114"/>
      <c r="PCI14" s="114"/>
      <c r="PCJ14" s="114"/>
      <c r="PCK14" s="114"/>
      <c r="PCL14" s="114"/>
      <c r="PCM14" s="114"/>
      <c r="PCN14" s="114"/>
      <c r="PCO14" s="114"/>
      <c r="PCP14" s="114"/>
      <c r="PCQ14" s="114"/>
      <c r="PCR14" s="114"/>
      <c r="PCS14" s="114"/>
      <c r="PCT14" s="114"/>
      <c r="PCU14" s="114"/>
      <c r="PCV14" s="114"/>
      <c r="PCW14" s="114"/>
      <c r="PCX14" s="114"/>
      <c r="PCY14" s="114"/>
      <c r="PCZ14" s="114"/>
      <c r="PDA14" s="114"/>
      <c r="PDB14" s="114"/>
      <c r="PDC14" s="114"/>
      <c r="PDD14" s="114"/>
      <c r="PDE14" s="114"/>
      <c r="PDF14" s="114"/>
      <c r="PDG14" s="114"/>
      <c r="PDH14" s="114"/>
      <c r="PDI14" s="114"/>
      <c r="PDJ14" s="114"/>
      <c r="PDK14" s="114"/>
      <c r="PDL14" s="114"/>
      <c r="PDM14" s="114"/>
      <c r="PDN14" s="114"/>
      <c r="PDO14" s="114"/>
      <c r="PDP14" s="114"/>
      <c r="PDQ14" s="114"/>
      <c r="PDR14" s="114"/>
      <c r="PDS14" s="114"/>
      <c r="PDT14" s="114"/>
      <c r="PDU14" s="114"/>
      <c r="PDV14" s="114"/>
      <c r="PDW14" s="114"/>
      <c r="PDX14" s="114"/>
      <c r="PDY14" s="114"/>
      <c r="PDZ14" s="114"/>
      <c r="PEA14" s="114"/>
      <c r="PEB14" s="114"/>
      <c r="PEC14" s="114"/>
      <c r="PED14" s="114"/>
      <c r="PEE14" s="114"/>
      <c r="PEF14" s="114"/>
      <c r="PEG14" s="114"/>
      <c r="PEH14" s="114"/>
      <c r="PEI14" s="114"/>
      <c r="PEJ14" s="114"/>
      <c r="PEK14" s="114"/>
      <c r="PEL14" s="114"/>
      <c r="PEM14" s="114"/>
      <c r="PEN14" s="114"/>
      <c r="PEO14" s="114"/>
      <c r="PEP14" s="114"/>
      <c r="PEQ14" s="114"/>
      <c r="PER14" s="114"/>
      <c r="PES14" s="114"/>
      <c r="PET14" s="114"/>
      <c r="PEU14" s="114"/>
      <c r="PEV14" s="114"/>
      <c r="PEW14" s="114"/>
      <c r="PEX14" s="114"/>
      <c r="PEY14" s="114"/>
      <c r="PEZ14" s="114"/>
      <c r="PFA14" s="114"/>
      <c r="PFB14" s="114"/>
      <c r="PFC14" s="114"/>
      <c r="PFD14" s="114"/>
      <c r="PFE14" s="114"/>
      <c r="PFF14" s="114"/>
      <c r="PFG14" s="114"/>
      <c r="PFH14" s="114"/>
      <c r="PFI14" s="114"/>
      <c r="PFJ14" s="114"/>
      <c r="PFK14" s="114"/>
      <c r="PFL14" s="114"/>
      <c r="PFM14" s="114"/>
      <c r="PFN14" s="114"/>
      <c r="PFO14" s="114"/>
      <c r="PFP14" s="114"/>
      <c r="PFQ14" s="114"/>
      <c r="PFR14" s="114"/>
      <c r="PFS14" s="114"/>
      <c r="PFT14" s="114"/>
      <c r="PFU14" s="114"/>
      <c r="PFV14" s="114"/>
      <c r="PFW14" s="114"/>
      <c r="PFX14" s="114"/>
      <c r="PFY14" s="114"/>
      <c r="PFZ14" s="114"/>
      <c r="PGA14" s="114"/>
      <c r="PGB14" s="114"/>
      <c r="PGC14" s="114"/>
      <c r="PGD14" s="114"/>
      <c r="PGE14" s="114"/>
      <c r="PGF14" s="114"/>
      <c r="PGG14" s="114"/>
      <c r="PGH14" s="114"/>
      <c r="PGI14" s="114"/>
      <c r="PGJ14" s="114"/>
      <c r="PGK14" s="114"/>
      <c r="PGL14" s="114"/>
      <c r="PGM14" s="114"/>
      <c r="PGN14" s="114"/>
      <c r="PGO14" s="114"/>
      <c r="PGP14" s="114"/>
      <c r="PGQ14" s="114"/>
      <c r="PGR14" s="114"/>
      <c r="PGS14" s="114"/>
      <c r="PGT14" s="114"/>
      <c r="PGU14" s="114"/>
      <c r="PGV14" s="114"/>
      <c r="PGW14" s="114"/>
      <c r="PGX14" s="114"/>
      <c r="PGY14" s="114"/>
      <c r="PGZ14" s="114"/>
      <c r="PHA14" s="114"/>
      <c r="PHB14" s="114"/>
      <c r="PHC14" s="114"/>
      <c r="PHD14" s="114"/>
      <c r="PHE14" s="114"/>
      <c r="PHF14" s="114"/>
      <c r="PHG14" s="114"/>
      <c r="PHH14" s="114"/>
      <c r="PHI14" s="114"/>
      <c r="PHJ14" s="114"/>
      <c r="PHK14" s="114"/>
      <c r="PHL14" s="114"/>
      <c r="PHM14" s="114"/>
      <c r="PHN14" s="114"/>
      <c r="PHO14" s="114"/>
      <c r="PHP14" s="114"/>
      <c r="PHQ14" s="114"/>
      <c r="PHR14" s="114"/>
      <c r="PHS14" s="114"/>
      <c r="PHT14" s="114"/>
      <c r="PHU14" s="114"/>
      <c r="PHV14" s="114"/>
      <c r="PHW14" s="114"/>
      <c r="PHX14" s="114"/>
      <c r="PHY14" s="114"/>
      <c r="PHZ14" s="114"/>
      <c r="PIA14" s="114"/>
      <c r="PIB14" s="114"/>
      <c r="PIC14" s="114"/>
      <c r="PID14" s="114"/>
      <c r="PIE14" s="114"/>
      <c r="PIF14" s="114"/>
      <c r="PIG14" s="114"/>
      <c r="PIH14" s="114"/>
      <c r="PII14" s="114"/>
      <c r="PIJ14" s="114"/>
      <c r="PIK14" s="114"/>
      <c r="PIL14" s="114"/>
      <c r="PIM14" s="114"/>
      <c r="PIN14" s="114"/>
      <c r="PIO14" s="114"/>
      <c r="PIP14" s="114"/>
      <c r="PIQ14" s="114"/>
      <c r="PIR14" s="114"/>
      <c r="PIS14" s="114"/>
      <c r="PIT14" s="114"/>
      <c r="PIU14" s="114"/>
      <c r="PIV14" s="114"/>
      <c r="PIW14" s="114"/>
      <c r="PIX14" s="114"/>
      <c r="PIY14" s="114"/>
      <c r="PIZ14" s="114"/>
      <c r="PJA14" s="114"/>
      <c r="PJB14" s="114"/>
      <c r="PJC14" s="114"/>
      <c r="PJD14" s="114"/>
      <c r="PJE14" s="114"/>
      <c r="PJF14" s="114"/>
      <c r="PJG14" s="114"/>
      <c r="PJH14" s="114"/>
      <c r="PJI14" s="114"/>
      <c r="PJJ14" s="114"/>
      <c r="PJK14" s="114"/>
      <c r="PJL14" s="114"/>
      <c r="PJM14" s="114"/>
      <c r="PJN14" s="114"/>
      <c r="PJO14" s="114"/>
      <c r="PJP14" s="114"/>
      <c r="PJQ14" s="114"/>
      <c r="PJR14" s="114"/>
      <c r="PJS14" s="114"/>
      <c r="PJT14" s="114"/>
      <c r="PJU14" s="114"/>
      <c r="PJV14" s="114"/>
      <c r="PJW14" s="114"/>
      <c r="PJX14" s="114"/>
      <c r="PJY14" s="114"/>
      <c r="PJZ14" s="114"/>
      <c r="PKA14" s="114"/>
      <c r="PKB14" s="114"/>
      <c r="PKC14" s="114"/>
      <c r="PKD14" s="114"/>
      <c r="PKE14" s="114"/>
      <c r="PKF14" s="114"/>
      <c r="PKG14" s="114"/>
      <c r="PKH14" s="114"/>
      <c r="PKI14" s="114"/>
      <c r="PKJ14" s="114"/>
      <c r="PKK14" s="114"/>
      <c r="PKL14" s="114"/>
      <c r="PKM14" s="114"/>
      <c r="PKN14" s="114"/>
      <c r="PKO14" s="114"/>
      <c r="PKP14" s="114"/>
      <c r="PKQ14" s="114"/>
      <c r="PKR14" s="114"/>
      <c r="PKS14" s="114"/>
      <c r="PKT14" s="114"/>
      <c r="PKU14" s="114"/>
      <c r="PKV14" s="114"/>
      <c r="PKW14" s="114"/>
      <c r="PKX14" s="114"/>
      <c r="PKY14" s="114"/>
      <c r="PKZ14" s="114"/>
      <c r="PLA14" s="114"/>
      <c r="PLB14" s="114"/>
      <c r="PLC14" s="114"/>
      <c r="PLD14" s="114"/>
      <c r="PLE14" s="114"/>
      <c r="PLF14" s="114"/>
      <c r="PLG14" s="114"/>
      <c r="PLH14" s="114"/>
      <c r="PLI14" s="114"/>
      <c r="PLJ14" s="114"/>
      <c r="PLK14" s="114"/>
      <c r="PLL14" s="114"/>
      <c r="PLM14" s="114"/>
      <c r="PLN14" s="114"/>
      <c r="PLO14" s="114"/>
      <c r="PLP14" s="114"/>
      <c r="PLQ14" s="114"/>
      <c r="PLR14" s="114"/>
      <c r="PLS14" s="114"/>
      <c r="PLT14" s="114"/>
      <c r="PLU14" s="114"/>
      <c r="PLV14" s="114"/>
      <c r="PLW14" s="114"/>
      <c r="PLX14" s="114"/>
      <c r="PLY14" s="114"/>
      <c r="PLZ14" s="114"/>
      <c r="PMA14" s="114"/>
      <c r="PMB14" s="114"/>
      <c r="PMC14" s="114"/>
      <c r="PMD14" s="114"/>
      <c r="PME14" s="114"/>
      <c r="PMF14" s="114"/>
      <c r="PMG14" s="114"/>
      <c r="PMH14" s="114"/>
      <c r="PMI14" s="114"/>
      <c r="PMJ14" s="114"/>
      <c r="PMK14" s="114"/>
      <c r="PML14" s="114"/>
      <c r="PMM14" s="114"/>
      <c r="PMN14" s="114"/>
      <c r="PMO14" s="114"/>
      <c r="PMP14" s="114"/>
      <c r="PMQ14" s="114"/>
      <c r="PMR14" s="114"/>
      <c r="PMS14" s="114"/>
      <c r="PMT14" s="114"/>
      <c r="PMU14" s="114"/>
      <c r="PMV14" s="114"/>
      <c r="PMW14" s="114"/>
      <c r="PMX14" s="114"/>
      <c r="PMY14" s="114"/>
      <c r="PMZ14" s="114"/>
      <c r="PNA14" s="114"/>
      <c r="PNB14" s="114"/>
      <c r="PNC14" s="114"/>
      <c r="PND14" s="114"/>
      <c r="PNE14" s="114"/>
      <c r="PNF14" s="114"/>
      <c r="PNG14" s="114"/>
      <c r="PNH14" s="114"/>
      <c r="PNI14" s="114"/>
      <c r="PNJ14" s="114"/>
      <c r="PNK14" s="114"/>
      <c r="PNL14" s="114"/>
      <c r="PNM14" s="114"/>
      <c r="PNN14" s="114"/>
      <c r="PNO14" s="114"/>
      <c r="PNP14" s="114"/>
      <c r="PNQ14" s="114"/>
      <c r="PNR14" s="114"/>
      <c r="PNS14" s="114"/>
      <c r="PNT14" s="114"/>
      <c r="PNU14" s="114"/>
      <c r="PNV14" s="114"/>
      <c r="PNW14" s="114"/>
      <c r="PNX14" s="114"/>
      <c r="PNY14" s="114"/>
      <c r="PNZ14" s="114"/>
      <c r="POA14" s="114"/>
      <c r="POB14" s="114"/>
      <c r="POC14" s="114"/>
      <c r="POD14" s="114"/>
      <c r="POE14" s="114"/>
      <c r="POF14" s="114"/>
      <c r="POG14" s="114"/>
      <c r="POH14" s="114"/>
      <c r="POI14" s="114"/>
      <c r="POJ14" s="114"/>
      <c r="POK14" s="114"/>
      <c r="POL14" s="114"/>
      <c r="POM14" s="114"/>
      <c r="PON14" s="114"/>
      <c r="POO14" s="114"/>
      <c r="POP14" s="114"/>
      <c r="POQ14" s="114"/>
      <c r="POR14" s="114"/>
      <c r="POS14" s="114"/>
      <c r="POT14" s="114"/>
      <c r="POU14" s="114"/>
      <c r="POV14" s="114"/>
      <c r="POW14" s="114"/>
      <c r="POX14" s="114"/>
      <c r="POY14" s="114"/>
      <c r="POZ14" s="114"/>
      <c r="PPA14" s="114"/>
      <c r="PPB14" s="114"/>
      <c r="PPC14" s="114"/>
      <c r="PPD14" s="114"/>
      <c r="PPE14" s="114"/>
      <c r="PPF14" s="114"/>
      <c r="PPG14" s="114"/>
      <c r="PPH14" s="114"/>
      <c r="PPI14" s="114"/>
      <c r="PPJ14" s="114"/>
      <c r="PPK14" s="114"/>
      <c r="PPL14" s="114"/>
      <c r="PPM14" s="114"/>
      <c r="PPN14" s="114"/>
      <c r="PPO14" s="114"/>
      <c r="PPP14" s="114"/>
      <c r="PPQ14" s="114"/>
      <c r="PPR14" s="114"/>
      <c r="PPS14" s="114"/>
      <c r="PPT14" s="114"/>
      <c r="PPU14" s="114"/>
      <c r="PPV14" s="114"/>
      <c r="PPW14" s="114"/>
      <c r="PPX14" s="114"/>
      <c r="PPY14" s="114"/>
      <c r="PPZ14" s="114"/>
      <c r="PQA14" s="114"/>
      <c r="PQB14" s="114"/>
      <c r="PQC14" s="114"/>
      <c r="PQD14" s="114"/>
      <c r="PQE14" s="114"/>
      <c r="PQF14" s="114"/>
      <c r="PQG14" s="114"/>
      <c r="PQH14" s="114"/>
      <c r="PQI14" s="114"/>
      <c r="PQJ14" s="114"/>
      <c r="PQK14" s="114"/>
      <c r="PQL14" s="114"/>
      <c r="PQM14" s="114"/>
      <c r="PQN14" s="114"/>
      <c r="PQO14" s="114"/>
      <c r="PQP14" s="114"/>
      <c r="PQQ14" s="114"/>
      <c r="PQR14" s="114"/>
      <c r="PQS14" s="114"/>
      <c r="PQT14" s="114"/>
      <c r="PQU14" s="114"/>
      <c r="PQV14" s="114"/>
      <c r="PQW14" s="114"/>
      <c r="PQX14" s="114"/>
      <c r="PQY14" s="114"/>
      <c r="PQZ14" s="114"/>
      <c r="PRA14" s="114"/>
      <c r="PRB14" s="114"/>
      <c r="PRC14" s="114"/>
      <c r="PRD14" s="114"/>
      <c r="PRE14" s="114"/>
      <c r="PRF14" s="114"/>
      <c r="PRG14" s="114"/>
      <c r="PRH14" s="114"/>
      <c r="PRI14" s="114"/>
      <c r="PRJ14" s="114"/>
      <c r="PRK14" s="114"/>
      <c r="PRL14" s="114"/>
      <c r="PRM14" s="114"/>
      <c r="PRN14" s="114"/>
      <c r="PRO14" s="114"/>
      <c r="PRP14" s="114"/>
      <c r="PRQ14" s="114"/>
      <c r="PRR14" s="114"/>
      <c r="PRS14" s="114"/>
      <c r="PRT14" s="114"/>
      <c r="PRU14" s="114"/>
      <c r="PRV14" s="114"/>
      <c r="PRW14" s="114"/>
      <c r="PRX14" s="114"/>
      <c r="PRY14" s="114"/>
      <c r="PRZ14" s="114"/>
      <c r="PSA14" s="114"/>
      <c r="PSB14" s="114"/>
      <c r="PSC14" s="114"/>
      <c r="PSD14" s="114"/>
      <c r="PSE14" s="114"/>
      <c r="PSF14" s="114"/>
      <c r="PSG14" s="114"/>
      <c r="PSH14" s="114"/>
      <c r="PSI14" s="114"/>
      <c r="PSJ14" s="114"/>
      <c r="PSK14" s="114"/>
      <c r="PSL14" s="114"/>
      <c r="PSM14" s="114"/>
      <c r="PSN14" s="114"/>
      <c r="PSO14" s="114"/>
      <c r="PSP14" s="114"/>
      <c r="PSQ14" s="114"/>
      <c r="PSR14" s="114"/>
      <c r="PSS14" s="114"/>
      <c r="PST14" s="114"/>
      <c r="PSU14" s="114"/>
      <c r="PSV14" s="114"/>
      <c r="PSW14" s="114"/>
      <c r="PSX14" s="114"/>
      <c r="PSY14" s="114"/>
      <c r="PSZ14" s="114"/>
      <c r="PTA14" s="114"/>
      <c r="PTB14" s="114"/>
      <c r="PTC14" s="114"/>
      <c r="PTD14" s="114"/>
      <c r="PTE14" s="114"/>
      <c r="PTF14" s="114"/>
      <c r="PTG14" s="114"/>
      <c r="PTH14" s="114"/>
      <c r="PTI14" s="114"/>
      <c r="PTJ14" s="114"/>
      <c r="PTK14" s="114"/>
      <c r="PTL14" s="114"/>
      <c r="PTM14" s="114"/>
      <c r="PTN14" s="114"/>
      <c r="PTO14" s="114"/>
      <c r="PTP14" s="114"/>
      <c r="PTQ14" s="114"/>
      <c r="PTR14" s="114"/>
      <c r="PTS14" s="114"/>
      <c r="PTT14" s="114"/>
      <c r="PTU14" s="114"/>
      <c r="PTV14" s="114"/>
      <c r="PTW14" s="114"/>
      <c r="PTX14" s="114"/>
      <c r="PTY14" s="114"/>
      <c r="PTZ14" s="114"/>
      <c r="PUA14" s="114"/>
      <c r="PUB14" s="114"/>
      <c r="PUC14" s="114"/>
      <c r="PUD14" s="114"/>
      <c r="PUE14" s="114"/>
      <c r="PUF14" s="114"/>
      <c r="PUG14" s="114"/>
      <c r="PUH14" s="114"/>
      <c r="PUI14" s="114"/>
      <c r="PUJ14" s="114"/>
      <c r="PUK14" s="114"/>
      <c r="PUL14" s="114"/>
      <c r="PUM14" s="114"/>
      <c r="PUN14" s="114"/>
      <c r="PUO14" s="114"/>
      <c r="PUP14" s="114"/>
      <c r="PUQ14" s="114"/>
      <c r="PUR14" s="114"/>
      <c r="PUS14" s="114"/>
      <c r="PUT14" s="114"/>
      <c r="PUU14" s="114"/>
      <c r="PUV14" s="114"/>
      <c r="PUW14" s="114"/>
      <c r="PUX14" s="114"/>
      <c r="PUY14" s="114"/>
      <c r="PUZ14" s="114"/>
      <c r="PVA14" s="114"/>
      <c r="PVB14" s="114"/>
      <c r="PVC14" s="114"/>
      <c r="PVD14" s="114"/>
      <c r="PVE14" s="114"/>
      <c r="PVF14" s="114"/>
      <c r="PVG14" s="114"/>
      <c r="PVH14" s="114"/>
      <c r="PVI14" s="114"/>
      <c r="PVJ14" s="114"/>
      <c r="PVK14" s="114"/>
      <c r="PVL14" s="114"/>
      <c r="PVM14" s="114"/>
      <c r="PVN14" s="114"/>
      <c r="PVO14" s="114"/>
      <c r="PVP14" s="114"/>
      <c r="PVQ14" s="114"/>
      <c r="PVR14" s="114"/>
      <c r="PVS14" s="114"/>
      <c r="PVT14" s="114"/>
      <c r="PVU14" s="114"/>
      <c r="PVV14" s="114"/>
      <c r="PVW14" s="114"/>
      <c r="PVX14" s="114"/>
      <c r="PVY14" s="114"/>
      <c r="PVZ14" s="114"/>
      <c r="PWA14" s="114"/>
      <c r="PWB14" s="114"/>
      <c r="PWC14" s="114"/>
      <c r="PWD14" s="114"/>
      <c r="PWE14" s="114"/>
      <c r="PWF14" s="114"/>
      <c r="PWG14" s="114"/>
      <c r="PWH14" s="114"/>
      <c r="PWI14" s="114"/>
      <c r="PWJ14" s="114"/>
      <c r="PWK14" s="114"/>
      <c r="PWL14" s="114"/>
      <c r="PWM14" s="114"/>
      <c r="PWN14" s="114"/>
      <c r="PWO14" s="114"/>
      <c r="PWP14" s="114"/>
      <c r="PWQ14" s="114"/>
      <c r="PWR14" s="114"/>
      <c r="PWS14" s="114"/>
      <c r="PWT14" s="114"/>
      <c r="PWU14" s="114"/>
      <c r="PWV14" s="114"/>
      <c r="PWW14" s="114"/>
      <c r="PWX14" s="114"/>
      <c r="PWY14" s="114"/>
      <c r="PWZ14" s="114"/>
      <c r="PXA14" s="114"/>
      <c r="PXB14" s="114"/>
      <c r="PXC14" s="114"/>
      <c r="PXD14" s="114"/>
      <c r="PXE14" s="114"/>
      <c r="PXF14" s="114"/>
      <c r="PXG14" s="114"/>
      <c r="PXH14" s="114"/>
      <c r="PXI14" s="114"/>
      <c r="PXJ14" s="114"/>
      <c r="PXK14" s="114"/>
      <c r="PXL14" s="114"/>
      <c r="PXM14" s="114"/>
      <c r="PXN14" s="114"/>
      <c r="PXO14" s="114"/>
      <c r="PXP14" s="114"/>
      <c r="PXQ14" s="114"/>
      <c r="PXR14" s="114"/>
      <c r="PXS14" s="114"/>
      <c r="PXT14" s="114"/>
      <c r="PXU14" s="114"/>
      <c r="PXV14" s="114"/>
      <c r="PXW14" s="114"/>
      <c r="PXX14" s="114"/>
      <c r="PXY14" s="114"/>
      <c r="PXZ14" s="114"/>
      <c r="PYA14" s="114"/>
      <c r="PYB14" s="114"/>
      <c r="PYC14" s="114"/>
      <c r="PYD14" s="114"/>
      <c r="PYE14" s="114"/>
      <c r="PYF14" s="114"/>
      <c r="PYG14" s="114"/>
      <c r="PYH14" s="114"/>
      <c r="PYI14" s="114"/>
      <c r="PYJ14" s="114"/>
      <c r="PYK14" s="114"/>
      <c r="PYL14" s="114"/>
      <c r="PYM14" s="114"/>
      <c r="PYN14" s="114"/>
      <c r="PYO14" s="114"/>
      <c r="PYP14" s="114"/>
      <c r="PYQ14" s="114"/>
      <c r="PYR14" s="114"/>
      <c r="PYS14" s="114"/>
      <c r="PYT14" s="114"/>
      <c r="PYU14" s="114"/>
      <c r="PYV14" s="114"/>
      <c r="PYW14" s="114"/>
      <c r="PYX14" s="114"/>
      <c r="PYY14" s="114"/>
      <c r="PYZ14" s="114"/>
      <c r="PZA14" s="114"/>
      <c r="PZB14" s="114"/>
      <c r="PZC14" s="114"/>
      <c r="PZD14" s="114"/>
      <c r="PZE14" s="114"/>
      <c r="PZF14" s="114"/>
      <c r="PZG14" s="114"/>
      <c r="PZH14" s="114"/>
      <c r="PZI14" s="114"/>
      <c r="PZJ14" s="114"/>
      <c r="PZK14" s="114"/>
      <c r="PZL14" s="114"/>
      <c r="PZM14" s="114"/>
      <c r="PZN14" s="114"/>
      <c r="PZO14" s="114"/>
      <c r="PZP14" s="114"/>
      <c r="PZQ14" s="114"/>
      <c r="PZR14" s="114"/>
      <c r="PZS14" s="114"/>
      <c r="PZT14" s="114"/>
      <c r="PZU14" s="114"/>
      <c r="PZV14" s="114"/>
      <c r="PZW14" s="114"/>
      <c r="PZX14" s="114"/>
      <c r="PZY14" s="114"/>
      <c r="PZZ14" s="114"/>
      <c r="QAA14" s="114"/>
      <c r="QAB14" s="114"/>
      <c r="QAC14" s="114"/>
      <c r="QAD14" s="114"/>
      <c r="QAE14" s="114"/>
      <c r="QAF14" s="114"/>
      <c r="QAG14" s="114"/>
      <c r="QAH14" s="114"/>
      <c r="QAI14" s="114"/>
      <c r="QAJ14" s="114"/>
      <c r="QAK14" s="114"/>
      <c r="QAL14" s="114"/>
      <c r="QAM14" s="114"/>
      <c r="QAN14" s="114"/>
      <c r="QAO14" s="114"/>
      <c r="QAP14" s="114"/>
      <c r="QAQ14" s="114"/>
      <c r="QAR14" s="114"/>
      <c r="QAS14" s="114"/>
      <c r="QAT14" s="114"/>
      <c r="QAU14" s="114"/>
      <c r="QAV14" s="114"/>
      <c r="QAW14" s="114"/>
      <c r="QAX14" s="114"/>
      <c r="QAY14" s="114"/>
      <c r="QAZ14" s="114"/>
      <c r="QBA14" s="114"/>
      <c r="QBB14" s="114"/>
      <c r="QBC14" s="114"/>
      <c r="QBD14" s="114"/>
      <c r="QBE14" s="114"/>
      <c r="QBF14" s="114"/>
      <c r="QBG14" s="114"/>
      <c r="QBH14" s="114"/>
      <c r="QBI14" s="114"/>
      <c r="QBJ14" s="114"/>
      <c r="QBK14" s="114"/>
      <c r="QBL14" s="114"/>
      <c r="QBM14" s="114"/>
      <c r="QBN14" s="114"/>
      <c r="QBO14" s="114"/>
      <c r="QBP14" s="114"/>
      <c r="QBQ14" s="114"/>
      <c r="QBR14" s="114"/>
      <c r="QBS14" s="114"/>
      <c r="QBT14" s="114"/>
      <c r="QBU14" s="114"/>
      <c r="QBV14" s="114"/>
      <c r="QBW14" s="114"/>
      <c r="QBX14" s="114"/>
      <c r="QBY14" s="114"/>
      <c r="QBZ14" s="114"/>
      <c r="QCA14" s="114"/>
      <c r="QCB14" s="114"/>
      <c r="QCC14" s="114"/>
      <c r="QCD14" s="114"/>
      <c r="QCE14" s="114"/>
      <c r="QCF14" s="114"/>
      <c r="QCG14" s="114"/>
      <c r="QCH14" s="114"/>
      <c r="QCI14" s="114"/>
      <c r="QCJ14" s="114"/>
      <c r="QCK14" s="114"/>
      <c r="QCL14" s="114"/>
      <c r="QCM14" s="114"/>
      <c r="QCN14" s="114"/>
      <c r="QCO14" s="114"/>
      <c r="QCP14" s="114"/>
      <c r="QCQ14" s="114"/>
      <c r="QCR14" s="114"/>
      <c r="QCS14" s="114"/>
      <c r="QCT14" s="114"/>
      <c r="QCU14" s="114"/>
      <c r="QCV14" s="114"/>
      <c r="QCW14" s="114"/>
      <c r="QCX14" s="114"/>
      <c r="QCY14" s="114"/>
      <c r="QCZ14" s="114"/>
      <c r="QDA14" s="114"/>
      <c r="QDB14" s="114"/>
      <c r="QDC14" s="114"/>
      <c r="QDD14" s="114"/>
      <c r="QDE14" s="114"/>
      <c r="QDF14" s="114"/>
      <c r="QDG14" s="114"/>
      <c r="QDH14" s="114"/>
      <c r="QDI14" s="114"/>
      <c r="QDJ14" s="114"/>
      <c r="QDK14" s="114"/>
      <c r="QDL14" s="114"/>
      <c r="QDM14" s="114"/>
      <c r="QDN14" s="114"/>
      <c r="QDO14" s="114"/>
      <c r="QDP14" s="114"/>
      <c r="QDQ14" s="114"/>
      <c r="QDR14" s="114"/>
      <c r="QDS14" s="114"/>
      <c r="QDT14" s="114"/>
      <c r="QDU14" s="114"/>
      <c r="QDV14" s="114"/>
      <c r="QDW14" s="114"/>
      <c r="QDX14" s="114"/>
      <c r="QDY14" s="114"/>
      <c r="QDZ14" s="114"/>
      <c r="QEA14" s="114"/>
      <c r="QEB14" s="114"/>
      <c r="QEC14" s="114"/>
      <c r="QED14" s="114"/>
      <c r="QEE14" s="114"/>
      <c r="QEF14" s="114"/>
      <c r="QEG14" s="114"/>
      <c r="QEH14" s="114"/>
      <c r="QEI14" s="114"/>
      <c r="QEJ14" s="114"/>
      <c r="QEK14" s="114"/>
      <c r="QEL14" s="114"/>
      <c r="QEM14" s="114"/>
      <c r="QEN14" s="114"/>
      <c r="QEO14" s="114"/>
      <c r="QEP14" s="114"/>
      <c r="QEQ14" s="114"/>
      <c r="QER14" s="114"/>
      <c r="QES14" s="114"/>
      <c r="QET14" s="114"/>
      <c r="QEU14" s="114"/>
      <c r="QEV14" s="114"/>
      <c r="QEW14" s="114"/>
      <c r="QEX14" s="114"/>
      <c r="QEY14" s="114"/>
      <c r="QEZ14" s="114"/>
      <c r="QFA14" s="114"/>
      <c r="QFB14" s="114"/>
      <c r="QFC14" s="114"/>
      <c r="QFD14" s="114"/>
      <c r="QFE14" s="114"/>
      <c r="QFF14" s="114"/>
      <c r="QFG14" s="114"/>
      <c r="QFH14" s="114"/>
      <c r="QFI14" s="114"/>
      <c r="QFJ14" s="114"/>
      <c r="QFK14" s="114"/>
      <c r="QFL14" s="114"/>
      <c r="QFM14" s="114"/>
      <c r="QFN14" s="114"/>
      <c r="QFO14" s="114"/>
      <c r="QFP14" s="114"/>
      <c r="QFQ14" s="114"/>
      <c r="QFR14" s="114"/>
      <c r="QFS14" s="114"/>
      <c r="QFT14" s="114"/>
      <c r="QFU14" s="114"/>
      <c r="QFV14" s="114"/>
      <c r="QFW14" s="114"/>
      <c r="QFX14" s="114"/>
      <c r="QFY14" s="114"/>
      <c r="QFZ14" s="114"/>
      <c r="QGA14" s="114"/>
      <c r="QGB14" s="114"/>
      <c r="QGC14" s="114"/>
      <c r="QGD14" s="114"/>
      <c r="QGE14" s="114"/>
      <c r="QGF14" s="114"/>
      <c r="QGG14" s="114"/>
      <c r="QGH14" s="114"/>
      <c r="QGI14" s="114"/>
      <c r="QGJ14" s="114"/>
      <c r="QGK14" s="114"/>
      <c r="QGL14" s="114"/>
      <c r="QGM14" s="114"/>
      <c r="QGN14" s="114"/>
      <c r="QGO14" s="114"/>
      <c r="QGP14" s="114"/>
      <c r="QGQ14" s="114"/>
      <c r="QGR14" s="114"/>
      <c r="QGS14" s="114"/>
      <c r="QGT14" s="114"/>
      <c r="QGU14" s="114"/>
      <c r="QGV14" s="114"/>
      <c r="QGW14" s="114"/>
      <c r="QGX14" s="114"/>
      <c r="QGY14" s="114"/>
      <c r="QGZ14" s="114"/>
      <c r="QHA14" s="114"/>
      <c r="QHB14" s="114"/>
      <c r="QHC14" s="114"/>
      <c r="QHD14" s="114"/>
      <c r="QHE14" s="114"/>
      <c r="QHF14" s="114"/>
      <c r="QHG14" s="114"/>
      <c r="QHH14" s="114"/>
      <c r="QHI14" s="114"/>
      <c r="QHJ14" s="114"/>
      <c r="QHK14" s="114"/>
      <c r="QHL14" s="114"/>
      <c r="QHM14" s="114"/>
      <c r="QHN14" s="114"/>
      <c r="QHO14" s="114"/>
      <c r="QHP14" s="114"/>
      <c r="QHQ14" s="114"/>
      <c r="QHR14" s="114"/>
      <c r="QHS14" s="114"/>
      <c r="QHT14" s="114"/>
      <c r="QHU14" s="114"/>
      <c r="QHV14" s="114"/>
      <c r="QHW14" s="114"/>
      <c r="QHX14" s="114"/>
      <c r="QHY14" s="114"/>
      <c r="QHZ14" s="114"/>
      <c r="QIA14" s="114"/>
      <c r="QIB14" s="114"/>
      <c r="QIC14" s="114"/>
      <c r="QID14" s="114"/>
      <c r="QIE14" s="114"/>
      <c r="QIF14" s="114"/>
      <c r="QIG14" s="114"/>
      <c r="QIH14" s="114"/>
      <c r="QII14" s="114"/>
      <c r="QIJ14" s="114"/>
      <c r="QIK14" s="114"/>
      <c r="QIL14" s="114"/>
      <c r="QIM14" s="114"/>
      <c r="QIN14" s="114"/>
      <c r="QIO14" s="114"/>
      <c r="QIP14" s="114"/>
      <c r="QIQ14" s="114"/>
      <c r="QIR14" s="114"/>
      <c r="QIS14" s="114"/>
      <c r="QIT14" s="114"/>
      <c r="QIU14" s="114"/>
      <c r="QIV14" s="114"/>
      <c r="QIW14" s="114"/>
      <c r="QIX14" s="114"/>
      <c r="QIY14" s="114"/>
      <c r="QIZ14" s="114"/>
      <c r="QJA14" s="114"/>
      <c r="QJB14" s="114"/>
      <c r="QJC14" s="114"/>
      <c r="QJD14" s="114"/>
      <c r="QJE14" s="114"/>
      <c r="QJF14" s="114"/>
      <c r="QJG14" s="114"/>
      <c r="QJH14" s="114"/>
      <c r="QJI14" s="114"/>
      <c r="QJJ14" s="114"/>
      <c r="QJK14" s="114"/>
      <c r="QJL14" s="114"/>
      <c r="QJM14" s="114"/>
      <c r="QJN14" s="114"/>
      <c r="QJO14" s="114"/>
      <c r="QJP14" s="114"/>
      <c r="QJQ14" s="114"/>
      <c r="QJR14" s="114"/>
      <c r="QJS14" s="114"/>
      <c r="QJT14" s="114"/>
      <c r="QJU14" s="114"/>
      <c r="QJV14" s="114"/>
      <c r="QJW14" s="114"/>
      <c r="QJX14" s="114"/>
      <c r="QJY14" s="114"/>
      <c r="QJZ14" s="114"/>
      <c r="QKA14" s="114"/>
      <c r="QKB14" s="114"/>
      <c r="QKC14" s="114"/>
      <c r="QKD14" s="114"/>
      <c r="QKE14" s="114"/>
      <c r="QKF14" s="114"/>
      <c r="QKG14" s="114"/>
      <c r="QKH14" s="114"/>
      <c r="QKI14" s="114"/>
      <c r="QKJ14" s="114"/>
      <c r="QKK14" s="114"/>
      <c r="QKL14" s="114"/>
      <c r="QKM14" s="114"/>
      <c r="QKN14" s="114"/>
      <c r="QKO14" s="114"/>
      <c r="QKP14" s="114"/>
      <c r="QKQ14" s="114"/>
      <c r="QKR14" s="114"/>
      <c r="QKS14" s="114"/>
      <c r="QKT14" s="114"/>
      <c r="QKU14" s="114"/>
      <c r="QKV14" s="114"/>
      <c r="QKW14" s="114"/>
      <c r="QKX14" s="114"/>
      <c r="QKY14" s="114"/>
      <c r="QKZ14" s="114"/>
      <c r="QLA14" s="114"/>
      <c r="QLB14" s="114"/>
      <c r="QLC14" s="114"/>
      <c r="QLD14" s="114"/>
      <c r="QLE14" s="114"/>
      <c r="QLF14" s="114"/>
      <c r="QLG14" s="114"/>
      <c r="QLH14" s="114"/>
      <c r="QLI14" s="114"/>
      <c r="QLJ14" s="114"/>
      <c r="QLK14" s="114"/>
      <c r="QLL14" s="114"/>
      <c r="QLM14" s="114"/>
      <c r="QLN14" s="114"/>
      <c r="QLO14" s="114"/>
      <c r="QLP14" s="114"/>
      <c r="QLQ14" s="114"/>
      <c r="QLR14" s="114"/>
      <c r="QLS14" s="114"/>
      <c r="QLT14" s="114"/>
      <c r="QLU14" s="114"/>
      <c r="QLV14" s="114"/>
      <c r="QLW14" s="114"/>
      <c r="QLX14" s="114"/>
      <c r="QLY14" s="114"/>
      <c r="QLZ14" s="114"/>
      <c r="QMA14" s="114"/>
      <c r="QMB14" s="114"/>
      <c r="QMC14" s="114"/>
      <c r="QMD14" s="114"/>
      <c r="QME14" s="114"/>
      <c r="QMF14" s="114"/>
      <c r="QMG14" s="114"/>
      <c r="QMH14" s="114"/>
      <c r="QMI14" s="114"/>
      <c r="QMJ14" s="114"/>
      <c r="QMK14" s="114"/>
      <c r="QML14" s="114"/>
      <c r="QMM14" s="114"/>
      <c r="QMN14" s="114"/>
      <c r="QMO14" s="114"/>
      <c r="QMP14" s="114"/>
      <c r="QMQ14" s="114"/>
      <c r="QMR14" s="114"/>
      <c r="QMS14" s="114"/>
      <c r="QMT14" s="114"/>
      <c r="QMU14" s="114"/>
      <c r="QMV14" s="114"/>
      <c r="QMW14" s="114"/>
      <c r="QMX14" s="114"/>
      <c r="QMY14" s="114"/>
      <c r="QMZ14" s="114"/>
      <c r="QNA14" s="114"/>
      <c r="QNB14" s="114"/>
      <c r="QNC14" s="114"/>
      <c r="QND14" s="114"/>
      <c r="QNE14" s="114"/>
      <c r="QNF14" s="114"/>
      <c r="QNG14" s="114"/>
      <c r="QNH14" s="114"/>
      <c r="QNI14" s="114"/>
      <c r="QNJ14" s="114"/>
      <c r="QNK14" s="114"/>
      <c r="QNL14" s="114"/>
      <c r="QNM14" s="114"/>
      <c r="QNN14" s="114"/>
      <c r="QNO14" s="114"/>
      <c r="QNP14" s="114"/>
      <c r="QNQ14" s="114"/>
      <c r="QNR14" s="114"/>
      <c r="QNS14" s="114"/>
      <c r="QNT14" s="114"/>
      <c r="QNU14" s="114"/>
      <c r="QNV14" s="114"/>
      <c r="QNW14" s="114"/>
      <c r="QNX14" s="114"/>
      <c r="QNY14" s="114"/>
      <c r="QNZ14" s="114"/>
      <c r="QOA14" s="114"/>
      <c r="QOB14" s="114"/>
      <c r="QOC14" s="114"/>
      <c r="QOD14" s="114"/>
      <c r="QOE14" s="114"/>
      <c r="QOF14" s="114"/>
      <c r="QOG14" s="114"/>
      <c r="QOH14" s="114"/>
      <c r="QOI14" s="114"/>
      <c r="QOJ14" s="114"/>
      <c r="QOK14" s="114"/>
      <c r="QOL14" s="114"/>
      <c r="QOM14" s="114"/>
      <c r="QON14" s="114"/>
      <c r="QOO14" s="114"/>
      <c r="QOP14" s="114"/>
      <c r="QOQ14" s="114"/>
      <c r="QOR14" s="114"/>
      <c r="QOS14" s="114"/>
      <c r="QOT14" s="114"/>
      <c r="QOU14" s="114"/>
      <c r="QOV14" s="114"/>
      <c r="QOW14" s="114"/>
      <c r="QOX14" s="114"/>
      <c r="QOY14" s="114"/>
      <c r="QOZ14" s="114"/>
      <c r="QPA14" s="114"/>
      <c r="QPB14" s="114"/>
      <c r="QPC14" s="114"/>
      <c r="QPD14" s="114"/>
      <c r="QPE14" s="114"/>
      <c r="QPF14" s="114"/>
      <c r="QPG14" s="114"/>
      <c r="QPH14" s="114"/>
      <c r="QPI14" s="114"/>
      <c r="QPJ14" s="114"/>
      <c r="QPK14" s="114"/>
      <c r="QPL14" s="114"/>
      <c r="QPM14" s="114"/>
      <c r="QPN14" s="114"/>
      <c r="QPO14" s="114"/>
      <c r="QPP14" s="114"/>
      <c r="QPQ14" s="114"/>
      <c r="QPR14" s="114"/>
      <c r="QPS14" s="114"/>
      <c r="QPT14" s="114"/>
      <c r="QPU14" s="114"/>
      <c r="QPV14" s="114"/>
      <c r="QPW14" s="114"/>
      <c r="QPX14" s="114"/>
      <c r="QPY14" s="114"/>
      <c r="QPZ14" s="114"/>
      <c r="QQA14" s="114"/>
      <c r="QQB14" s="114"/>
      <c r="QQC14" s="114"/>
      <c r="QQD14" s="114"/>
      <c r="QQE14" s="114"/>
      <c r="QQF14" s="114"/>
      <c r="QQG14" s="114"/>
      <c r="QQH14" s="114"/>
      <c r="QQI14" s="114"/>
      <c r="QQJ14" s="114"/>
      <c r="QQK14" s="114"/>
      <c r="QQL14" s="114"/>
      <c r="QQM14" s="114"/>
      <c r="QQN14" s="114"/>
      <c r="QQO14" s="114"/>
      <c r="QQP14" s="114"/>
      <c r="QQQ14" s="114"/>
      <c r="QQR14" s="114"/>
      <c r="QQS14" s="114"/>
      <c r="QQT14" s="114"/>
      <c r="QQU14" s="114"/>
      <c r="QQV14" s="114"/>
      <c r="QQW14" s="114"/>
      <c r="QQX14" s="114"/>
      <c r="QQY14" s="114"/>
      <c r="QQZ14" s="114"/>
      <c r="QRA14" s="114"/>
      <c r="QRB14" s="114"/>
      <c r="QRC14" s="114"/>
      <c r="QRD14" s="114"/>
      <c r="QRE14" s="114"/>
      <c r="QRF14" s="114"/>
      <c r="QRG14" s="114"/>
      <c r="QRH14" s="114"/>
      <c r="QRI14" s="114"/>
      <c r="QRJ14" s="114"/>
      <c r="QRK14" s="114"/>
      <c r="QRL14" s="114"/>
      <c r="QRM14" s="114"/>
      <c r="QRN14" s="114"/>
      <c r="QRO14" s="114"/>
      <c r="QRP14" s="114"/>
      <c r="QRQ14" s="114"/>
      <c r="QRR14" s="114"/>
      <c r="QRS14" s="114"/>
      <c r="QRT14" s="114"/>
      <c r="QRU14" s="114"/>
      <c r="QRV14" s="114"/>
      <c r="QRW14" s="114"/>
      <c r="QRX14" s="114"/>
      <c r="QRY14" s="114"/>
      <c r="QRZ14" s="114"/>
      <c r="QSA14" s="114"/>
      <c r="QSB14" s="114"/>
      <c r="QSC14" s="114"/>
      <c r="QSD14" s="114"/>
      <c r="QSE14" s="114"/>
      <c r="QSF14" s="114"/>
      <c r="QSG14" s="114"/>
      <c r="QSH14" s="114"/>
      <c r="QSI14" s="114"/>
      <c r="QSJ14" s="114"/>
      <c r="QSK14" s="114"/>
      <c r="QSL14" s="114"/>
      <c r="QSM14" s="114"/>
      <c r="QSN14" s="114"/>
      <c r="QSO14" s="114"/>
      <c r="QSP14" s="114"/>
      <c r="QSQ14" s="114"/>
      <c r="QSR14" s="114"/>
      <c r="QSS14" s="114"/>
      <c r="QST14" s="114"/>
      <c r="QSU14" s="114"/>
      <c r="QSV14" s="114"/>
      <c r="QSW14" s="114"/>
      <c r="QSX14" s="114"/>
      <c r="QSY14" s="114"/>
      <c r="QSZ14" s="114"/>
      <c r="QTA14" s="114"/>
      <c r="QTB14" s="114"/>
      <c r="QTC14" s="114"/>
      <c r="QTD14" s="114"/>
      <c r="QTE14" s="114"/>
      <c r="QTF14" s="114"/>
      <c r="QTG14" s="114"/>
      <c r="QTH14" s="114"/>
      <c r="QTI14" s="114"/>
      <c r="QTJ14" s="114"/>
      <c r="QTK14" s="114"/>
      <c r="QTL14" s="114"/>
      <c r="QTM14" s="114"/>
      <c r="QTN14" s="114"/>
      <c r="QTO14" s="114"/>
      <c r="QTP14" s="114"/>
      <c r="QTQ14" s="114"/>
      <c r="QTR14" s="114"/>
      <c r="QTS14" s="114"/>
      <c r="QTT14" s="114"/>
      <c r="QTU14" s="114"/>
      <c r="QTV14" s="114"/>
      <c r="QTW14" s="114"/>
      <c r="QTX14" s="114"/>
      <c r="QTY14" s="114"/>
      <c r="QTZ14" s="114"/>
      <c r="QUA14" s="114"/>
      <c r="QUB14" s="114"/>
      <c r="QUC14" s="114"/>
      <c r="QUD14" s="114"/>
      <c r="QUE14" s="114"/>
      <c r="QUF14" s="114"/>
      <c r="QUG14" s="114"/>
      <c r="QUH14" s="114"/>
      <c r="QUI14" s="114"/>
      <c r="QUJ14" s="114"/>
      <c r="QUK14" s="114"/>
      <c r="QUL14" s="114"/>
      <c r="QUM14" s="114"/>
      <c r="QUN14" s="114"/>
      <c r="QUO14" s="114"/>
      <c r="QUP14" s="114"/>
      <c r="QUQ14" s="114"/>
      <c r="QUR14" s="114"/>
      <c r="QUS14" s="114"/>
      <c r="QUT14" s="114"/>
      <c r="QUU14" s="114"/>
      <c r="QUV14" s="114"/>
      <c r="QUW14" s="114"/>
      <c r="QUX14" s="114"/>
      <c r="QUY14" s="114"/>
      <c r="QUZ14" s="114"/>
      <c r="QVA14" s="114"/>
      <c r="QVB14" s="114"/>
      <c r="QVC14" s="114"/>
      <c r="QVD14" s="114"/>
      <c r="QVE14" s="114"/>
      <c r="QVF14" s="114"/>
      <c r="QVG14" s="114"/>
      <c r="QVH14" s="114"/>
      <c r="QVI14" s="114"/>
      <c r="QVJ14" s="114"/>
      <c r="QVK14" s="114"/>
      <c r="QVL14" s="114"/>
      <c r="QVM14" s="114"/>
      <c r="QVN14" s="114"/>
      <c r="QVO14" s="114"/>
      <c r="QVP14" s="114"/>
      <c r="QVQ14" s="114"/>
      <c r="QVR14" s="114"/>
      <c r="QVS14" s="114"/>
      <c r="QVT14" s="114"/>
      <c r="QVU14" s="114"/>
      <c r="QVV14" s="114"/>
      <c r="QVW14" s="114"/>
      <c r="QVX14" s="114"/>
      <c r="QVY14" s="114"/>
      <c r="QVZ14" s="114"/>
      <c r="QWA14" s="114"/>
      <c r="QWB14" s="114"/>
      <c r="QWC14" s="114"/>
      <c r="QWD14" s="114"/>
      <c r="QWE14" s="114"/>
      <c r="QWF14" s="114"/>
      <c r="QWG14" s="114"/>
      <c r="QWH14" s="114"/>
      <c r="QWI14" s="114"/>
      <c r="QWJ14" s="114"/>
      <c r="QWK14" s="114"/>
      <c r="QWL14" s="114"/>
      <c r="QWM14" s="114"/>
      <c r="QWN14" s="114"/>
      <c r="QWO14" s="114"/>
      <c r="QWP14" s="114"/>
      <c r="QWQ14" s="114"/>
      <c r="QWR14" s="114"/>
      <c r="QWS14" s="114"/>
      <c r="QWT14" s="114"/>
      <c r="QWU14" s="114"/>
      <c r="QWV14" s="114"/>
      <c r="QWW14" s="114"/>
      <c r="QWX14" s="114"/>
      <c r="QWY14" s="114"/>
      <c r="QWZ14" s="114"/>
      <c r="QXA14" s="114"/>
      <c r="QXB14" s="114"/>
      <c r="QXC14" s="114"/>
      <c r="QXD14" s="114"/>
      <c r="QXE14" s="114"/>
      <c r="QXF14" s="114"/>
      <c r="QXG14" s="114"/>
      <c r="QXH14" s="114"/>
      <c r="QXI14" s="114"/>
      <c r="QXJ14" s="114"/>
      <c r="QXK14" s="114"/>
      <c r="QXL14" s="114"/>
      <c r="QXM14" s="114"/>
      <c r="QXN14" s="114"/>
      <c r="QXO14" s="114"/>
      <c r="QXP14" s="114"/>
      <c r="QXQ14" s="114"/>
      <c r="QXR14" s="114"/>
      <c r="QXS14" s="114"/>
      <c r="QXT14" s="114"/>
      <c r="QXU14" s="114"/>
      <c r="QXV14" s="114"/>
      <c r="QXW14" s="114"/>
      <c r="QXX14" s="114"/>
      <c r="QXY14" s="114"/>
      <c r="QXZ14" s="114"/>
      <c r="QYA14" s="114"/>
      <c r="QYB14" s="114"/>
      <c r="QYC14" s="114"/>
      <c r="QYD14" s="114"/>
      <c r="QYE14" s="114"/>
      <c r="QYF14" s="114"/>
      <c r="QYG14" s="114"/>
      <c r="QYH14" s="114"/>
      <c r="QYI14" s="114"/>
      <c r="QYJ14" s="114"/>
      <c r="QYK14" s="114"/>
      <c r="QYL14" s="114"/>
      <c r="QYM14" s="114"/>
      <c r="QYN14" s="114"/>
      <c r="QYO14" s="114"/>
      <c r="QYP14" s="114"/>
      <c r="QYQ14" s="114"/>
      <c r="QYR14" s="114"/>
      <c r="QYS14" s="114"/>
      <c r="QYT14" s="114"/>
      <c r="QYU14" s="114"/>
      <c r="QYV14" s="114"/>
      <c r="QYW14" s="114"/>
      <c r="QYX14" s="114"/>
      <c r="QYY14" s="114"/>
      <c r="QYZ14" s="114"/>
      <c r="QZA14" s="114"/>
      <c r="QZB14" s="114"/>
      <c r="QZC14" s="114"/>
      <c r="QZD14" s="114"/>
      <c r="QZE14" s="114"/>
      <c r="QZF14" s="114"/>
      <c r="QZG14" s="114"/>
      <c r="QZH14" s="114"/>
      <c r="QZI14" s="114"/>
      <c r="QZJ14" s="114"/>
      <c r="QZK14" s="114"/>
      <c r="QZL14" s="114"/>
      <c r="QZM14" s="114"/>
      <c r="QZN14" s="114"/>
      <c r="QZO14" s="114"/>
      <c r="QZP14" s="114"/>
      <c r="QZQ14" s="114"/>
      <c r="QZR14" s="114"/>
      <c r="QZS14" s="114"/>
      <c r="QZT14" s="114"/>
      <c r="QZU14" s="114"/>
      <c r="QZV14" s="114"/>
      <c r="QZW14" s="114"/>
      <c r="QZX14" s="114"/>
      <c r="QZY14" s="114"/>
      <c r="QZZ14" s="114"/>
      <c r="RAA14" s="114"/>
      <c r="RAB14" s="114"/>
      <c r="RAC14" s="114"/>
      <c r="RAD14" s="114"/>
      <c r="RAE14" s="114"/>
      <c r="RAF14" s="114"/>
      <c r="RAG14" s="114"/>
      <c r="RAH14" s="114"/>
      <c r="RAI14" s="114"/>
      <c r="RAJ14" s="114"/>
      <c r="RAK14" s="114"/>
      <c r="RAL14" s="114"/>
      <c r="RAM14" s="114"/>
      <c r="RAN14" s="114"/>
      <c r="RAO14" s="114"/>
      <c r="RAP14" s="114"/>
      <c r="RAQ14" s="114"/>
      <c r="RAR14" s="114"/>
      <c r="RAS14" s="114"/>
      <c r="RAT14" s="114"/>
      <c r="RAU14" s="114"/>
      <c r="RAV14" s="114"/>
      <c r="RAW14" s="114"/>
      <c r="RAX14" s="114"/>
      <c r="RAY14" s="114"/>
      <c r="RAZ14" s="114"/>
      <c r="RBA14" s="114"/>
      <c r="RBB14" s="114"/>
      <c r="RBC14" s="114"/>
      <c r="RBD14" s="114"/>
      <c r="RBE14" s="114"/>
      <c r="RBF14" s="114"/>
      <c r="RBG14" s="114"/>
      <c r="RBH14" s="114"/>
      <c r="RBI14" s="114"/>
      <c r="RBJ14" s="114"/>
      <c r="RBK14" s="114"/>
      <c r="RBL14" s="114"/>
      <c r="RBM14" s="114"/>
      <c r="RBN14" s="114"/>
      <c r="RBO14" s="114"/>
      <c r="RBP14" s="114"/>
      <c r="RBQ14" s="114"/>
      <c r="RBR14" s="114"/>
      <c r="RBS14" s="114"/>
      <c r="RBT14" s="114"/>
      <c r="RBU14" s="114"/>
      <c r="RBV14" s="114"/>
      <c r="RBW14" s="114"/>
      <c r="RBX14" s="114"/>
      <c r="RBY14" s="114"/>
      <c r="RBZ14" s="114"/>
      <c r="RCA14" s="114"/>
      <c r="RCB14" s="114"/>
      <c r="RCC14" s="114"/>
      <c r="RCD14" s="114"/>
      <c r="RCE14" s="114"/>
      <c r="RCF14" s="114"/>
      <c r="RCG14" s="114"/>
      <c r="RCH14" s="114"/>
      <c r="RCI14" s="114"/>
      <c r="RCJ14" s="114"/>
      <c r="RCK14" s="114"/>
      <c r="RCL14" s="114"/>
      <c r="RCM14" s="114"/>
      <c r="RCN14" s="114"/>
      <c r="RCO14" s="114"/>
      <c r="RCP14" s="114"/>
      <c r="RCQ14" s="114"/>
      <c r="RCR14" s="114"/>
      <c r="RCS14" s="114"/>
      <c r="RCT14" s="114"/>
      <c r="RCU14" s="114"/>
      <c r="RCV14" s="114"/>
      <c r="RCW14" s="114"/>
      <c r="RCX14" s="114"/>
      <c r="RCY14" s="114"/>
      <c r="RCZ14" s="114"/>
      <c r="RDA14" s="114"/>
      <c r="RDB14" s="114"/>
      <c r="RDC14" s="114"/>
      <c r="RDD14" s="114"/>
      <c r="RDE14" s="114"/>
      <c r="RDF14" s="114"/>
      <c r="RDG14" s="114"/>
      <c r="RDH14" s="114"/>
      <c r="RDI14" s="114"/>
      <c r="RDJ14" s="114"/>
      <c r="RDK14" s="114"/>
      <c r="RDL14" s="114"/>
      <c r="RDM14" s="114"/>
      <c r="RDN14" s="114"/>
      <c r="RDO14" s="114"/>
      <c r="RDP14" s="114"/>
      <c r="RDQ14" s="114"/>
      <c r="RDR14" s="114"/>
      <c r="RDS14" s="114"/>
      <c r="RDT14" s="114"/>
      <c r="RDU14" s="114"/>
      <c r="RDV14" s="114"/>
      <c r="RDW14" s="114"/>
      <c r="RDX14" s="114"/>
      <c r="RDY14" s="114"/>
      <c r="RDZ14" s="114"/>
      <c r="REA14" s="114"/>
      <c r="REB14" s="114"/>
      <c r="REC14" s="114"/>
      <c r="RED14" s="114"/>
      <c r="REE14" s="114"/>
      <c r="REF14" s="114"/>
      <c r="REG14" s="114"/>
      <c r="REH14" s="114"/>
      <c r="REI14" s="114"/>
      <c r="REJ14" s="114"/>
      <c r="REK14" s="114"/>
      <c r="REL14" s="114"/>
      <c r="REM14" s="114"/>
      <c r="REN14" s="114"/>
      <c r="REO14" s="114"/>
      <c r="REP14" s="114"/>
      <c r="REQ14" s="114"/>
      <c r="RER14" s="114"/>
      <c r="RES14" s="114"/>
      <c r="RET14" s="114"/>
      <c r="REU14" s="114"/>
      <c r="REV14" s="114"/>
      <c r="REW14" s="114"/>
      <c r="REX14" s="114"/>
      <c r="REY14" s="114"/>
      <c r="REZ14" s="114"/>
      <c r="RFA14" s="114"/>
      <c r="RFB14" s="114"/>
      <c r="RFC14" s="114"/>
      <c r="RFD14" s="114"/>
      <c r="RFE14" s="114"/>
      <c r="RFF14" s="114"/>
      <c r="RFG14" s="114"/>
      <c r="RFH14" s="114"/>
      <c r="RFI14" s="114"/>
      <c r="RFJ14" s="114"/>
      <c r="RFK14" s="114"/>
      <c r="RFL14" s="114"/>
      <c r="RFM14" s="114"/>
      <c r="RFN14" s="114"/>
      <c r="RFO14" s="114"/>
      <c r="RFP14" s="114"/>
      <c r="RFQ14" s="114"/>
      <c r="RFR14" s="114"/>
      <c r="RFS14" s="114"/>
      <c r="RFT14" s="114"/>
      <c r="RFU14" s="114"/>
      <c r="RFV14" s="114"/>
      <c r="RFW14" s="114"/>
      <c r="RFX14" s="114"/>
      <c r="RFY14" s="114"/>
      <c r="RFZ14" s="114"/>
      <c r="RGA14" s="114"/>
      <c r="RGB14" s="114"/>
      <c r="RGC14" s="114"/>
      <c r="RGD14" s="114"/>
      <c r="RGE14" s="114"/>
      <c r="RGF14" s="114"/>
      <c r="RGG14" s="114"/>
      <c r="RGH14" s="114"/>
      <c r="RGI14" s="114"/>
      <c r="RGJ14" s="114"/>
      <c r="RGK14" s="114"/>
      <c r="RGL14" s="114"/>
      <c r="RGM14" s="114"/>
      <c r="RGN14" s="114"/>
      <c r="RGO14" s="114"/>
      <c r="RGP14" s="114"/>
      <c r="RGQ14" s="114"/>
      <c r="RGR14" s="114"/>
      <c r="RGS14" s="114"/>
      <c r="RGT14" s="114"/>
      <c r="RGU14" s="114"/>
      <c r="RGV14" s="114"/>
      <c r="RGW14" s="114"/>
      <c r="RGX14" s="114"/>
      <c r="RGY14" s="114"/>
      <c r="RGZ14" s="114"/>
      <c r="RHA14" s="114"/>
      <c r="RHB14" s="114"/>
      <c r="RHC14" s="114"/>
      <c r="RHD14" s="114"/>
      <c r="RHE14" s="114"/>
      <c r="RHF14" s="114"/>
      <c r="RHG14" s="114"/>
      <c r="RHH14" s="114"/>
      <c r="RHI14" s="114"/>
      <c r="RHJ14" s="114"/>
      <c r="RHK14" s="114"/>
      <c r="RHL14" s="114"/>
      <c r="RHM14" s="114"/>
      <c r="RHN14" s="114"/>
      <c r="RHO14" s="114"/>
      <c r="RHP14" s="114"/>
      <c r="RHQ14" s="114"/>
      <c r="RHR14" s="114"/>
      <c r="RHS14" s="114"/>
      <c r="RHT14" s="114"/>
      <c r="RHU14" s="114"/>
      <c r="RHV14" s="114"/>
      <c r="RHW14" s="114"/>
      <c r="RHX14" s="114"/>
      <c r="RHY14" s="114"/>
      <c r="RHZ14" s="114"/>
      <c r="RIA14" s="114"/>
      <c r="RIB14" s="114"/>
      <c r="RIC14" s="114"/>
      <c r="RID14" s="114"/>
      <c r="RIE14" s="114"/>
      <c r="RIF14" s="114"/>
      <c r="RIG14" s="114"/>
      <c r="RIH14" s="114"/>
      <c r="RII14" s="114"/>
      <c r="RIJ14" s="114"/>
      <c r="RIK14" s="114"/>
      <c r="RIL14" s="114"/>
      <c r="RIM14" s="114"/>
      <c r="RIN14" s="114"/>
      <c r="RIO14" s="114"/>
      <c r="RIP14" s="114"/>
      <c r="RIQ14" s="114"/>
      <c r="RIR14" s="114"/>
      <c r="RIS14" s="114"/>
      <c r="RIT14" s="114"/>
      <c r="RIU14" s="114"/>
      <c r="RIV14" s="114"/>
      <c r="RIW14" s="114"/>
      <c r="RIX14" s="114"/>
      <c r="RIY14" s="114"/>
      <c r="RIZ14" s="114"/>
      <c r="RJA14" s="114"/>
      <c r="RJB14" s="114"/>
      <c r="RJC14" s="114"/>
      <c r="RJD14" s="114"/>
      <c r="RJE14" s="114"/>
      <c r="RJF14" s="114"/>
      <c r="RJG14" s="114"/>
      <c r="RJH14" s="114"/>
      <c r="RJI14" s="114"/>
      <c r="RJJ14" s="114"/>
      <c r="RJK14" s="114"/>
      <c r="RJL14" s="114"/>
      <c r="RJM14" s="114"/>
      <c r="RJN14" s="114"/>
      <c r="RJO14" s="114"/>
      <c r="RJP14" s="114"/>
      <c r="RJQ14" s="114"/>
      <c r="RJR14" s="114"/>
      <c r="RJS14" s="114"/>
      <c r="RJT14" s="114"/>
      <c r="RJU14" s="114"/>
      <c r="RJV14" s="114"/>
      <c r="RJW14" s="114"/>
      <c r="RJX14" s="114"/>
      <c r="RJY14" s="114"/>
      <c r="RJZ14" s="114"/>
      <c r="RKA14" s="114"/>
      <c r="RKB14" s="114"/>
      <c r="RKC14" s="114"/>
      <c r="RKD14" s="114"/>
      <c r="RKE14" s="114"/>
      <c r="RKF14" s="114"/>
      <c r="RKG14" s="114"/>
      <c r="RKH14" s="114"/>
      <c r="RKI14" s="114"/>
      <c r="RKJ14" s="114"/>
      <c r="RKK14" s="114"/>
      <c r="RKL14" s="114"/>
      <c r="RKM14" s="114"/>
      <c r="RKN14" s="114"/>
      <c r="RKO14" s="114"/>
      <c r="RKP14" s="114"/>
      <c r="RKQ14" s="114"/>
      <c r="RKR14" s="114"/>
      <c r="RKS14" s="114"/>
      <c r="RKT14" s="114"/>
      <c r="RKU14" s="114"/>
      <c r="RKV14" s="114"/>
      <c r="RKW14" s="114"/>
      <c r="RKX14" s="114"/>
      <c r="RKY14" s="114"/>
      <c r="RKZ14" s="114"/>
      <c r="RLA14" s="114"/>
      <c r="RLB14" s="114"/>
      <c r="RLC14" s="114"/>
      <c r="RLD14" s="114"/>
      <c r="RLE14" s="114"/>
      <c r="RLF14" s="114"/>
      <c r="RLG14" s="114"/>
      <c r="RLH14" s="114"/>
      <c r="RLI14" s="114"/>
      <c r="RLJ14" s="114"/>
      <c r="RLK14" s="114"/>
      <c r="RLL14" s="114"/>
      <c r="RLM14" s="114"/>
      <c r="RLN14" s="114"/>
      <c r="RLO14" s="114"/>
      <c r="RLP14" s="114"/>
      <c r="RLQ14" s="114"/>
      <c r="RLR14" s="114"/>
      <c r="RLS14" s="114"/>
      <c r="RLT14" s="114"/>
      <c r="RLU14" s="114"/>
      <c r="RLV14" s="114"/>
      <c r="RLW14" s="114"/>
      <c r="RLX14" s="114"/>
      <c r="RLY14" s="114"/>
      <c r="RLZ14" s="114"/>
      <c r="RMA14" s="114"/>
      <c r="RMB14" s="114"/>
      <c r="RMC14" s="114"/>
      <c r="RMD14" s="114"/>
      <c r="RME14" s="114"/>
      <c r="RMF14" s="114"/>
      <c r="RMG14" s="114"/>
      <c r="RMH14" s="114"/>
      <c r="RMI14" s="114"/>
      <c r="RMJ14" s="114"/>
      <c r="RMK14" s="114"/>
      <c r="RML14" s="114"/>
      <c r="RMM14" s="114"/>
      <c r="RMN14" s="114"/>
      <c r="RMO14" s="114"/>
      <c r="RMP14" s="114"/>
      <c r="RMQ14" s="114"/>
      <c r="RMR14" s="114"/>
      <c r="RMS14" s="114"/>
      <c r="RMT14" s="114"/>
      <c r="RMU14" s="114"/>
      <c r="RMV14" s="114"/>
      <c r="RMW14" s="114"/>
      <c r="RMX14" s="114"/>
      <c r="RMY14" s="114"/>
      <c r="RMZ14" s="114"/>
      <c r="RNA14" s="114"/>
      <c r="RNB14" s="114"/>
      <c r="RNC14" s="114"/>
      <c r="RND14" s="114"/>
      <c r="RNE14" s="114"/>
      <c r="RNF14" s="114"/>
      <c r="RNG14" s="114"/>
      <c r="RNH14" s="114"/>
      <c r="RNI14" s="114"/>
      <c r="RNJ14" s="114"/>
      <c r="RNK14" s="114"/>
      <c r="RNL14" s="114"/>
      <c r="RNM14" s="114"/>
      <c r="RNN14" s="114"/>
      <c r="RNO14" s="114"/>
      <c r="RNP14" s="114"/>
      <c r="RNQ14" s="114"/>
      <c r="RNR14" s="114"/>
      <c r="RNS14" s="114"/>
      <c r="RNT14" s="114"/>
      <c r="RNU14" s="114"/>
      <c r="RNV14" s="114"/>
      <c r="RNW14" s="114"/>
      <c r="RNX14" s="114"/>
      <c r="RNY14" s="114"/>
      <c r="RNZ14" s="114"/>
      <c r="ROA14" s="114"/>
      <c r="ROB14" s="114"/>
      <c r="ROC14" s="114"/>
      <c r="ROD14" s="114"/>
      <c r="ROE14" s="114"/>
      <c r="ROF14" s="114"/>
      <c r="ROG14" s="114"/>
      <c r="ROH14" s="114"/>
      <c r="ROI14" s="114"/>
      <c r="ROJ14" s="114"/>
      <c r="ROK14" s="114"/>
      <c r="ROL14" s="114"/>
      <c r="ROM14" s="114"/>
      <c r="RON14" s="114"/>
      <c r="ROO14" s="114"/>
      <c r="ROP14" s="114"/>
      <c r="ROQ14" s="114"/>
      <c r="ROR14" s="114"/>
      <c r="ROS14" s="114"/>
      <c r="ROT14" s="114"/>
      <c r="ROU14" s="114"/>
      <c r="ROV14" s="114"/>
      <c r="ROW14" s="114"/>
      <c r="ROX14" s="114"/>
      <c r="ROY14" s="114"/>
      <c r="ROZ14" s="114"/>
      <c r="RPA14" s="114"/>
      <c r="RPB14" s="114"/>
      <c r="RPC14" s="114"/>
      <c r="RPD14" s="114"/>
      <c r="RPE14" s="114"/>
      <c r="RPF14" s="114"/>
      <c r="RPG14" s="114"/>
      <c r="RPH14" s="114"/>
      <c r="RPI14" s="114"/>
      <c r="RPJ14" s="114"/>
      <c r="RPK14" s="114"/>
      <c r="RPL14" s="114"/>
      <c r="RPM14" s="114"/>
      <c r="RPN14" s="114"/>
      <c r="RPO14" s="114"/>
      <c r="RPP14" s="114"/>
      <c r="RPQ14" s="114"/>
      <c r="RPR14" s="114"/>
      <c r="RPS14" s="114"/>
      <c r="RPT14" s="114"/>
      <c r="RPU14" s="114"/>
      <c r="RPV14" s="114"/>
      <c r="RPW14" s="114"/>
      <c r="RPX14" s="114"/>
      <c r="RPY14" s="114"/>
      <c r="RPZ14" s="114"/>
      <c r="RQA14" s="114"/>
      <c r="RQB14" s="114"/>
      <c r="RQC14" s="114"/>
      <c r="RQD14" s="114"/>
      <c r="RQE14" s="114"/>
      <c r="RQF14" s="114"/>
      <c r="RQG14" s="114"/>
      <c r="RQH14" s="114"/>
      <c r="RQI14" s="114"/>
      <c r="RQJ14" s="114"/>
      <c r="RQK14" s="114"/>
      <c r="RQL14" s="114"/>
      <c r="RQM14" s="114"/>
      <c r="RQN14" s="114"/>
      <c r="RQO14" s="114"/>
      <c r="RQP14" s="114"/>
      <c r="RQQ14" s="114"/>
      <c r="RQR14" s="114"/>
      <c r="RQS14" s="114"/>
      <c r="RQT14" s="114"/>
      <c r="RQU14" s="114"/>
      <c r="RQV14" s="114"/>
      <c r="RQW14" s="114"/>
      <c r="RQX14" s="114"/>
      <c r="RQY14" s="114"/>
      <c r="RQZ14" s="114"/>
      <c r="RRA14" s="114"/>
      <c r="RRB14" s="114"/>
      <c r="RRC14" s="114"/>
      <c r="RRD14" s="114"/>
      <c r="RRE14" s="114"/>
      <c r="RRF14" s="114"/>
      <c r="RRG14" s="114"/>
      <c r="RRH14" s="114"/>
      <c r="RRI14" s="114"/>
      <c r="RRJ14" s="114"/>
      <c r="RRK14" s="114"/>
      <c r="RRL14" s="114"/>
      <c r="RRM14" s="114"/>
      <c r="RRN14" s="114"/>
      <c r="RRO14" s="114"/>
      <c r="RRP14" s="114"/>
      <c r="RRQ14" s="114"/>
      <c r="RRR14" s="114"/>
      <c r="RRS14" s="114"/>
      <c r="RRT14" s="114"/>
      <c r="RRU14" s="114"/>
      <c r="RRV14" s="114"/>
      <c r="RRW14" s="114"/>
      <c r="RRX14" s="114"/>
      <c r="RRY14" s="114"/>
      <c r="RRZ14" s="114"/>
      <c r="RSA14" s="114"/>
      <c r="RSB14" s="114"/>
      <c r="RSC14" s="114"/>
      <c r="RSD14" s="114"/>
      <c r="RSE14" s="114"/>
      <c r="RSF14" s="114"/>
      <c r="RSG14" s="114"/>
      <c r="RSH14" s="114"/>
      <c r="RSI14" s="114"/>
      <c r="RSJ14" s="114"/>
      <c r="RSK14" s="114"/>
      <c r="RSL14" s="114"/>
      <c r="RSM14" s="114"/>
      <c r="RSN14" s="114"/>
      <c r="RSO14" s="114"/>
      <c r="RSP14" s="114"/>
      <c r="RSQ14" s="114"/>
      <c r="RSR14" s="114"/>
      <c r="RSS14" s="114"/>
      <c r="RST14" s="114"/>
      <c r="RSU14" s="114"/>
      <c r="RSV14" s="114"/>
      <c r="RSW14" s="114"/>
      <c r="RSX14" s="114"/>
      <c r="RSY14" s="114"/>
      <c r="RSZ14" s="114"/>
      <c r="RTA14" s="114"/>
      <c r="RTB14" s="114"/>
      <c r="RTC14" s="114"/>
      <c r="RTD14" s="114"/>
      <c r="RTE14" s="114"/>
      <c r="RTF14" s="114"/>
      <c r="RTG14" s="114"/>
      <c r="RTH14" s="114"/>
      <c r="RTI14" s="114"/>
      <c r="RTJ14" s="114"/>
      <c r="RTK14" s="114"/>
      <c r="RTL14" s="114"/>
      <c r="RTM14" s="114"/>
      <c r="RTN14" s="114"/>
      <c r="RTO14" s="114"/>
      <c r="RTP14" s="114"/>
      <c r="RTQ14" s="114"/>
      <c r="RTR14" s="114"/>
      <c r="RTS14" s="114"/>
      <c r="RTT14" s="114"/>
      <c r="RTU14" s="114"/>
      <c r="RTV14" s="114"/>
      <c r="RTW14" s="114"/>
      <c r="RTX14" s="114"/>
      <c r="RTY14" s="114"/>
      <c r="RTZ14" s="114"/>
      <c r="RUA14" s="114"/>
      <c r="RUB14" s="114"/>
      <c r="RUC14" s="114"/>
      <c r="RUD14" s="114"/>
      <c r="RUE14" s="114"/>
      <c r="RUF14" s="114"/>
      <c r="RUG14" s="114"/>
      <c r="RUH14" s="114"/>
      <c r="RUI14" s="114"/>
      <c r="RUJ14" s="114"/>
      <c r="RUK14" s="114"/>
      <c r="RUL14" s="114"/>
      <c r="RUM14" s="114"/>
      <c r="RUN14" s="114"/>
      <c r="RUO14" s="114"/>
      <c r="RUP14" s="114"/>
      <c r="RUQ14" s="114"/>
      <c r="RUR14" s="114"/>
      <c r="RUS14" s="114"/>
      <c r="RUT14" s="114"/>
      <c r="RUU14" s="114"/>
      <c r="RUV14" s="114"/>
      <c r="RUW14" s="114"/>
      <c r="RUX14" s="114"/>
      <c r="RUY14" s="114"/>
      <c r="RUZ14" s="114"/>
      <c r="RVA14" s="114"/>
      <c r="RVB14" s="114"/>
      <c r="RVC14" s="114"/>
      <c r="RVD14" s="114"/>
      <c r="RVE14" s="114"/>
      <c r="RVF14" s="114"/>
      <c r="RVG14" s="114"/>
      <c r="RVH14" s="114"/>
      <c r="RVI14" s="114"/>
      <c r="RVJ14" s="114"/>
      <c r="RVK14" s="114"/>
      <c r="RVL14" s="114"/>
      <c r="RVM14" s="114"/>
      <c r="RVN14" s="114"/>
      <c r="RVO14" s="114"/>
      <c r="RVP14" s="114"/>
      <c r="RVQ14" s="114"/>
      <c r="RVR14" s="114"/>
      <c r="RVS14" s="114"/>
      <c r="RVT14" s="114"/>
      <c r="RVU14" s="114"/>
      <c r="RVV14" s="114"/>
      <c r="RVW14" s="114"/>
      <c r="RVX14" s="114"/>
      <c r="RVY14" s="114"/>
      <c r="RVZ14" s="114"/>
      <c r="RWA14" s="114"/>
      <c r="RWB14" s="114"/>
      <c r="RWC14" s="114"/>
      <c r="RWD14" s="114"/>
      <c r="RWE14" s="114"/>
      <c r="RWF14" s="114"/>
      <c r="RWG14" s="114"/>
      <c r="RWH14" s="114"/>
      <c r="RWI14" s="114"/>
      <c r="RWJ14" s="114"/>
      <c r="RWK14" s="114"/>
      <c r="RWL14" s="114"/>
      <c r="RWM14" s="114"/>
      <c r="RWN14" s="114"/>
      <c r="RWO14" s="114"/>
      <c r="RWP14" s="114"/>
      <c r="RWQ14" s="114"/>
      <c r="RWR14" s="114"/>
      <c r="RWS14" s="114"/>
      <c r="RWT14" s="114"/>
      <c r="RWU14" s="114"/>
      <c r="RWV14" s="114"/>
      <c r="RWW14" s="114"/>
      <c r="RWX14" s="114"/>
      <c r="RWY14" s="114"/>
      <c r="RWZ14" s="114"/>
      <c r="RXA14" s="114"/>
      <c r="RXB14" s="114"/>
      <c r="RXC14" s="114"/>
      <c r="RXD14" s="114"/>
      <c r="RXE14" s="114"/>
      <c r="RXF14" s="114"/>
      <c r="RXG14" s="114"/>
      <c r="RXH14" s="114"/>
      <c r="RXI14" s="114"/>
      <c r="RXJ14" s="114"/>
      <c r="RXK14" s="114"/>
      <c r="RXL14" s="114"/>
      <c r="RXM14" s="114"/>
      <c r="RXN14" s="114"/>
      <c r="RXO14" s="114"/>
      <c r="RXP14" s="114"/>
      <c r="RXQ14" s="114"/>
      <c r="RXR14" s="114"/>
      <c r="RXS14" s="114"/>
      <c r="RXT14" s="114"/>
      <c r="RXU14" s="114"/>
      <c r="RXV14" s="114"/>
      <c r="RXW14" s="114"/>
      <c r="RXX14" s="114"/>
      <c r="RXY14" s="114"/>
      <c r="RXZ14" s="114"/>
      <c r="RYA14" s="114"/>
      <c r="RYB14" s="114"/>
      <c r="RYC14" s="114"/>
      <c r="RYD14" s="114"/>
      <c r="RYE14" s="114"/>
      <c r="RYF14" s="114"/>
      <c r="RYG14" s="114"/>
      <c r="RYH14" s="114"/>
      <c r="RYI14" s="114"/>
      <c r="RYJ14" s="114"/>
      <c r="RYK14" s="114"/>
      <c r="RYL14" s="114"/>
      <c r="RYM14" s="114"/>
      <c r="RYN14" s="114"/>
      <c r="RYO14" s="114"/>
      <c r="RYP14" s="114"/>
      <c r="RYQ14" s="114"/>
      <c r="RYR14" s="114"/>
      <c r="RYS14" s="114"/>
      <c r="RYT14" s="114"/>
      <c r="RYU14" s="114"/>
      <c r="RYV14" s="114"/>
      <c r="RYW14" s="114"/>
      <c r="RYX14" s="114"/>
      <c r="RYY14" s="114"/>
      <c r="RYZ14" s="114"/>
      <c r="RZA14" s="114"/>
      <c r="RZB14" s="114"/>
      <c r="RZC14" s="114"/>
      <c r="RZD14" s="114"/>
      <c r="RZE14" s="114"/>
      <c r="RZF14" s="114"/>
      <c r="RZG14" s="114"/>
      <c r="RZH14" s="114"/>
      <c r="RZI14" s="114"/>
      <c r="RZJ14" s="114"/>
      <c r="RZK14" s="114"/>
      <c r="RZL14" s="114"/>
      <c r="RZM14" s="114"/>
      <c r="RZN14" s="114"/>
      <c r="RZO14" s="114"/>
      <c r="RZP14" s="114"/>
      <c r="RZQ14" s="114"/>
      <c r="RZR14" s="114"/>
      <c r="RZS14" s="114"/>
      <c r="RZT14" s="114"/>
      <c r="RZU14" s="114"/>
      <c r="RZV14" s="114"/>
      <c r="RZW14" s="114"/>
      <c r="RZX14" s="114"/>
      <c r="RZY14" s="114"/>
      <c r="RZZ14" s="114"/>
      <c r="SAA14" s="114"/>
      <c r="SAB14" s="114"/>
      <c r="SAC14" s="114"/>
      <c r="SAD14" s="114"/>
      <c r="SAE14" s="114"/>
      <c r="SAF14" s="114"/>
      <c r="SAG14" s="114"/>
      <c r="SAH14" s="114"/>
      <c r="SAI14" s="114"/>
      <c r="SAJ14" s="114"/>
      <c r="SAK14" s="114"/>
      <c r="SAL14" s="114"/>
      <c r="SAM14" s="114"/>
      <c r="SAN14" s="114"/>
      <c r="SAO14" s="114"/>
      <c r="SAP14" s="114"/>
      <c r="SAQ14" s="114"/>
      <c r="SAR14" s="114"/>
      <c r="SAS14" s="114"/>
      <c r="SAT14" s="114"/>
      <c r="SAU14" s="114"/>
      <c r="SAV14" s="114"/>
      <c r="SAW14" s="114"/>
      <c r="SAX14" s="114"/>
      <c r="SAY14" s="114"/>
      <c r="SAZ14" s="114"/>
      <c r="SBA14" s="114"/>
      <c r="SBB14" s="114"/>
      <c r="SBC14" s="114"/>
      <c r="SBD14" s="114"/>
      <c r="SBE14" s="114"/>
      <c r="SBF14" s="114"/>
      <c r="SBG14" s="114"/>
      <c r="SBH14" s="114"/>
      <c r="SBI14" s="114"/>
      <c r="SBJ14" s="114"/>
      <c r="SBK14" s="114"/>
      <c r="SBL14" s="114"/>
      <c r="SBM14" s="114"/>
      <c r="SBN14" s="114"/>
      <c r="SBO14" s="114"/>
      <c r="SBP14" s="114"/>
      <c r="SBQ14" s="114"/>
      <c r="SBR14" s="114"/>
      <c r="SBS14" s="114"/>
      <c r="SBT14" s="114"/>
      <c r="SBU14" s="114"/>
      <c r="SBV14" s="114"/>
      <c r="SBW14" s="114"/>
      <c r="SBX14" s="114"/>
      <c r="SBY14" s="114"/>
      <c r="SBZ14" s="114"/>
      <c r="SCA14" s="114"/>
      <c r="SCB14" s="114"/>
      <c r="SCC14" s="114"/>
      <c r="SCD14" s="114"/>
      <c r="SCE14" s="114"/>
      <c r="SCF14" s="114"/>
      <c r="SCG14" s="114"/>
      <c r="SCH14" s="114"/>
      <c r="SCI14" s="114"/>
      <c r="SCJ14" s="114"/>
      <c r="SCK14" s="114"/>
      <c r="SCL14" s="114"/>
      <c r="SCM14" s="114"/>
      <c r="SCN14" s="114"/>
      <c r="SCO14" s="114"/>
      <c r="SCP14" s="114"/>
      <c r="SCQ14" s="114"/>
      <c r="SCR14" s="114"/>
      <c r="SCS14" s="114"/>
      <c r="SCT14" s="114"/>
      <c r="SCU14" s="114"/>
      <c r="SCV14" s="114"/>
      <c r="SCW14" s="114"/>
      <c r="SCX14" s="114"/>
      <c r="SCY14" s="114"/>
      <c r="SCZ14" s="114"/>
      <c r="SDA14" s="114"/>
      <c r="SDB14" s="114"/>
      <c r="SDC14" s="114"/>
      <c r="SDD14" s="114"/>
      <c r="SDE14" s="114"/>
      <c r="SDF14" s="114"/>
      <c r="SDG14" s="114"/>
      <c r="SDH14" s="114"/>
      <c r="SDI14" s="114"/>
      <c r="SDJ14" s="114"/>
      <c r="SDK14" s="114"/>
      <c r="SDL14" s="114"/>
      <c r="SDM14" s="114"/>
      <c r="SDN14" s="114"/>
      <c r="SDO14" s="114"/>
      <c r="SDP14" s="114"/>
      <c r="SDQ14" s="114"/>
      <c r="SDR14" s="114"/>
      <c r="SDS14" s="114"/>
      <c r="SDT14" s="114"/>
      <c r="SDU14" s="114"/>
      <c r="SDV14" s="114"/>
      <c r="SDW14" s="114"/>
      <c r="SDX14" s="114"/>
      <c r="SDY14" s="114"/>
      <c r="SDZ14" s="114"/>
      <c r="SEA14" s="114"/>
      <c r="SEB14" s="114"/>
      <c r="SEC14" s="114"/>
      <c r="SED14" s="114"/>
      <c r="SEE14" s="114"/>
      <c r="SEF14" s="114"/>
      <c r="SEG14" s="114"/>
      <c r="SEH14" s="114"/>
      <c r="SEI14" s="114"/>
      <c r="SEJ14" s="114"/>
      <c r="SEK14" s="114"/>
      <c r="SEL14" s="114"/>
      <c r="SEM14" s="114"/>
      <c r="SEN14" s="114"/>
      <c r="SEO14" s="114"/>
      <c r="SEP14" s="114"/>
      <c r="SEQ14" s="114"/>
      <c r="SER14" s="114"/>
      <c r="SES14" s="114"/>
      <c r="SET14" s="114"/>
      <c r="SEU14" s="114"/>
      <c r="SEV14" s="114"/>
      <c r="SEW14" s="114"/>
      <c r="SEX14" s="114"/>
      <c r="SEY14" s="114"/>
      <c r="SEZ14" s="114"/>
      <c r="SFA14" s="114"/>
      <c r="SFB14" s="114"/>
      <c r="SFC14" s="114"/>
      <c r="SFD14" s="114"/>
      <c r="SFE14" s="114"/>
      <c r="SFF14" s="114"/>
      <c r="SFG14" s="114"/>
      <c r="SFH14" s="114"/>
      <c r="SFI14" s="114"/>
      <c r="SFJ14" s="114"/>
      <c r="SFK14" s="114"/>
      <c r="SFL14" s="114"/>
      <c r="SFM14" s="114"/>
      <c r="SFN14" s="114"/>
      <c r="SFO14" s="114"/>
      <c r="SFP14" s="114"/>
      <c r="SFQ14" s="114"/>
      <c r="SFR14" s="114"/>
      <c r="SFS14" s="114"/>
      <c r="SFT14" s="114"/>
      <c r="SFU14" s="114"/>
      <c r="SFV14" s="114"/>
      <c r="SFW14" s="114"/>
      <c r="SFX14" s="114"/>
      <c r="SFY14" s="114"/>
      <c r="SFZ14" s="114"/>
      <c r="SGA14" s="114"/>
      <c r="SGB14" s="114"/>
      <c r="SGC14" s="114"/>
      <c r="SGD14" s="114"/>
      <c r="SGE14" s="114"/>
      <c r="SGF14" s="114"/>
      <c r="SGG14" s="114"/>
      <c r="SGH14" s="114"/>
      <c r="SGI14" s="114"/>
      <c r="SGJ14" s="114"/>
      <c r="SGK14" s="114"/>
      <c r="SGL14" s="114"/>
      <c r="SGM14" s="114"/>
      <c r="SGN14" s="114"/>
      <c r="SGO14" s="114"/>
      <c r="SGP14" s="114"/>
      <c r="SGQ14" s="114"/>
      <c r="SGR14" s="114"/>
      <c r="SGS14" s="114"/>
      <c r="SGT14" s="114"/>
      <c r="SGU14" s="114"/>
      <c r="SGV14" s="114"/>
      <c r="SGW14" s="114"/>
      <c r="SGX14" s="114"/>
      <c r="SGY14" s="114"/>
      <c r="SGZ14" s="114"/>
      <c r="SHA14" s="114"/>
      <c r="SHB14" s="114"/>
      <c r="SHC14" s="114"/>
      <c r="SHD14" s="114"/>
      <c r="SHE14" s="114"/>
      <c r="SHF14" s="114"/>
      <c r="SHG14" s="114"/>
      <c r="SHH14" s="114"/>
      <c r="SHI14" s="114"/>
      <c r="SHJ14" s="114"/>
      <c r="SHK14" s="114"/>
      <c r="SHL14" s="114"/>
      <c r="SHM14" s="114"/>
      <c r="SHN14" s="114"/>
      <c r="SHO14" s="114"/>
      <c r="SHP14" s="114"/>
      <c r="SHQ14" s="114"/>
      <c r="SHR14" s="114"/>
      <c r="SHS14" s="114"/>
      <c r="SHT14" s="114"/>
      <c r="SHU14" s="114"/>
      <c r="SHV14" s="114"/>
      <c r="SHW14" s="114"/>
      <c r="SHX14" s="114"/>
      <c r="SHY14" s="114"/>
      <c r="SHZ14" s="114"/>
      <c r="SIA14" s="114"/>
      <c r="SIB14" s="114"/>
      <c r="SIC14" s="114"/>
      <c r="SID14" s="114"/>
      <c r="SIE14" s="114"/>
      <c r="SIF14" s="114"/>
      <c r="SIG14" s="114"/>
      <c r="SIH14" s="114"/>
      <c r="SII14" s="114"/>
      <c r="SIJ14" s="114"/>
      <c r="SIK14" s="114"/>
      <c r="SIL14" s="114"/>
      <c r="SIM14" s="114"/>
      <c r="SIN14" s="114"/>
      <c r="SIO14" s="114"/>
      <c r="SIP14" s="114"/>
      <c r="SIQ14" s="114"/>
      <c r="SIR14" s="114"/>
      <c r="SIS14" s="114"/>
      <c r="SIT14" s="114"/>
      <c r="SIU14" s="114"/>
      <c r="SIV14" s="114"/>
      <c r="SIW14" s="114"/>
      <c r="SIX14" s="114"/>
      <c r="SIY14" s="114"/>
      <c r="SIZ14" s="114"/>
      <c r="SJA14" s="114"/>
      <c r="SJB14" s="114"/>
      <c r="SJC14" s="114"/>
      <c r="SJD14" s="114"/>
      <c r="SJE14" s="114"/>
      <c r="SJF14" s="114"/>
      <c r="SJG14" s="114"/>
      <c r="SJH14" s="114"/>
      <c r="SJI14" s="114"/>
      <c r="SJJ14" s="114"/>
      <c r="SJK14" s="114"/>
      <c r="SJL14" s="114"/>
      <c r="SJM14" s="114"/>
      <c r="SJN14" s="114"/>
      <c r="SJO14" s="114"/>
      <c r="SJP14" s="114"/>
      <c r="SJQ14" s="114"/>
      <c r="SJR14" s="114"/>
      <c r="SJS14" s="114"/>
      <c r="SJT14" s="114"/>
      <c r="SJU14" s="114"/>
      <c r="SJV14" s="114"/>
      <c r="SJW14" s="114"/>
      <c r="SJX14" s="114"/>
      <c r="SJY14" s="114"/>
      <c r="SJZ14" s="114"/>
      <c r="SKA14" s="114"/>
      <c r="SKB14" s="114"/>
      <c r="SKC14" s="114"/>
      <c r="SKD14" s="114"/>
      <c r="SKE14" s="114"/>
      <c r="SKF14" s="114"/>
      <c r="SKG14" s="114"/>
      <c r="SKH14" s="114"/>
      <c r="SKI14" s="114"/>
      <c r="SKJ14" s="114"/>
      <c r="SKK14" s="114"/>
      <c r="SKL14" s="114"/>
      <c r="SKM14" s="114"/>
      <c r="SKN14" s="114"/>
      <c r="SKO14" s="114"/>
      <c r="SKP14" s="114"/>
      <c r="SKQ14" s="114"/>
      <c r="SKR14" s="114"/>
      <c r="SKS14" s="114"/>
      <c r="SKT14" s="114"/>
      <c r="SKU14" s="114"/>
      <c r="SKV14" s="114"/>
      <c r="SKW14" s="114"/>
      <c r="SKX14" s="114"/>
      <c r="SKY14" s="114"/>
      <c r="SKZ14" s="114"/>
      <c r="SLA14" s="114"/>
      <c r="SLB14" s="114"/>
      <c r="SLC14" s="114"/>
      <c r="SLD14" s="114"/>
      <c r="SLE14" s="114"/>
      <c r="SLF14" s="114"/>
      <c r="SLG14" s="114"/>
      <c r="SLH14" s="114"/>
      <c r="SLI14" s="114"/>
      <c r="SLJ14" s="114"/>
      <c r="SLK14" s="114"/>
      <c r="SLL14" s="114"/>
      <c r="SLM14" s="114"/>
      <c r="SLN14" s="114"/>
      <c r="SLO14" s="114"/>
      <c r="SLP14" s="114"/>
      <c r="SLQ14" s="114"/>
      <c r="SLR14" s="114"/>
      <c r="SLS14" s="114"/>
      <c r="SLT14" s="114"/>
      <c r="SLU14" s="114"/>
      <c r="SLV14" s="114"/>
      <c r="SLW14" s="114"/>
      <c r="SLX14" s="114"/>
      <c r="SLY14" s="114"/>
      <c r="SLZ14" s="114"/>
      <c r="SMA14" s="114"/>
      <c r="SMB14" s="114"/>
      <c r="SMC14" s="114"/>
      <c r="SMD14" s="114"/>
      <c r="SME14" s="114"/>
      <c r="SMF14" s="114"/>
      <c r="SMG14" s="114"/>
      <c r="SMH14" s="114"/>
      <c r="SMI14" s="114"/>
      <c r="SMJ14" s="114"/>
      <c r="SMK14" s="114"/>
      <c r="SML14" s="114"/>
      <c r="SMM14" s="114"/>
      <c r="SMN14" s="114"/>
      <c r="SMO14" s="114"/>
      <c r="SMP14" s="114"/>
      <c r="SMQ14" s="114"/>
      <c r="SMR14" s="114"/>
      <c r="SMS14" s="114"/>
      <c r="SMT14" s="114"/>
      <c r="SMU14" s="114"/>
      <c r="SMV14" s="114"/>
      <c r="SMW14" s="114"/>
      <c r="SMX14" s="114"/>
      <c r="SMY14" s="114"/>
      <c r="SMZ14" s="114"/>
      <c r="SNA14" s="114"/>
      <c r="SNB14" s="114"/>
      <c r="SNC14" s="114"/>
      <c r="SND14" s="114"/>
      <c r="SNE14" s="114"/>
      <c r="SNF14" s="114"/>
      <c r="SNG14" s="114"/>
      <c r="SNH14" s="114"/>
      <c r="SNI14" s="114"/>
      <c r="SNJ14" s="114"/>
      <c r="SNK14" s="114"/>
      <c r="SNL14" s="114"/>
      <c r="SNM14" s="114"/>
      <c r="SNN14" s="114"/>
      <c r="SNO14" s="114"/>
      <c r="SNP14" s="114"/>
      <c r="SNQ14" s="114"/>
      <c r="SNR14" s="114"/>
      <c r="SNS14" s="114"/>
      <c r="SNT14" s="114"/>
      <c r="SNU14" s="114"/>
      <c r="SNV14" s="114"/>
      <c r="SNW14" s="114"/>
      <c r="SNX14" s="114"/>
      <c r="SNY14" s="114"/>
      <c r="SNZ14" s="114"/>
      <c r="SOA14" s="114"/>
      <c r="SOB14" s="114"/>
      <c r="SOC14" s="114"/>
      <c r="SOD14" s="114"/>
      <c r="SOE14" s="114"/>
      <c r="SOF14" s="114"/>
      <c r="SOG14" s="114"/>
      <c r="SOH14" s="114"/>
      <c r="SOI14" s="114"/>
      <c r="SOJ14" s="114"/>
      <c r="SOK14" s="114"/>
      <c r="SOL14" s="114"/>
      <c r="SOM14" s="114"/>
      <c r="SON14" s="114"/>
      <c r="SOO14" s="114"/>
      <c r="SOP14" s="114"/>
      <c r="SOQ14" s="114"/>
      <c r="SOR14" s="114"/>
      <c r="SOS14" s="114"/>
      <c r="SOT14" s="114"/>
      <c r="SOU14" s="114"/>
      <c r="SOV14" s="114"/>
      <c r="SOW14" s="114"/>
      <c r="SOX14" s="114"/>
      <c r="SOY14" s="114"/>
      <c r="SOZ14" s="114"/>
      <c r="SPA14" s="114"/>
      <c r="SPB14" s="114"/>
      <c r="SPC14" s="114"/>
      <c r="SPD14" s="114"/>
      <c r="SPE14" s="114"/>
      <c r="SPF14" s="114"/>
      <c r="SPG14" s="114"/>
      <c r="SPH14" s="114"/>
      <c r="SPI14" s="114"/>
      <c r="SPJ14" s="114"/>
      <c r="SPK14" s="114"/>
      <c r="SPL14" s="114"/>
      <c r="SPM14" s="114"/>
      <c r="SPN14" s="114"/>
      <c r="SPO14" s="114"/>
      <c r="SPP14" s="114"/>
      <c r="SPQ14" s="114"/>
      <c r="SPR14" s="114"/>
      <c r="SPS14" s="114"/>
      <c r="SPT14" s="114"/>
      <c r="SPU14" s="114"/>
      <c r="SPV14" s="114"/>
      <c r="SPW14" s="114"/>
      <c r="SPX14" s="114"/>
      <c r="SPY14" s="114"/>
      <c r="SPZ14" s="114"/>
      <c r="SQA14" s="114"/>
      <c r="SQB14" s="114"/>
      <c r="SQC14" s="114"/>
      <c r="SQD14" s="114"/>
      <c r="SQE14" s="114"/>
      <c r="SQF14" s="114"/>
      <c r="SQG14" s="114"/>
      <c r="SQH14" s="114"/>
      <c r="SQI14" s="114"/>
      <c r="SQJ14" s="114"/>
      <c r="SQK14" s="114"/>
      <c r="SQL14" s="114"/>
      <c r="SQM14" s="114"/>
      <c r="SQN14" s="114"/>
      <c r="SQO14" s="114"/>
      <c r="SQP14" s="114"/>
      <c r="SQQ14" s="114"/>
      <c r="SQR14" s="114"/>
      <c r="SQS14" s="114"/>
      <c r="SQT14" s="114"/>
      <c r="SQU14" s="114"/>
      <c r="SQV14" s="114"/>
      <c r="SQW14" s="114"/>
      <c r="SQX14" s="114"/>
      <c r="SQY14" s="114"/>
      <c r="SQZ14" s="114"/>
      <c r="SRA14" s="114"/>
      <c r="SRB14" s="114"/>
      <c r="SRC14" s="114"/>
      <c r="SRD14" s="114"/>
      <c r="SRE14" s="114"/>
      <c r="SRF14" s="114"/>
      <c r="SRG14" s="114"/>
      <c r="SRH14" s="114"/>
      <c r="SRI14" s="114"/>
      <c r="SRJ14" s="114"/>
      <c r="SRK14" s="114"/>
      <c r="SRL14" s="114"/>
      <c r="SRM14" s="114"/>
      <c r="SRN14" s="114"/>
      <c r="SRO14" s="114"/>
      <c r="SRP14" s="114"/>
      <c r="SRQ14" s="114"/>
      <c r="SRR14" s="114"/>
      <c r="SRS14" s="114"/>
      <c r="SRT14" s="114"/>
      <c r="SRU14" s="114"/>
      <c r="SRV14" s="114"/>
      <c r="SRW14" s="114"/>
      <c r="SRX14" s="114"/>
      <c r="SRY14" s="114"/>
      <c r="SRZ14" s="114"/>
      <c r="SSA14" s="114"/>
      <c r="SSB14" s="114"/>
      <c r="SSC14" s="114"/>
      <c r="SSD14" s="114"/>
      <c r="SSE14" s="114"/>
      <c r="SSF14" s="114"/>
      <c r="SSG14" s="114"/>
      <c r="SSH14" s="114"/>
      <c r="SSI14" s="114"/>
      <c r="SSJ14" s="114"/>
      <c r="SSK14" s="114"/>
      <c r="SSL14" s="114"/>
      <c r="SSM14" s="114"/>
      <c r="SSN14" s="114"/>
      <c r="SSO14" s="114"/>
      <c r="SSP14" s="114"/>
      <c r="SSQ14" s="114"/>
      <c r="SSR14" s="114"/>
      <c r="SSS14" s="114"/>
      <c r="SST14" s="114"/>
      <c r="SSU14" s="114"/>
      <c r="SSV14" s="114"/>
      <c r="SSW14" s="114"/>
      <c r="SSX14" s="114"/>
      <c r="SSY14" s="114"/>
      <c r="SSZ14" s="114"/>
      <c r="STA14" s="114"/>
      <c r="STB14" s="114"/>
      <c r="STC14" s="114"/>
      <c r="STD14" s="114"/>
      <c r="STE14" s="114"/>
      <c r="STF14" s="114"/>
      <c r="STG14" s="114"/>
      <c r="STH14" s="114"/>
      <c r="STI14" s="114"/>
      <c r="STJ14" s="114"/>
      <c r="STK14" s="114"/>
      <c r="STL14" s="114"/>
      <c r="STM14" s="114"/>
      <c r="STN14" s="114"/>
      <c r="STO14" s="114"/>
      <c r="STP14" s="114"/>
      <c r="STQ14" s="114"/>
      <c r="STR14" s="114"/>
      <c r="STS14" s="114"/>
      <c r="STT14" s="114"/>
      <c r="STU14" s="114"/>
      <c r="STV14" s="114"/>
      <c r="STW14" s="114"/>
      <c r="STX14" s="114"/>
      <c r="STY14" s="114"/>
      <c r="STZ14" s="114"/>
      <c r="SUA14" s="114"/>
      <c r="SUB14" s="114"/>
      <c r="SUC14" s="114"/>
      <c r="SUD14" s="114"/>
      <c r="SUE14" s="114"/>
      <c r="SUF14" s="114"/>
      <c r="SUG14" s="114"/>
      <c r="SUH14" s="114"/>
      <c r="SUI14" s="114"/>
      <c r="SUJ14" s="114"/>
      <c r="SUK14" s="114"/>
      <c r="SUL14" s="114"/>
      <c r="SUM14" s="114"/>
      <c r="SUN14" s="114"/>
      <c r="SUO14" s="114"/>
      <c r="SUP14" s="114"/>
      <c r="SUQ14" s="114"/>
      <c r="SUR14" s="114"/>
      <c r="SUS14" s="114"/>
      <c r="SUT14" s="114"/>
      <c r="SUU14" s="114"/>
      <c r="SUV14" s="114"/>
      <c r="SUW14" s="114"/>
      <c r="SUX14" s="114"/>
      <c r="SUY14" s="114"/>
      <c r="SUZ14" s="114"/>
      <c r="SVA14" s="114"/>
      <c r="SVB14" s="114"/>
      <c r="SVC14" s="114"/>
      <c r="SVD14" s="114"/>
      <c r="SVE14" s="114"/>
      <c r="SVF14" s="114"/>
      <c r="SVG14" s="114"/>
      <c r="SVH14" s="114"/>
      <c r="SVI14" s="114"/>
      <c r="SVJ14" s="114"/>
      <c r="SVK14" s="114"/>
      <c r="SVL14" s="114"/>
      <c r="SVM14" s="114"/>
      <c r="SVN14" s="114"/>
      <c r="SVO14" s="114"/>
      <c r="SVP14" s="114"/>
      <c r="SVQ14" s="114"/>
      <c r="SVR14" s="114"/>
      <c r="SVS14" s="114"/>
      <c r="SVT14" s="114"/>
      <c r="SVU14" s="114"/>
      <c r="SVV14" s="114"/>
      <c r="SVW14" s="114"/>
      <c r="SVX14" s="114"/>
      <c r="SVY14" s="114"/>
      <c r="SVZ14" s="114"/>
      <c r="SWA14" s="114"/>
      <c r="SWB14" s="114"/>
      <c r="SWC14" s="114"/>
      <c r="SWD14" s="114"/>
      <c r="SWE14" s="114"/>
      <c r="SWF14" s="114"/>
      <c r="SWG14" s="114"/>
      <c r="SWH14" s="114"/>
      <c r="SWI14" s="114"/>
      <c r="SWJ14" s="114"/>
      <c r="SWK14" s="114"/>
      <c r="SWL14" s="114"/>
      <c r="SWM14" s="114"/>
      <c r="SWN14" s="114"/>
      <c r="SWO14" s="114"/>
      <c r="SWP14" s="114"/>
      <c r="SWQ14" s="114"/>
      <c r="SWR14" s="114"/>
      <c r="SWS14" s="114"/>
      <c r="SWT14" s="114"/>
      <c r="SWU14" s="114"/>
      <c r="SWV14" s="114"/>
      <c r="SWW14" s="114"/>
      <c r="SWX14" s="114"/>
      <c r="SWY14" s="114"/>
      <c r="SWZ14" s="114"/>
      <c r="SXA14" s="114"/>
      <c r="SXB14" s="114"/>
      <c r="SXC14" s="114"/>
      <c r="SXD14" s="114"/>
      <c r="SXE14" s="114"/>
      <c r="SXF14" s="114"/>
      <c r="SXG14" s="114"/>
      <c r="SXH14" s="114"/>
      <c r="SXI14" s="114"/>
      <c r="SXJ14" s="114"/>
      <c r="SXK14" s="114"/>
      <c r="SXL14" s="114"/>
      <c r="SXM14" s="114"/>
      <c r="SXN14" s="114"/>
      <c r="SXO14" s="114"/>
      <c r="SXP14" s="114"/>
      <c r="SXQ14" s="114"/>
      <c r="SXR14" s="114"/>
      <c r="SXS14" s="114"/>
      <c r="SXT14" s="114"/>
      <c r="SXU14" s="114"/>
      <c r="SXV14" s="114"/>
      <c r="SXW14" s="114"/>
      <c r="SXX14" s="114"/>
      <c r="SXY14" s="114"/>
      <c r="SXZ14" s="114"/>
      <c r="SYA14" s="114"/>
      <c r="SYB14" s="114"/>
      <c r="SYC14" s="114"/>
      <c r="SYD14" s="114"/>
      <c r="SYE14" s="114"/>
      <c r="SYF14" s="114"/>
      <c r="SYG14" s="114"/>
      <c r="SYH14" s="114"/>
      <c r="SYI14" s="114"/>
      <c r="SYJ14" s="114"/>
      <c r="SYK14" s="114"/>
      <c r="SYL14" s="114"/>
      <c r="SYM14" s="114"/>
      <c r="SYN14" s="114"/>
      <c r="SYO14" s="114"/>
      <c r="SYP14" s="114"/>
      <c r="SYQ14" s="114"/>
      <c r="SYR14" s="114"/>
      <c r="SYS14" s="114"/>
      <c r="SYT14" s="114"/>
      <c r="SYU14" s="114"/>
      <c r="SYV14" s="114"/>
      <c r="SYW14" s="114"/>
      <c r="SYX14" s="114"/>
      <c r="SYY14" s="114"/>
      <c r="SYZ14" s="114"/>
      <c r="SZA14" s="114"/>
      <c r="SZB14" s="114"/>
      <c r="SZC14" s="114"/>
      <c r="SZD14" s="114"/>
      <c r="SZE14" s="114"/>
      <c r="SZF14" s="114"/>
      <c r="SZG14" s="114"/>
      <c r="SZH14" s="114"/>
      <c r="SZI14" s="114"/>
      <c r="SZJ14" s="114"/>
      <c r="SZK14" s="114"/>
      <c r="SZL14" s="114"/>
      <c r="SZM14" s="114"/>
      <c r="SZN14" s="114"/>
      <c r="SZO14" s="114"/>
      <c r="SZP14" s="114"/>
      <c r="SZQ14" s="114"/>
      <c r="SZR14" s="114"/>
      <c r="SZS14" s="114"/>
      <c r="SZT14" s="114"/>
      <c r="SZU14" s="114"/>
      <c r="SZV14" s="114"/>
      <c r="SZW14" s="114"/>
      <c r="SZX14" s="114"/>
      <c r="SZY14" s="114"/>
      <c r="SZZ14" s="114"/>
      <c r="TAA14" s="114"/>
      <c r="TAB14" s="114"/>
      <c r="TAC14" s="114"/>
      <c r="TAD14" s="114"/>
      <c r="TAE14" s="114"/>
      <c r="TAF14" s="114"/>
      <c r="TAG14" s="114"/>
      <c r="TAH14" s="114"/>
      <c r="TAI14" s="114"/>
      <c r="TAJ14" s="114"/>
      <c r="TAK14" s="114"/>
      <c r="TAL14" s="114"/>
      <c r="TAM14" s="114"/>
      <c r="TAN14" s="114"/>
      <c r="TAO14" s="114"/>
      <c r="TAP14" s="114"/>
      <c r="TAQ14" s="114"/>
      <c r="TAR14" s="114"/>
      <c r="TAS14" s="114"/>
      <c r="TAT14" s="114"/>
      <c r="TAU14" s="114"/>
      <c r="TAV14" s="114"/>
      <c r="TAW14" s="114"/>
      <c r="TAX14" s="114"/>
      <c r="TAY14" s="114"/>
      <c r="TAZ14" s="114"/>
      <c r="TBA14" s="114"/>
      <c r="TBB14" s="114"/>
      <c r="TBC14" s="114"/>
      <c r="TBD14" s="114"/>
      <c r="TBE14" s="114"/>
      <c r="TBF14" s="114"/>
      <c r="TBG14" s="114"/>
      <c r="TBH14" s="114"/>
      <c r="TBI14" s="114"/>
      <c r="TBJ14" s="114"/>
      <c r="TBK14" s="114"/>
      <c r="TBL14" s="114"/>
      <c r="TBM14" s="114"/>
      <c r="TBN14" s="114"/>
      <c r="TBO14" s="114"/>
      <c r="TBP14" s="114"/>
      <c r="TBQ14" s="114"/>
      <c r="TBR14" s="114"/>
      <c r="TBS14" s="114"/>
      <c r="TBT14" s="114"/>
      <c r="TBU14" s="114"/>
      <c r="TBV14" s="114"/>
      <c r="TBW14" s="114"/>
      <c r="TBX14" s="114"/>
      <c r="TBY14" s="114"/>
      <c r="TBZ14" s="114"/>
      <c r="TCA14" s="114"/>
      <c r="TCB14" s="114"/>
      <c r="TCC14" s="114"/>
      <c r="TCD14" s="114"/>
      <c r="TCE14" s="114"/>
      <c r="TCF14" s="114"/>
      <c r="TCG14" s="114"/>
      <c r="TCH14" s="114"/>
      <c r="TCI14" s="114"/>
      <c r="TCJ14" s="114"/>
      <c r="TCK14" s="114"/>
      <c r="TCL14" s="114"/>
      <c r="TCM14" s="114"/>
      <c r="TCN14" s="114"/>
      <c r="TCO14" s="114"/>
      <c r="TCP14" s="114"/>
      <c r="TCQ14" s="114"/>
      <c r="TCR14" s="114"/>
      <c r="TCS14" s="114"/>
      <c r="TCT14" s="114"/>
      <c r="TCU14" s="114"/>
      <c r="TCV14" s="114"/>
      <c r="TCW14" s="114"/>
      <c r="TCX14" s="114"/>
      <c r="TCY14" s="114"/>
      <c r="TCZ14" s="114"/>
      <c r="TDA14" s="114"/>
      <c r="TDB14" s="114"/>
      <c r="TDC14" s="114"/>
      <c r="TDD14" s="114"/>
      <c r="TDE14" s="114"/>
      <c r="TDF14" s="114"/>
      <c r="TDG14" s="114"/>
      <c r="TDH14" s="114"/>
      <c r="TDI14" s="114"/>
      <c r="TDJ14" s="114"/>
      <c r="TDK14" s="114"/>
      <c r="TDL14" s="114"/>
      <c r="TDM14" s="114"/>
      <c r="TDN14" s="114"/>
      <c r="TDO14" s="114"/>
      <c r="TDP14" s="114"/>
      <c r="TDQ14" s="114"/>
      <c r="TDR14" s="114"/>
      <c r="TDS14" s="114"/>
      <c r="TDT14" s="114"/>
      <c r="TDU14" s="114"/>
      <c r="TDV14" s="114"/>
      <c r="TDW14" s="114"/>
      <c r="TDX14" s="114"/>
      <c r="TDY14" s="114"/>
      <c r="TDZ14" s="114"/>
      <c r="TEA14" s="114"/>
      <c r="TEB14" s="114"/>
      <c r="TEC14" s="114"/>
      <c r="TED14" s="114"/>
      <c r="TEE14" s="114"/>
      <c r="TEF14" s="114"/>
      <c r="TEG14" s="114"/>
      <c r="TEH14" s="114"/>
      <c r="TEI14" s="114"/>
      <c r="TEJ14" s="114"/>
      <c r="TEK14" s="114"/>
      <c r="TEL14" s="114"/>
      <c r="TEM14" s="114"/>
      <c r="TEN14" s="114"/>
      <c r="TEO14" s="114"/>
      <c r="TEP14" s="114"/>
      <c r="TEQ14" s="114"/>
      <c r="TER14" s="114"/>
      <c r="TES14" s="114"/>
      <c r="TET14" s="114"/>
      <c r="TEU14" s="114"/>
      <c r="TEV14" s="114"/>
      <c r="TEW14" s="114"/>
      <c r="TEX14" s="114"/>
      <c r="TEY14" s="114"/>
      <c r="TEZ14" s="114"/>
      <c r="TFA14" s="114"/>
      <c r="TFB14" s="114"/>
      <c r="TFC14" s="114"/>
      <c r="TFD14" s="114"/>
      <c r="TFE14" s="114"/>
      <c r="TFF14" s="114"/>
      <c r="TFG14" s="114"/>
      <c r="TFH14" s="114"/>
      <c r="TFI14" s="114"/>
      <c r="TFJ14" s="114"/>
      <c r="TFK14" s="114"/>
      <c r="TFL14" s="114"/>
      <c r="TFM14" s="114"/>
      <c r="TFN14" s="114"/>
      <c r="TFO14" s="114"/>
      <c r="TFP14" s="114"/>
      <c r="TFQ14" s="114"/>
      <c r="TFR14" s="114"/>
      <c r="TFS14" s="114"/>
      <c r="TFT14" s="114"/>
      <c r="TFU14" s="114"/>
      <c r="TFV14" s="114"/>
      <c r="TFW14" s="114"/>
      <c r="TFX14" s="114"/>
      <c r="TFY14" s="114"/>
      <c r="TFZ14" s="114"/>
      <c r="TGA14" s="114"/>
      <c r="TGB14" s="114"/>
      <c r="TGC14" s="114"/>
      <c r="TGD14" s="114"/>
      <c r="TGE14" s="114"/>
      <c r="TGF14" s="114"/>
      <c r="TGG14" s="114"/>
      <c r="TGH14" s="114"/>
      <c r="TGI14" s="114"/>
      <c r="TGJ14" s="114"/>
      <c r="TGK14" s="114"/>
      <c r="TGL14" s="114"/>
      <c r="TGM14" s="114"/>
      <c r="TGN14" s="114"/>
      <c r="TGO14" s="114"/>
      <c r="TGP14" s="114"/>
      <c r="TGQ14" s="114"/>
      <c r="TGR14" s="114"/>
      <c r="TGS14" s="114"/>
      <c r="TGT14" s="114"/>
      <c r="TGU14" s="114"/>
      <c r="TGV14" s="114"/>
      <c r="TGW14" s="114"/>
      <c r="TGX14" s="114"/>
      <c r="TGY14" s="114"/>
      <c r="TGZ14" s="114"/>
      <c r="THA14" s="114"/>
      <c r="THB14" s="114"/>
      <c r="THC14" s="114"/>
      <c r="THD14" s="114"/>
      <c r="THE14" s="114"/>
      <c r="THF14" s="114"/>
      <c r="THG14" s="114"/>
      <c r="THH14" s="114"/>
      <c r="THI14" s="114"/>
      <c r="THJ14" s="114"/>
      <c r="THK14" s="114"/>
      <c r="THL14" s="114"/>
      <c r="THM14" s="114"/>
      <c r="THN14" s="114"/>
      <c r="THO14" s="114"/>
      <c r="THP14" s="114"/>
      <c r="THQ14" s="114"/>
      <c r="THR14" s="114"/>
      <c r="THS14" s="114"/>
      <c r="THT14" s="114"/>
      <c r="THU14" s="114"/>
      <c r="THV14" s="114"/>
      <c r="THW14" s="114"/>
      <c r="THX14" s="114"/>
      <c r="THY14" s="114"/>
      <c r="THZ14" s="114"/>
      <c r="TIA14" s="114"/>
      <c r="TIB14" s="114"/>
      <c r="TIC14" s="114"/>
      <c r="TID14" s="114"/>
      <c r="TIE14" s="114"/>
      <c r="TIF14" s="114"/>
      <c r="TIG14" s="114"/>
      <c r="TIH14" s="114"/>
      <c r="TII14" s="114"/>
      <c r="TIJ14" s="114"/>
      <c r="TIK14" s="114"/>
      <c r="TIL14" s="114"/>
      <c r="TIM14" s="114"/>
      <c r="TIN14" s="114"/>
      <c r="TIO14" s="114"/>
      <c r="TIP14" s="114"/>
      <c r="TIQ14" s="114"/>
      <c r="TIR14" s="114"/>
      <c r="TIS14" s="114"/>
      <c r="TIT14" s="114"/>
      <c r="TIU14" s="114"/>
      <c r="TIV14" s="114"/>
      <c r="TIW14" s="114"/>
      <c r="TIX14" s="114"/>
      <c r="TIY14" s="114"/>
      <c r="TIZ14" s="114"/>
      <c r="TJA14" s="114"/>
      <c r="TJB14" s="114"/>
      <c r="TJC14" s="114"/>
      <c r="TJD14" s="114"/>
      <c r="TJE14" s="114"/>
      <c r="TJF14" s="114"/>
      <c r="TJG14" s="114"/>
      <c r="TJH14" s="114"/>
      <c r="TJI14" s="114"/>
      <c r="TJJ14" s="114"/>
      <c r="TJK14" s="114"/>
      <c r="TJL14" s="114"/>
      <c r="TJM14" s="114"/>
      <c r="TJN14" s="114"/>
      <c r="TJO14" s="114"/>
      <c r="TJP14" s="114"/>
      <c r="TJQ14" s="114"/>
      <c r="TJR14" s="114"/>
      <c r="TJS14" s="114"/>
      <c r="TJT14" s="114"/>
      <c r="TJU14" s="114"/>
      <c r="TJV14" s="114"/>
      <c r="TJW14" s="114"/>
      <c r="TJX14" s="114"/>
      <c r="TJY14" s="114"/>
      <c r="TJZ14" s="114"/>
      <c r="TKA14" s="114"/>
      <c r="TKB14" s="114"/>
      <c r="TKC14" s="114"/>
      <c r="TKD14" s="114"/>
      <c r="TKE14" s="114"/>
      <c r="TKF14" s="114"/>
      <c r="TKG14" s="114"/>
      <c r="TKH14" s="114"/>
      <c r="TKI14" s="114"/>
      <c r="TKJ14" s="114"/>
      <c r="TKK14" s="114"/>
      <c r="TKL14" s="114"/>
      <c r="TKM14" s="114"/>
      <c r="TKN14" s="114"/>
      <c r="TKO14" s="114"/>
      <c r="TKP14" s="114"/>
      <c r="TKQ14" s="114"/>
      <c r="TKR14" s="114"/>
      <c r="TKS14" s="114"/>
      <c r="TKT14" s="114"/>
      <c r="TKU14" s="114"/>
      <c r="TKV14" s="114"/>
      <c r="TKW14" s="114"/>
      <c r="TKX14" s="114"/>
      <c r="TKY14" s="114"/>
      <c r="TKZ14" s="114"/>
      <c r="TLA14" s="114"/>
      <c r="TLB14" s="114"/>
      <c r="TLC14" s="114"/>
      <c r="TLD14" s="114"/>
      <c r="TLE14" s="114"/>
      <c r="TLF14" s="114"/>
      <c r="TLG14" s="114"/>
      <c r="TLH14" s="114"/>
      <c r="TLI14" s="114"/>
      <c r="TLJ14" s="114"/>
      <c r="TLK14" s="114"/>
      <c r="TLL14" s="114"/>
      <c r="TLM14" s="114"/>
      <c r="TLN14" s="114"/>
      <c r="TLO14" s="114"/>
      <c r="TLP14" s="114"/>
      <c r="TLQ14" s="114"/>
      <c r="TLR14" s="114"/>
      <c r="TLS14" s="114"/>
      <c r="TLT14" s="114"/>
      <c r="TLU14" s="114"/>
      <c r="TLV14" s="114"/>
      <c r="TLW14" s="114"/>
      <c r="TLX14" s="114"/>
      <c r="TLY14" s="114"/>
      <c r="TLZ14" s="114"/>
      <c r="TMA14" s="114"/>
      <c r="TMB14" s="114"/>
      <c r="TMC14" s="114"/>
      <c r="TMD14" s="114"/>
      <c r="TME14" s="114"/>
      <c r="TMF14" s="114"/>
      <c r="TMG14" s="114"/>
      <c r="TMH14" s="114"/>
      <c r="TMI14" s="114"/>
      <c r="TMJ14" s="114"/>
      <c r="TMK14" s="114"/>
      <c r="TML14" s="114"/>
      <c r="TMM14" s="114"/>
      <c r="TMN14" s="114"/>
      <c r="TMO14" s="114"/>
      <c r="TMP14" s="114"/>
      <c r="TMQ14" s="114"/>
      <c r="TMR14" s="114"/>
      <c r="TMS14" s="114"/>
      <c r="TMT14" s="114"/>
      <c r="TMU14" s="114"/>
      <c r="TMV14" s="114"/>
      <c r="TMW14" s="114"/>
      <c r="TMX14" s="114"/>
      <c r="TMY14" s="114"/>
      <c r="TMZ14" s="114"/>
      <c r="TNA14" s="114"/>
      <c r="TNB14" s="114"/>
      <c r="TNC14" s="114"/>
      <c r="TND14" s="114"/>
      <c r="TNE14" s="114"/>
      <c r="TNF14" s="114"/>
      <c r="TNG14" s="114"/>
      <c r="TNH14" s="114"/>
      <c r="TNI14" s="114"/>
      <c r="TNJ14" s="114"/>
      <c r="TNK14" s="114"/>
      <c r="TNL14" s="114"/>
      <c r="TNM14" s="114"/>
      <c r="TNN14" s="114"/>
      <c r="TNO14" s="114"/>
      <c r="TNP14" s="114"/>
      <c r="TNQ14" s="114"/>
      <c r="TNR14" s="114"/>
      <c r="TNS14" s="114"/>
      <c r="TNT14" s="114"/>
      <c r="TNU14" s="114"/>
      <c r="TNV14" s="114"/>
      <c r="TNW14" s="114"/>
      <c r="TNX14" s="114"/>
      <c r="TNY14" s="114"/>
      <c r="TNZ14" s="114"/>
      <c r="TOA14" s="114"/>
      <c r="TOB14" s="114"/>
      <c r="TOC14" s="114"/>
      <c r="TOD14" s="114"/>
      <c r="TOE14" s="114"/>
      <c r="TOF14" s="114"/>
      <c r="TOG14" s="114"/>
      <c r="TOH14" s="114"/>
      <c r="TOI14" s="114"/>
      <c r="TOJ14" s="114"/>
      <c r="TOK14" s="114"/>
      <c r="TOL14" s="114"/>
      <c r="TOM14" s="114"/>
      <c r="TON14" s="114"/>
      <c r="TOO14" s="114"/>
      <c r="TOP14" s="114"/>
      <c r="TOQ14" s="114"/>
      <c r="TOR14" s="114"/>
      <c r="TOS14" s="114"/>
      <c r="TOT14" s="114"/>
      <c r="TOU14" s="114"/>
      <c r="TOV14" s="114"/>
      <c r="TOW14" s="114"/>
      <c r="TOX14" s="114"/>
      <c r="TOY14" s="114"/>
      <c r="TOZ14" s="114"/>
      <c r="TPA14" s="114"/>
      <c r="TPB14" s="114"/>
      <c r="TPC14" s="114"/>
      <c r="TPD14" s="114"/>
      <c r="TPE14" s="114"/>
      <c r="TPF14" s="114"/>
      <c r="TPG14" s="114"/>
      <c r="TPH14" s="114"/>
      <c r="TPI14" s="114"/>
      <c r="TPJ14" s="114"/>
      <c r="TPK14" s="114"/>
      <c r="TPL14" s="114"/>
      <c r="TPM14" s="114"/>
      <c r="TPN14" s="114"/>
      <c r="TPO14" s="114"/>
      <c r="TPP14" s="114"/>
      <c r="TPQ14" s="114"/>
      <c r="TPR14" s="114"/>
      <c r="TPS14" s="114"/>
      <c r="TPT14" s="114"/>
      <c r="TPU14" s="114"/>
      <c r="TPV14" s="114"/>
      <c r="TPW14" s="114"/>
      <c r="TPX14" s="114"/>
      <c r="TPY14" s="114"/>
      <c r="TPZ14" s="114"/>
      <c r="TQA14" s="114"/>
      <c r="TQB14" s="114"/>
      <c r="TQC14" s="114"/>
      <c r="TQD14" s="114"/>
      <c r="TQE14" s="114"/>
      <c r="TQF14" s="114"/>
      <c r="TQG14" s="114"/>
      <c r="TQH14" s="114"/>
      <c r="TQI14" s="114"/>
      <c r="TQJ14" s="114"/>
      <c r="TQK14" s="114"/>
      <c r="TQL14" s="114"/>
      <c r="TQM14" s="114"/>
      <c r="TQN14" s="114"/>
      <c r="TQO14" s="114"/>
      <c r="TQP14" s="114"/>
      <c r="TQQ14" s="114"/>
      <c r="TQR14" s="114"/>
      <c r="TQS14" s="114"/>
      <c r="TQT14" s="114"/>
      <c r="TQU14" s="114"/>
      <c r="TQV14" s="114"/>
      <c r="TQW14" s="114"/>
      <c r="TQX14" s="114"/>
      <c r="TQY14" s="114"/>
      <c r="TQZ14" s="114"/>
      <c r="TRA14" s="114"/>
      <c r="TRB14" s="114"/>
      <c r="TRC14" s="114"/>
      <c r="TRD14" s="114"/>
      <c r="TRE14" s="114"/>
      <c r="TRF14" s="114"/>
      <c r="TRG14" s="114"/>
      <c r="TRH14" s="114"/>
      <c r="TRI14" s="114"/>
      <c r="TRJ14" s="114"/>
      <c r="TRK14" s="114"/>
      <c r="TRL14" s="114"/>
      <c r="TRM14" s="114"/>
      <c r="TRN14" s="114"/>
      <c r="TRO14" s="114"/>
      <c r="TRP14" s="114"/>
      <c r="TRQ14" s="114"/>
      <c r="TRR14" s="114"/>
      <c r="TRS14" s="114"/>
      <c r="TRT14" s="114"/>
      <c r="TRU14" s="114"/>
      <c r="TRV14" s="114"/>
      <c r="TRW14" s="114"/>
      <c r="TRX14" s="114"/>
      <c r="TRY14" s="114"/>
      <c r="TRZ14" s="114"/>
      <c r="TSA14" s="114"/>
      <c r="TSB14" s="114"/>
      <c r="TSC14" s="114"/>
      <c r="TSD14" s="114"/>
      <c r="TSE14" s="114"/>
      <c r="TSF14" s="114"/>
      <c r="TSG14" s="114"/>
      <c r="TSH14" s="114"/>
      <c r="TSI14" s="114"/>
      <c r="TSJ14" s="114"/>
      <c r="TSK14" s="114"/>
      <c r="TSL14" s="114"/>
      <c r="TSM14" s="114"/>
      <c r="TSN14" s="114"/>
      <c r="TSO14" s="114"/>
      <c r="TSP14" s="114"/>
      <c r="TSQ14" s="114"/>
      <c r="TSR14" s="114"/>
      <c r="TSS14" s="114"/>
      <c r="TST14" s="114"/>
      <c r="TSU14" s="114"/>
      <c r="TSV14" s="114"/>
      <c r="TSW14" s="114"/>
      <c r="TSX14" s="114"/>
      <c r="TSY14" s="114"/>
      <c r="TSZ14" s="114"/>
      <c r="TTA14" s="114"/>
      <c r="TTB14" s="114"/>
      <c r="TTC14" s="114"/>
      <c r="TTD14" s="114"/>
      <c r="TTE14" s="114"/>
      <c r="TTF14" s="114"/>
      <c r="TTG14" s="114"/>
      <c r="TTH14" s="114"/>
      <c r="TTI14" s="114"/>
      <c r="TTJ14" s="114"/>
      <c r="TTK14" s="114"/>
      <c r="TTL14" s="114"/>
      <c r="TTM14" s="114"/>
      <c r="TTN14" s="114"/>
      <c r="TTO14" s="114"/>
      <c r="TTP14" s="114"/>
      <c r="TTQ14" s="114"/>
      <c r="TTR14" s="114"/>
      <c r="TTS14" s="114"/>
      <c r="TTT14" s="114"/>
      <c r="TTU14" s="114"/>
      <c r="TTV14" s="114"/>
      <c r="TTW14" s="114"/>
      <c r="TTX14" s="114"/>
      <c r="TTY14" s="114"/>
      <c r="TTZ14" s="114"/>
      <c r="TUA14" s="114"/>
      <c r="TUB14" s="114"/>
      <c r="TUC14" s="114"/>
      <c r="TUD14" s="114"/>
      <c r="TUE14" s="114"/>
      <c r="TUF14" s="114"/>
      <c r="TUG14" s="114"/>
      <c r="TUH14" s="114"/>
      <c r="TUI14" s="114"/>
      <c r="TUJ14" s="114"/>
      <c r="TUK14" s="114"/>
      <c r="TUL14" s="114"/>
      <c r="TUM14" s="114"/>
      <c r="TUN14" s="114"/>
      <c r="TUO14" s="114"/>
      <c r="TUP14" s="114"/>
      <c r="TUQ14" s="114"/>
      <c r="TUR14" s="114"/>
      <c r="TUS14" s="114"/>
      <c r="TUT14" s="114"/>
      <c r="TUU14" s="114"/>
      <c r="TUV14" s="114"/>
      <c r="TUW14" s="114"/>
      <c r="TUX14" s="114"/>
      <c r="TUY14" s="114"/>
      <c r="TUZ14" s="114"/>
      <c r="TVA14" s="114"/>
      <c r="TVB14" s="114"/>
      <c r="TVC14" s="114"/>
      <c r="TVD14" s="114"/>
      <c r="TVE14" s="114"/>
      <c r="TVF14" s="114"/>
      <c r="TVG14" s="114"/>
      <c r="TVH14" s="114"/>
      <c r="TVI14" s="114"/>
      <c r="TVJ14" s="114"/>
      <c r="TVK14" s="114"/>
      <c r="TVL14" s="114"/>
      <c r="TVM14" s="114"/>
      <c r="TVN14" s="114"/>
      <c r="TVO14" s="114"/>
      <c r="TVP14" s="114"/>
      <c r="TVQ14" s="114"/>
      <c r="TVR14" s="114"/>
      <c r="TVS14" s="114"/>
      <c r="TVT14" s="114"/>
      <c r="TVU14" s="114"/>
      <c r="TVV14" s="114"/>
      <c r="TVW14" s="114"/>
      <c r="TVX14" s="114"/>
      <c r="TVY14" s="114"/>
      <c r="TVZ14" s="114"/>
      <c r="TWA14" s="114"/>
      <c r="TWB14" s="114"/>
      <c r="TWC14" s="114"/>
      <c r="TWD14" s="114"/>
      <c r="TWE14" s="114"/>
      <c r="TWF14" s="114"/>
      <c r="TWG14" s="114"/>
      <c r="TWH14" s="114"/>
      <c r="TWI14" s="114"/>
      <c r="TWJ14" s="114"/>
      <c r="TWK14" s="114"/>
      <c r="TWL14" s="114"/>
      <c r="TWM14" s="114"/>
      <c r="TWN14" s="114"/>
      <c r="TWO14" s="114"/>
      <c r="TWP14" s="114"/>
      <c r="TWQ14" s="114"/>
      <c r="TWR14" s="114"/>
      <c r="TWS14" s="114"/>
      <c r="TWT14" s="114"/>
      <c r="TWU14" s="114"/>
      <c r="TWV14" s="114"/>
      <c r="TWW14" s="114"/>
      <c r="TWX14" s="114"/>
      <c r="TWY14" s="114"/>
      <c r="TWZ14" s="114"/>
      <c r="TXA14" s="114"/>
      <c r="TXB14" s="114"/>
      <c r="TXC14" s="114"/>
      <c r="TXD14" s="114"/>
      <c r="TXE14" s="114"/>
      <c r="TXF14" s="114"/>
      <c r="TXG14" s="114"/>
      <c r="TXH14" s="114"/>
      <c r="TXI14" s="114"/>
      <c r="TXJ14" s="114"/>
      <c r="TXK14" s="114"/>
      <c r="TXL14" s="114"/>
      <c r="TXM14" s="114"/>
      <c r="TXN14" s="114"/>
      <c r="TXO14" s="114"/>
      <c r="TXP14" s="114"/>
      <c r="TXQ14" s="114"/>
      <c r="TXR14" s="114"/>
      <c r="TXS14" s="114"/>
      <c r="TXT14" s="114"/>
      <c r="TXU14" s="114"/>
      <c r="TXV14" s="114"/>
      <c r="TXW14" s="114"/>
      <c r="TXX14" s="114"/>
      <c r="TXY14" s="114"/>
      <c r="TXZ14" s="114"/>
      <c r="TYA14" s="114"/>
      <c r="TYB14" s="114"/>
      <c r="TYC14" s="114"/>
      <c r="TYD14" s="114"/>
      <c r="TYE14" s="114"/>
      <c r="TYF14" s="114"/>
      <c r="TYG14" s="114"/>
      <c r="TYH14" s="114"/>
      <c r="TYI14" s="114"/>
      <c r="TYJ14" s="114"/>
      <c r="TYK14" s="114"/>
      <c r="TYL14" s="114"/>
      <c r="TYM14" s="114"/>
      <c r="TYN14" s="114"/>
      <c r="TYO14" s="114"/>
      <c r="TYP14" s="114"/>
      <c r="TYQ14" s="114"/>
      <c r="TYR14" s="114"/>
      <c r="TYS14" s="114"/>
      <c r="TYT14" s="114"/>
      <c r="TYU14" s="114"/>
      <c r="TYV14" s="114"/>
      <c r="TYW14" s="114"/>
      <c r="TYX14" s="114"/>
      <c r="TYY14" s="114"/>
      <c r="TYZ14" s="114"/>
      <c r="TZA14" s="114"/>
      <c r="TZB14" s="114"/>
      <c r="TZC14" s="114"/>
      <c r="TZD14" s="114"/>
      <c r="TZE14" s="114"/>
      <c r="TZF14" s="114"/>
      <c r="TZG14" s="114"/>
      <c r="TZH14" s="114"/>
      <c r="TZI14" s="114"/>
      <c r="TZJ14" s="114"/>
      <c r="TZK14" s="114"/>
      <c r="TZL14" s="114"/>
      <c r="TZM14" s="114"/>
      <c r="TZN14" s="114"/>
      <c r="TZO14" s="114"/>
      <c r="TZP14" s="114"/>
      <c r="TZQ14" s="114"/>
      <c r="TZR14" s="114"/>
      <c r="TZS14" s="114"/>
      <c r="TZT14" s="114"/>
      <c r="TZU14" s="114"/>
      <c r="TZV14" s="114"/>
      <c r="TZW14" s="114"/>
      <c r="TZX14" s="114"/>
      <c r="TZY14" s="114"/>
      <c r="TZZ14" s="114"/>
      <c r="UAA14" s="114"/>
      <c r="UAB14" s="114"/>
      <c r="UAC14" s="114"/>
      <c r="UAD14" s="114"/>
      <c r="UAE14" s="114"/>
      <c r="UAF14" s="114"/>
      <c r="UAG14" s="114"/>
      <c r="UAH14" s="114"/>
      <c r="UAI14" s="114"/>
      <c r="UAJ14" s="114"/>
      <c r="UAK14" s="114"/>
      <c r="UAL14" s="114"/>
      <c r="UAM14" s="114"/>
      <c r="UAN14" s="114"/>
      <c r="UAO14" s="114"/>
      <c r="UAP14" s="114"/>
      <c r="UAQ14" s="114"/>
      <c r="UAR14" s="114"/>
      <c r="UAS14" s="114"/>
      <c r="UAT14" s="114"/>
      <c r="UAU14" s="114"/>
      <c r="UAV14" s="114"/>
      <c r="UAW14" s="114"/>
      <c r="UAX14" s="114"/>
      <c r="UAY14" s="114"/>
      <c r="UAZ14" s="114"/>
      <c r="UBA14" s="114"/>
      <c r="UBB14" s="114"/>
      <c r="UBC14" s="114"/>
      <c r="UBD14" s="114"/>
      <c r="UBE14" s="114"/>
      <c r="UBF14" s="114"/>
      <c r="UBG14" s="114"/>
      <c r="UBH14" s="114"/>
      <c r="UBI14" s="114"/>
      <c r="UBJ14" s="114"/>
      <c r="UBK14" s="114"/>
      <c r="UBL14" s="114"/>
      <c r="UBM14" s="114"/>
      <c r="UBN14" s="114"/>
      <c r="UBO14" s="114"/>
      <c r="UBP14" s="114"/>
      <c r="UBQ14" s="114"/>
      <c r="UBR14" s="114"/>
      <c r="UBS14" s="114"/>
      <c r="UBT14" s="114"/>
      <c r="UBU14" s="114"/>
      <c r="UBV14" s="114"/>
      <c r="UBW14" s="114"/>
      <c r="UBX14" s="114"/>
      <c r="UBY14" s="114"/>
      <c r="UBZ14" s="114"/>
      <c r="UCA14" s="114"/>
      <c r="UCB14" s="114"/>
      <c r="UCC14" s="114"/>
      <c r="UCD14" s="114"/>
      <c r="UCE14" s="114"/>
      <c r="UCF14" s="114"/>
      <c r="UCG14" s="114"/>
      <c r="UCH14" s="114"/>
      <c r="UCI14" s="114"/>
      <c r="UCJ14" s="114"/>
      <c r="UCK14" s="114"/>
      <c r="UCL14" s="114"/>
      <c r="UCM14" s="114"/>
      <c r="UCN14" s="114"/>
      <c r="UCO14" s="114"/>
      <c r="UCP14" s="114"/>
      <c r="UCQ14" s="114"/>
      <c r="UCR14" s="114"/>
      <c r="UCS14" s="114"/>
      <c r="UCT14" s="114"/>
      <c r="UCU14" s="114"/>
      <c r="UCV14" s="114"/>
      <c r="UCW14" s="114"/>
      <c r="UCX14" s="114"/>
      <c r="UCY14" s="114"/>
      <c r="UCZ14" s="114"/>
      <c r="UDA14" s="114"/>
      <c r="UDB14" s="114"/>
      <c r="UDC14" s="114"/>
      <c r="UDD14" s="114"/>
      <c r="UDE14" s="114"/>
      <c r="UDF14" s="114"/>
      <c r="UDG14" s="114"/>
      <c r="UDH14" s="114"/>
      <c r="UDI14" s="114"/>
      <c r="UDJ14" s="114"/>
      <c r="UDK14" s="114"/>
      <c r="UDL14" s="114"/>
      <c r="UDM14" s="114"/>
      <c r="UDN14" s="114"/>
      <c r="UDO14" s="114"/>
      <c r="UDP14" s="114"/>
      <c r="UDQ14" s="114"/>
      <c r="UDR14" s="114"/>
      <c r="UDS14" s="114"/>
      <c r="UDT14" s="114"/>
      <c r="UDU14" s="114"/>
      <c r="UDV14" s="114"/>
      <c r="UDW14" s="114"/>
      <c r="UDX14" s="114"/>
      <c r="UDY14" s="114"/>
      <c r="UDZ14" s="114"/>
      <c r="UEA14" s="114"/>
      <c r="UEB14" s="114"/>
      <c r="UEC14" s="114"/>
      <c r="UED14" s="114"/>
      <c r="UEE14" s="114"/>
      <c r="UEF14" s="114"/>
      <c r="UEG14" s="114"/>
      <c r="UEH14" s="114"/>
      <c r="UEI14" s="114"/>
      <c r="UEJ14" s="114"/>
      <c r="UEK14" s="114"/>
      <c r="UEL14" s="114"/>
      <c r="UEM14" s="114"/>
      <c r="UEN14" s="114"/>
      <c r="UEO14" s="114"/>
      <c r="UEP14" s="114"/>
      <c r="UEQ14" s="114"/>
      <c r="UER14" s="114"/>
      <c r="UES14" s="114"/>
      <c r="UET14" s="114"/>
      <c r="UEU14" s="114"/>
      <c r="UEV14" s="114"/>
      <c r="UEW14" s="114"/>
      <c r="UEX14" s="114"/>
      <c r="UEY14" s="114"/>
      <c r="UEZ14" s="114"/>
      <c r="UFA14" s="114"/>
      <c r="UFB14" s="114"/>
      <c r="UFC14" s="114"/>
      <c r="UFD14" s="114"/>
      <c r="UFE14" s="114"/>
      <c r="UFF14" s="114"/>
      <c r="UFG14" s="114"/>
      <c r="UFH14" s="114"/>
      <c r="UFI14" s="114"/>
      <c r="UFJ14" s="114"/>
      <c r="UFK14" s="114"/>
      <c r="UFL14" s="114"/>
      <c r="UFM14" s="114"/>
      <c r="UFN14" s="114"/>
      <c r="UFO14" s="114"/>
      <c r="UFP14" s="114"/>
      <c r="UFQ14" s="114"/>
      <c r="UFR14" s="114"/>
      <c r="UFS14" s="114"/>
      <c r="UFT14" s="114"/>
      <c r="UFU14" s="114"/>
      <c r="UFV14" s="114"/>
      <c r="UFW14" s="114"/>
      <c r="UFX14" s="114"/>
      <c r="UFY14" s="114"/>
      <c r="UFZ14" s="114"/>
      <c r="UGA14" s="114"/>
      <c r="UGB14" s="114"/>
      <c r="UGC14" s="114"/>
      <c r="UGD14" s="114"/>
      <c r="UGE14" s="114"/>
      <c r="UGF14" s="114"/>
      <c r="UGG14" s="114"/>
      <c r="UGH14" s="114"/>
      <c r="UGI14" s="114"/>
      <c r="UGJ14" s="114"/>
      <c r="UGK14" s="114"/>
      <c r="UGL14" s="114"/>
      <c r="UGM14" s="114"/>
      <c r="UGN14" s="114"/>
      <c r="UGO14" s="114"/>
      <c r="UGP14" s="114"/>
      <c r="UGQ14" s="114"/>
      <c r="UGR14" s="114"/>
      <c r="UGS14" s="114"/>
      <c r="UGT14" s="114"/>
      <c r="UGU14" s="114"/>
      <c r="UGV14" s="114"/>
      <c r="UGW14" s="114"/>
      <c r="UGX14" s="114"/>
      <c r="UGY14" s="114"/>
      <c r="UGZ14" s="114"/>
      <c r="UHA14" s="114"/>
      <c r="UHB14" s="114"/>
      <c r="UHC14" s="114"/>
      <c r="UHD14" s="114"/>
      <c r="UHE14" s="114"/>
      <c r="UHF14" s="114"/>
      <c r="UHG14" s="114"/>
      <c r="UHH14" s="114"/>
      <c r="UHI14" s="114"/>
      <c r="UHJ14" s="114"/>
      <c r="UHK14" s="114"/>
      <c r="UHL14" s="114"/>
      <c r="UHM14" s="114"/>
      <c r="UHN14" s="114"/>
      <c r="UHO14" s="114"/>
      <c r="UHP14" s="114"/>
      <c r="UHQ14" s="114"/>
      <c r="UHR14" s="114"/>
      <c r="UHS14" s="114"/>
      <c r="UHT14" s="114"/>
      <c r="UHU14" s="114"/>
      <c r="UHV14" s="114"/>
      <c r="UHW14" s="114"/>
      <c r="UHX14" s="114"/>
      <c r="UHY14" s="114"/>
      <c r="UHZ14" s="114"/>
      <c r="UIA14" s="114"/>
      <c r="UIB14" s="114"/>
      <c r="UIC14" s="114"/>
      <c r="UID14" s="114"/>
      <c r="UIE14" s="114"/>
      <c r="UIF14" s="114"/>
      <c r="UIG14" s="114"/>
      <c r="UIH14" s="114"/>
      <c r="UII14" s="114"/>
      <c r="UIJ14" s="114"/>
      <c r="UIK14" s="114"/>
      <c r="UIL14" s="114"/>
      <c r="UIM14" s="114"/>
      <c r="UIN14" s="114"/>
      <c r="UIO14" s="114"/>
      <c r="UIP14" s="114"/>
      <c r="UIQ14" s="114"/>
      <c r="UIR14" s="114"/>
      <c r="UIS14" s="114"/>
      <c r="UIT14" s="114"/>
      <c r="UIU14" s="114"/>
      <c r="UIV14" s="114"/>
      <c r="UIW14" s="114"/>
      <c r="UIX14" s="114"/>
      <c r="UIY14" s="114"/>
      <c r="UIZ14" s="114"/>
      <c r="UJA14" s="114"/>
      <c r="UJB14" s="114"/>
      <c r="UJC14" s="114"/>
      <c r="UJD14" s="114"/>
      <c r="UJE14" s="114"/>
      <c r="UJF14" s="114"/>
      <c r="UJG14" s="114"/>
      <c r="UJH14" s="114"/>
      <c r="UJI14" s="114"/>
      <c r="UJJ14" s="114"/>
      <c r="UJK14" s="114"/>
      <c r="UJL14" s="114"/>
      <c r="UJM14" s="114"/>
      <c r="UJN14" s="114"/>
      <c r="UJO14" s="114"/>
      <c r="UJP14" s="114"/>
      <c r="UJQ14" s="114"/>
      <c r="UJR14" s="114"/>
      <c r="UJS14" s="114"/>
      <c r="UJT14" s="114"/>
      <c r="UJU14" s="114"/>
      <c r="UJV14" s="114"/>
      <c r="UJW14" s="114"/>
      <c r="UJX14" s="114"/>
      <c r="UJY14" s="114"/>
      <c r="UJZ14" s="114"/>
      <c r="UKA14" s="114"/>
      <c r="UKB14" s="114"/>
      <c r="UKC14" s="114"/>
      <c r="UKD14" s="114"/>
      <c r="UKE14" s="114"/>
      <c r="UKF14" s="114"/>
      <c r="UKG14" s="114"/>
      <c r="UKH14" s="114"/>
      <c r="UKI14" s="114"/>
      <c r="UKJ14" s="114"/>
      <c r="UKK14" s="114"/>
      <c r="UKL14" s="114"/>
      <c r="UKM14" s="114"/>
      <c r="UKN14" s="114"/>
      <c r="UKO14" s="114"/>
      <c r="UKP14" s="114"/>
      <c r="UKQ14" s="114"/>
      <c r="UKR14" s="114"/>
      <c r="UKS14" s="114"/>
      <c r="UKT14" s="114"/>
      <c r="UKU14" s="114"/>
      <c r="UKV14" s="114"/>
      <c r="UKW14" s="114"/>
      <c r="UKX14" s="114"/>
      <c r="UKY14" s="114"/>
      <c r="UKZ14" s="114"/>
      <c r="ULA14" s="114"/>
      <c r="ULB14" s="114"/>
      <c r="ULC14" s="114"/>
      <c r="ULD14" s="114"/>
      <c r="ULE14" s="114"/>
      <c r="ULF14" s="114"/>
      <c r="ULG14" s="114"/>
      <c r="ULH14" s="114"/>
      <c r="ULI14" s="114"/>
      <c r="ULJ14" s="114"/>
      <c r="ULK14" s="114"/>
      <c r="ULL14" s="114"/>
      <c r="ULM14" s="114"/>
      <c r="ULN14" s="114"/>
      <c r="ULO14" s="114"/>
      <c r="ULP14" s="114"/>
      <c r="ULQ14" s="114"/>
      <c r="ULR14" s="114"/>
      <c r="ULS14" s="114"/>
      <c r="ULT14" s="114"/>
      <c r="ULU14" s="114"/>
      <c r="ULV14" s="114"/>
      <c r="ULW14" s="114"/>
      <c r="ULX14" s="114"/>
      <c r="ULY14" s="114"/>
      <c r="ULZ14" s="114"/>
      <c r="UMA14" s="114"/>
      <c r="UMB14" s="114"/>
      <c r="UMC14" s="114"/>
      <c r="UMD14" s="114"/>
      <c r="UME14" s="114"/>
      <c r="UMF14" s="114"/>
      <c r="UMG14" s="114"/>
      <c r="UMH14" s="114"/>
      <c r="UMI14" s="114"/>
      <c r="UMJ14" s="114"/>
      <c r="UMK14" s="114"/>
      <c r="UML14" s="114"/>
      <c r="UMM14" s="114"/>
      <c r="UMN14" s="114"/>
      <c r="UMO14" s="114"/>
      <c r="UMP14" s="114"/>
      <c r="UMQ14" s="114"/>
      <c r="UMR14" s="114"/>
      <c r="UMS14" s="114"/>
      <c r="UMT14" s="114"/>
      <c r="UMU14" s="114"/>
      <c r="UMV14" s="114"/>
      <c r="UMW14" s="114"/>
      <c r="UMX14" s="114"/>
      <c r="UMY14" s="114"/>
      <c r="UMZ14" s="114"/>
      <c r="UNA14" s="114"/>
      <c r="UNB14" s="114"/>
      <c r="UNC14" s="114"/>
      <c r="UND14" s="114"/>
      <c r="UNE14" s="114"/>
      <c r="UNF14" s="114"/>
      <c r="UNG14" s="114"/>
      <c r="UNH14" s="114"/>
      <c r="UNI14" s="114"/>
      <c r="UNJ14" s="114"/>
      <c r="UNK14" s="114"/>
      <c r="UNL14" s="114"/>
      <c r="UNM14" s="114"/>
      <c r="UNN14" s="114"/>
      <c r="UNO14" s="114"/>
      <c r="UNP14" s="114"/>
      <c r="UNQ14" s="114"/>
      <c r="UNR14" s="114"/>
      <c r="UNS14" s="114"/>
      <c r="UNT14" s="114"/>
      <c r="UNU14" s="114"/>
      <c r="UNV14" s="114"/>
      <c r="UNW14" s="114"/>
      <c r="UNX14" s="114"/>
      <c r="UNY14" s="114"/>
      <c r="UNZ14" s="114"/>
      <c r="UOA14" s="114"/>
      <c r="UOB14" s="114"/>
      <c r="UOC14" s="114"/>
      <c r="UOD14" s="114"/>
      <c r="UOE14" s="114"/>
      <c r="UOF14" s="114"/>
      <c r="UOG14" s="114"/>
      <c r="UOH14" s="114"/>
      <c r="UOI14" s="114"/>
      <c r="UOJ14" s="114"/>
      <c r="UOK14" s="114"/>
      <c r="UOL14" s="114"/>
      <c r="UOM14" s="114"/>
      <c r="UON14" s="114"/>
      <c r="UOO14" s="114"/>
      <c r="UOP14" s="114"/>
      <c r="UOQ14" s="114"/>
      <c r="UOR14" s="114"/>
      <c r="UOS14" s="114"/>
      <c r="UOT14" s="114"/>
      <c r="UOU14" s="114"/>
      <c r="UOV14" s="114"/>
      <c r="UOW14" s="114"/>
      <c r="UOX14" s="114"/>
      <c r="UOY14" s="114"/>
      <c r="UOZ14" s="114"/>
      <c r="UPA14" s="114"/>
      <c r="UPB14" s="114"/>
      <c r="UPC14" s="114"/>
      <c r="UPD14" s="114"/>
      <c r="UPE14" s="114"/>
      <c r="UPF14" s="114"/>
      <c r="UPG14" s="114"/>
      <c r="UPH14" s="114"/>
      <c r="UPI14" s="114"/>
      <c r="UPJ14" s="114"/>
      <c r="UPK14" s="114"/>
      <c r="UPL14" s="114"/>
      <c r="UPM14" s="114"/>
      <c r="UPN14" s="114"/>
      <c r="UPO14" s="114"/>
      <c r="UPP14" s="114"/>
      <c r="UPQ14" s="114"/>
      <c r="UPR14" s="114"/>
      <c r="UPS14" s="114"/>
      <c r="UPT14" s="114"/>
      <c r="UPU14" s="114"/>
      <c r="UPV14" s="114"/>
      <c r="UPW14" s="114"/>
      <c r="UPX14" s="114"/>
      <c r="UPY14" s="114"/>
      <c r="UPZ14" s="114"/>
      <c r="UQA14" s="114"/>
      <c r="UQB14" s="114"/>
      <c r="UQC14" s="114"/>
      <c r="UQD14" s="114"/>
      <c r="UQE14" s="114"/>
      <c r="UQF14" s="114"/>
      <c r="UQG14" s="114"/>
      <c r="UQH14" s="114"/>
      <c r="UQI14" s="114"/>
      <c r="UQJ14" s="114"/>
      <c r="UQK14" s="114"/>
      <c r="UQL14" s="114"/>
      <c r="UQM14" s="114"/>
      <c r="UQN14" s="114"/>
      <c r="UQO14" s="114"/>
      <c r="UQP14" s="114"/>
      <c r="UQQ14" s="114"/>
      <c r="UQR14" s="114"/>
      <c r="UQS14" s="114"/>
      <c r="UQT14" s="114"/>
      <c r="UQU14" s="114"/>
      <c r="UQV14" s="114"/>
      <c r="UQW14" s="114"/>
      <c r="UQX14" s="114"/>
      <c r="UQY14" s="114"/>
      <c r="UQZ14" s="114"/>
      <c r="URA14" s="114"/>
      <c r="URB14" s="114"/>
      <c r="URC14" s="114"/>
      <c r="URD14" s="114"/>
      <c r="URE14" s="114"/>
      <c r="URF14" s="114"/>
      <c r="URG14" s="114"/>
      <c r="URH14" s="114"/>
      <c r="URI14" s="114"/>
      <c r="URJ14" s="114"/>
      <c r="URK14" s="114"/>
      <c r="URL14" s="114"/>
      <c r="URM14" s="114"/>
      <c r="URN14" s="114"/>
      <c r="URO14" s="114"/>
      <c r="URP14" s="114"/>
      <c r="URQ14" s="114"/>
      <c r="URR14" s="114"/>
      <c r="URS14" s="114"/>
      <c r="URT14" s="114"/>
      <c r="URU14" s="114"/>
      <c r="URV14" s="114"/>
      <c r="URW14" s="114"/>
      <c r="URX14" s="114"/>
      <c r="URY14" s="114"/>
      <c r="URZ14" s="114"/>
      <c r="USA14" s="114"/>
      <c r="USB14" s="114"/>
      <c r="USC14" s="114"/>
      <c r="USD14" s="114"/>
      <c r="USE14" s="114"/>
      <c r="USF14" s="114"/>
      <c r="USG14" s="114"/>
      <c r="USH14" s="114"/>
      <c r="USI14" s="114"/>
      <c r="USJ14" s="114"/>
      <c r="USK14" s="114"/>
      <c r="USL14" s="114"/>
      <c r="USM14" s="114"/>
      <c r="USN14" s="114"/>
      <c r="USO14" s="114"/>
      <c r="USP14" s="114"/>
      <c r="USQ14" s="114"/>
      <c r="USR14" s="114"/>
      <c r="USS14" s="114"/>
      <c r="UST14" s="114"/>
      <c r="USU14" s="114"/>
      <c r="USV14" s="114"/>
      <c r="USW14" s="114"/>
      <c r="USX14" s="114"/>
      <c r="USY14" s="114"/>
      <c r="USZ14" s="114"/>
      <c r="UTA14" s="114"/>
      <c r="UTB14" s="114"/>
      <c r="UTC14" s="114"/>
      <c r="UTD14" s="114"/>
      <c r="UTE14" s="114"/>
      <c r="UTF14" s="114"/>
      <c r="UTG14" s="114"/>
      <c r="UTH14" s="114"/>
      <c r="UTI14" s="114"/>
      <c r="UTJ14" s="114"/>
      <c r="UTK14" s="114"/>
      <c r="UTL14" s="114"/>
      <c r="UTM14" s="114"/>
      <c r="UTN14" s="114"/>
      <c r="UTO14" s="114"/>
      <c r="UTP14" s="114"/>
      <c r="UTQ14" s="114"/>
      <c r="UTR14" s="114"/>
      <c r="UTS14" s="114"/>
      <c r="UTT14" s="114"/>
      <c r="UTU14" s="114"/>
      <c r="UTV14" s="114"/>
      <c r="UTW14" s="114"/>
      <c r="UTX14" s="114"/>
      <c r="UTY14" s="114"/>
      <c r="UTZ14" s="114"/>
      <c r="UUA14" s="114"/>
      <c r="UUB14" s="114"/>
      <c r="UUC14" s="114"/>
      <c r="UUD14" s="114"/>
      <c r="UUE14" s="114"/>
      <c r="UUF14" s="114"/>
      <c r="UUG14" s="114"/>
      <c r="UUH14" s="114"/>
      <c r="UUI14" s="114"/>
      <c r="UUJ14" s="114"/>
      <c r="UUK14" s="114"/>
      <c r="UUL14" s="114"/>
      <c r="UUM14" s="114"/>
      <c r="UUN14" s="114"/>
      <c r="UUO14" s="114"/>
      <c r="UUP14" s="114"/>
      <c r="UUQ14" s="114"/>
      <c r="UUR14" s="114"/>
      <c r="UUS14" s="114"/>
      <c r="UUT14" s="114"/>
      <c r="UUU14" s="114"/>
      <c r="UUV14" s="114"/>
      <c r="UUW14" s="114"/>
      <c r="UUX14" s="114"/>
      <c r="UUY14" s="114"/>
      <c r="UUZ14" s="114"/>
      <c r="UVA14" s="114"/>
      <c r="UVB14" s="114"/>
      <c r="UVC14" s="114"/>
      <c r="UVD14" s="114"/>
      <c r="UVE14" s="114"/>
      <c r="UVF14" s="114"/>
      <c r="UVG14" s="114"/>
      <c r="UVH14" s="114"/>
      <c r="UVI14" s="114"/>
      <c r="UVJ14" s="114"/>
      <c r="UVK14" s="114"/>
      <c r="UVL14" s="114"/>
      <c r="UVM14" s="114"/>
      <c r="UVN14" s="114"/>
      <c r="UVO14" s="114"/>
      <c r="UVP14" s="114"/>
      <c r="UVQ14" s="114"/>
      <c r="UVR14" s="114"/>
      <c r="UVS14" s="114"/>
      <c r="UVT14" s="114"/>
      <c r="UVU14" s="114"/>
      <c r="UVV14" s="114"/>
      <c r="UVW14" s="114"/>
      <c r="UVX14" s="114"/>
      <c r="UVY14" s="114"/>
      <c r="UVZ14" s="114"/>
      <c r="UWA14" s="114"/>
      <c r="UWB14" s="114"/>
      <c r="UWC14" s="114"/>
      <c r="UWD14" s="114"/>
      <c r="UWE14" s="114"/>
      <c r="UWF14" s="114"/>
      <c r="UWG14" s="114"/>
      <c r="UWH14" s="114"/>
      <c r="UWI14" s="114"/>
      <c r="UWJ14" s="114"/>
      <c r="UWK14" s="114"/>
      <c r="UWL14" s="114"/>
      <c r="UWM14" s="114"/>
      <c r="UWN14" s="114"/>
      <c r="UWO14" s="114"/>
      <c r="UWP14" s="114"/>
      <c r="UWQ14" s="114"/>
      <c r="UWR14" s="114"/>
      <c r="UWS14" s="114"/>
      <c r="UWT14" s="114"/>
      <c r="UWU14" s="114"/>
      <c r="UWV14" s="114"/>
      <c r="UWW14" s="114"/>
      <c r="UWX14" s="114"/>
      <c r="UWY14" s="114"/>
      <c r="UWZ14" s="114"/>
      <c r="UXA14" s="114"/>
      <c r="UXB14" s="114"/>
      <c r="UXC14" s="114"/>
      <c r="UXD14" s="114"/>
      <c r="UXE14" s="114"/>
      <c r="UXF14" s="114"/>
      <c r="UXG14" s="114"/>
      <c r="UXH14" s="114"/>
      <c r="UXI14" s="114"/>
      <c r="UXJ14" s="114"/>
      <c r="UXK14" s="114"/>
      <c r="UXL14" s="114"/>
      <c r="UXM14" s="114"/>
      <c r="UXN14" s="114"/>
      <c r="UXO14" s="114"/>
      <c r="UXP14" s="114"/>
      <c r="UXQ14" s="114"/>
      <c r="UXR14" s="114"/>
      <c r="UXS14" s="114"/>
      <c r="UXT14" s="114"/>
      <c r="UXU14" s="114"/>
      <c r="UXV14" s="114"/>
      <c r="UXW14" s="114"/>
      <c r="UXX14" s="114"/>
      <c r="UXY14" s="114"/>
      <c r="UXZ14" s="114"/>
      <c r="UYA14" s="114"/>
      <c r="UYB14" s="114"/>
      <c r="UYC14" s="114"/>
      <c r="UYD14" s="114"/>
      <c r="UYE14" s="114"/>
      <c r="UYF14" s="114"/>
      <c r="UYG14" s="114"/>
      <c r="UYH14" s="114"/>
      <c r="UYI14" s="114"/>
      <c r="UYJ14" s="114"/>
      <c r="UYK14" s="114"/>
      <c r="UYL14" s="114"/>
      <c r="UYM14" s="114"/>
      <c r="UYN14" s="114"/>
      <c r="UYO14" s="114"/>
      <c r="UYP14" s="114"/>
      <c r="UYQ14" s="114"/>
      <c r="UYR14" s="114"/>
      <c r="UYS14" s="114"/>
      <c r="UYT14" s="114"/>
      <c r="UYU14" s="114"/>
      <c r="UYV14" s="114"/>
      <c r="UYW14" s="114"/>
      <c r="UYX14" s="114"/>
      <c r="UYY14" s="114"/>
      <c r="UYZ14" s="114"/>
      <c r="UZA14" s="114"/>
      <c r="UZB14" s="114"/>
      <c r="UZC14" s="114"/>
      <c r="UZD14" s="114"/>
      <c r="UZE14" s="114"/>
      <c r="UZF14" s="114"/>
      <c r="UZG14" s="114"/>
      <c r="UZH14" s="114"/>
      <c r="UZI14" s="114"/>
      <c r="UZJ14" s="114"/>
      <c r="UZK14" s="114"/>
      <c r="UZL14" s="114"/>
      <c r="UZM14" s="114"/>
      <c r="UZN14" s="114"/>
      <c r="UZO14" s="114"/>
      <c r="UZP14" s="114"/>
      <c r="UZQ14" s="114"/>
      <c r="UZR14" s="114"/>
      <c r="UZS14" s="114"/>
      <c r="UZT14" s="114"/>
      <c r="UZU14" s="114"/>
      <c r="UZV14" s="114"/>
      <c r="UZW14" s="114"/>
      <c r="UZX14" s="114"/>
      <c r="UZY14" s="114"/>
      <c r="UZZ14" s="114"/>
      <c r="VAA14" s="114"/>
      <c r="VAB14" s="114"/>
      <c r="VAC14" s="114"/>
      <c r="VAD14" s="114"/>
      <c r="VAE14" s="114"/>
      <c r="VAF14" s="114"/>
      <c r="VAG14" s="114"/>
      <c r="VAH14" s="114"/>
      <c r="VAI14" s="114"/>
      <c r="VAJ14" s="114"/>
      <c r="VAK14" s="114"/>
      <c r="VAL14" s="114"/>
      <c r="VAM14" s="114"/>
      <c r="VAN14" s="114"/>
      <c r="VAO14" s="114"/>
      <c r="VAP14" s="114"/>
      <c r="VAQ14" s="114"/>
      <c r="VAR14" s="114"/>
      <c r="VAS14" s="114"/>
      <c r="VAT14" s="114"/>
      <c r="VAU14" s="114"/>
      <c r="VAV14" s="114"/>
      <c r="VAW14" s="114"/>
      <c r="VAX14" s="114"/>
      <c r="VAY14" s="114"/>
      <c r="VAZ14" s="114"/>
      <c r="VBA14" s="114"/>
      <c r="VBB14" s="114"/>
      <c r="VBC14" s="114"/>
      <c r="VBD14" s="114"/>
      <c r="VBE14" s="114"/>
      <c r="VBF14" s="114"/>
      <c r="VBG14" s="114"/>
      <c r="VBH14" s="114"/>
      <c r="VBI14" s="114"/>
      <c r="VBJ14" s="114"/>
      <c r="VBK14" s="114"/>
      <c r="VBL14" s="114"/>
      <c r="VBM14" s="114"/>
      <c r="VBN14" s="114"/>
      <c r="VBO14" s="114"/>
      <c r="VBP14" s="114"/>
      <c r="VBQ14" s="114"/>
      <c r="VBR14" s="114"/>
      <c r="VBS14" s="114"/>
      <c r="VBT14" s="114"/>
      <c r="VBU14" s="114"/>
      <c r="VBV14" s="114"/>
      <c r="VBW14" s="114"/>
      <c r="VBX14" s="114"/>
      <c r="VBY14" s="114"/>
      <c r="VBZ14" s="114"/>
      <c r="VCA14" s="114"/>
      <c r="VCB14" s="114"/>
      <c r="VCC14" s="114"/>
      <c r="VCD14" s="114"/>
      <c r="VCE14" s="114"/>
      <c r="VCF14" s="114"/>
      <c r="VCG14" s="114"/>
      <c r="VCH14" s="114"/>
      <c r="VCI14" s="114"/>
      <c r="VCJ14" s="114"/>
      <c r="VCK14" s="114"/>
      <c r="VCL14" s="114"/>
      <c r="VCM14" s="114"/>
      <c r="VCN14" s="114"/>
      <c r="VCO14" s="114"/>
      <c r="VCP14" s="114"/>
      <c r="VCQ14" s="114"/>
      <c r="VCR14" s="114"/>
      <c r="VCS14" s="114"/>
      <c r="VCT14" s="114"/>
      <c r="VCU14" s="114"/>
      <c r="VCV14" s="114"/>
      <c r="VCW14" s="114"/>
      <c r="VCX14" s="114"/>
      <c r="VCY14" s="114"/>
      <c r="VCZ14" s="114"/>
      <c r="VDA14" s="114"/>
      <c r="VDB14" s="114"/>
      <c r="VDC14" s="114"/>
      <c r="VDD14" s="114"/>
      <c r="VDE14" s="114"/>
      <c r="VDF14" s="114"/>
      <c r="VDG14" s="114"/>
      <c r="VDH14" s="114"/>
      <c r="VDI14" s="114"/>
      <c r="VDJ14" s="114"/>
      <c r="VDK14" s="114"/>
      <c r="VDL14" s="114"/>
      <c r="VDM14" s="114"/>
      <c r="VDN14" s="114"/>
      <c r="VDO14" s="114"/>
      <c r="VDP14" s="114"/>
      <c r="VDQ14" s="114"/>
      <c r="VDR14" s="114"/>
      <c r="VDS14" s="114"/>
      <c r="VDT14" s="114"/>
      <c r="VDU14" s="114"/>
      <c r="VDV14" s="114"/>
      <c r="VDW14" s="114"/>
      <c r="VDX14" s="114"/>
      <c r="VDY14" s="114"/>
      <c r="VDZ14" s="114"/>
      <c r="VEA14" s="114"/>
      <c r="VEB14" s="114"/>
      <c r="VEC14" s="114"/>
      <c r="VED14" s="114"/>
      <c r="VEE14" s="114"/>
      <c r="VEF14" s="114"/>
      <c r="VEG14" s="114"/>
      <c r="VEH14" s="114"/>
      <c r="VEI14" s="114"/>
      <c r="VEJ14" s="114"/>
      <c r="VEK14" s="114"/>
      <c r="VEL14" s="114"/>
      <c r="VEM14" s="114"/>
      <c r="VEN14" s="114"/>
      <c r="VEO14" s="114"/>
      <c r="VEP14" s="114"/>
      <c r="VEQ14" s="114"/>
      <c r="VER14" s="114"/>
      <c r="VES14" s="114"/>
      <c r="VET14" s="114"/>
      <c r="VEU14" s="114"/>
      <c r="VEV14" s="114"/>
      <c r="VEW14" s="114"/>
      <c r="VEX14" s="114"/>
      <c r="VEY14" s="114"/>
      <c r="VEZ14" s="114"/>
      <c r="VFA14" s="114"/>
      <c r="VFB14" s="114"/>
      <c r="VFC14" s="114"/>
      <c r="VFD14" s="114"/>
      <c r="VFE14" s="114"/>
      <c r="VFF14" s="114"/>
      <c r="VFG14" s="114"/>
      <c r="VFH14" s="114"/>
      <c r="VFI14" s="114"/>
      <c r="VFJ14" s="114"/>
      <c r="VFK14" s="114"/>
      <c r="VFL14" s="114"/>
      <c r="VFM14" s="114"/>
      <c r="VFN14" s="114"/>
      <c r="VFO14" s="114"/>
      <c r="VFP14" s="114"/>
      <c r="VFQ14" s="114"/>
      <c r="VFR14" s="114"/>
      <c r="VFS14" s="114"/>
      <c r="VFT14" s="114"/>
      <c r="VFU14" s="114"/>
      <c r="VFV14" s="114"/>
      <c r="VFW14" s="114"/>
      <c r="VFX14" s="114"/>
      <c r="VFY14" s="114"/>
      <c r="VFZ14" s="114"/>
      <c r="VGA14" s="114"/>
      <c r="VGB14" s="114"/>
      <c r="VGC14" s="114"/>
      <c r="VGD14" s="114"/>
      <c r="VGE14" s="114"/>
      <c r="VGF14" s="114"/>
      <c r="VGG14" s="114"/>
      <c r="VGH14" s="114"/>
      <c r="VGI14" s="114"/>
      <c r="VGJ14" s="114"/>
      <c r="VGK14" s="114"/>
      <c r="VGL14" s="114"/>
      <c r="VGM14" s="114"/>
      <c r="VGN14" s="114"/>
      <c r="VGO14" s="114"/>
      <c r="VGP14" s="114"/>
      <c r="VGQ14" s="114"/>
      <c r="VGR14" s="114"/>
      <c r="VGS14" s="114"/>
      <c r="VGT14" s="114"/>
      <c r="VGU14" s="114"/>
      <c r="VGV14" s="114"/>
      <c r="VGW14" s="114"/>
      <c r="VGX14" s="114"/>
      <c r="VGY14" s="114"/>
      <c r="VGZ14" s="114"/>
      <c r="VHA14" s="114"/>
      <c r="VHB14" s="114"/>
      <c r="VHC14" s="114"/>
      <c r="VHD14" s="114"/>
      <c r="VHE14" s="114"/>
      <c r="VHF14" s="114"/>
      <c r="VHG14" s="114"/>
      <c r="VHH14" s="114"/>
      <c r="VHI14" s="114"/>
      <c r="VHJ14" s="114"/>
      <c r="VHK14" s="114"/>
      <c r="VHL14" s="114"/>
      <c r="VHM14" s="114"/>
      <c r="VHN14" s="114"/>
      <c r="VHO14" s="114"/>
      <c r="VHP14" s="114"/>
      <c r="VHQ14" s="114"/>
      <c r="VHR14" s="114"/>
      <c r="VHS14" s="114"/>
      <c r="VHT14" s="114"/>
      <c r="VHU14" s="114"/>
      <c r="VHV14" s="114"/>
      <c r="VHW14" s="114"/>
      <c r="VHX14" s="114"/>
      <c r="VHY14" s="114"/>
      <c r="VHZ14" s="114"/>
      <c r="VIA14" s="114"/>
      <c r="VIB14" s="114"/>
      <c r="VIC14" s="114"/>
      <c r="VID14" s="114"/>
      <c r="VIE14" s="114"/>
      <c r="VIF14" s="114"/>
      <c r="VIG14" s="114"/>
      <c r="VIH14" s="114"/>
      <c r="VII14" s="114"/>
      <c r="VIJ14" s="114"/>
      <c r="VIK14" s="114"/>
      <c r="VIL14" s="114"/>
      <c r="VIM14" s="114"/>
      <c r="VIN14" s="114"/>
      <c r="VIO14" s="114"/>
      <c r="VIP14" s="114"/>
      <c r="VIQ14" s="114"/>
      <c r="VIR14" s="114"/>
      <c r="VIS14" s="114"/>
      <c r="VIT14" s="114"/>
      <c r="VIU14" s="114"/>
      <c r="VIV14" s="114"/>
      <c r="VIW14" s="114"/>
      <c r="VIX14" s="114"/>
      <c r="VIY14" s="114"/>
      <c r="VIZ14" s="114"/>
      <c r="VJA14" s="114"/>
      <c r="VJB14" s="114"/>
      <c r="VJC14" s="114"/>
      <c r="VJD14" s="114"/>
      <c r="VJE14" s="114"/>
      <c r="VJF14" s="114"/>
      <c r="VJG14" s="114"/>
      <c r="VJH14" s="114"/>
      <c r="VJI14" s="114"/>
      <c r="VJJ14" s="114"/>
      <c r="VJK14" s="114"/>
      <c r="VJL14" s="114"/>
      <c r="VJM14" s="114"/>
      <c r="VJN14" s="114"/>
      <c r="VJO14" s="114"/>
      <c r="VJP14" s="114"/>
      <c r="VJQ14" s="114"/>
      <c r="VJR14" s="114"/>
      <c r="VJS14" s="114"/>
      <c r="VJT14" s="114"/>
      <c r="VJU14" s="114"/>
      <c r="VJV14" s="114"/>
      <c r="VJW14" s="114"/>
      <c r="VJX14" s="114"/>
      <c r="VJY14" s="114"/>
      <c r="VJZ14" s="114"/>
      <c r="VKA14" s="114"/>
      <c r="VKB14" s="114"/>
      <c r="VKC14" s="114"/>
      <c r="VKD14" s="114"/>
      <c r="VKE14" s="114"/>
      <c r="VKF14" s="114"/>
      <c r="VKG14" s="114"/>
      <c r="VKH14" s="114"/>
      <c r="VKI14" s="114"/>
      <c r="VKJ14" s="114"/>
      <c r="VKK14" s="114"/>
      <c r="VKL14" s="114"/>
      <c r="VKM14" s="114"/>
      <c r="VKN14" s="114"/>
      <c r="VKO14" s="114"/>
      <c r="VKP14" s="114"/>
      <c r="VKQ14" s="114"/>
      <c r="VKR14" s="114"/>
      <c r="VKS14" s="114"/>
      <c r="VKT14" s="114"/>
      <c r="VKU14" s="114"/>
      <c r="VKV14" s="114"/>
      <c r="VKW14" s="114"/>
      <c r="VKX14" s="114"/>
      <c r="VKY14" s="114"/>
      <c r="VKZ14" s="114"/>
      <c r="VLA14" s="114"/>
      <c r="VLB14" s="114"/>
      <c r="VLC14" s="114"/>
      <c r="VLD14" s="114"/>
      <c r="VLE14" s="114"/>
      <c r="VLF14" s="114"/>
      <c r="VLG14" s="114"/>
      <c r="VLH14" s="114"/>
      <c r="VLI14" s="114"/>
      <c r="VLJ14" s="114"/>
      <c r="VLK14" s="114"/>
      <c r="VLL14" s="114"/>
      <c r="VLM14" s="114"/>
      <c r="VLN14" s="114"/>
      <c r="VLO14" s="114"/>
      <c r="VLP14" s="114"/>
      <c r="VLQ14" s="114"/>
      <c r="VLR14" s="114"/>
      <c r="VLS14" s="114"/>
      <c r="VLT14" s="114"/>
      <c r="VLU14" s="114"/>
      <c r="VLV14" s="114"/>
      <c r="VLW14" s="114"/>
      <c r="VLX14" s="114"/>
      <c r="VLY14" s="114"/>
      <c r="VLZ14" s="114"/>
      <c r="VMA14" s="114"/>
      <c r="VMB14" s="114"/>
      <c r="VMC14" s="114"/>
      <c r="VMD14" s="114"/>
      <c r="VME14" s="114"/>
      <c r="VMF14" s="114"/>
      <c r="VMG14" s="114"/>
      <c r="VMH14" s="114"/>
      <c r="VMI14" s="114"/>
      <c r="VMJ14" s="114"/>
      <c r="VMK14" s="114"/>
      <c r="VML14" s="114"/>
      <c r="VMM14" s="114"/>
      <c r="VMN14" s="114"/>
      <c r="VMO14" s="114"/>
      <c r="VMP14" s="114"/>
      <c r="VMQ14" s="114"/>
      <c r="VMR14" s="114"/>
      <c r="VMS14" s="114"/>
      <c r="VMT14" s="114"/>
      <c r="VMU14" s="114"/>
      <c r="VMV14" s="114"/>
      <c r="VMW14" s="114"/>
      <c r="VMX14" s="114"/>
      <c r="VMY14" s="114"/>
      <c r="VMZ14" s="114"/>
      <c r="VNA14" s="114"/>
      <c r="VNB14" s="114"/>
      <c r="VNC14" s="114"/>
      <c r="VND14" s="114"/>
      <c r="VNE14" s="114"/>
      <c r="VNF14" s="114"/>
      <c r="VNG14" s="114"/>
      <c r="VNH14" s="114"/>
      <c r="VNI14" s="114"/>
      <c r="VNJ14" s="114"/>
      <c r="VNK14" s="114"/>
      <c r="VNL14" s="114"/>
      <c r="VNM14" s="114"/>
      <c r="VNN14" s="114"/>
      <c r="VNO14" s="114"/>
      <c r="VNP14" s="114"/>
      <c r="VNQ14" s="114"/>
      <c r="VNR14" s="114"/>
      <c r="VNS14" s="114"/>
      <c r="VNT14" s="114"/>
      <c r="VNU14" s="114"/>
      <c r="VNV14" s="114"/>
      <c r="VNW14" s="114"/>
      <c r="VNX14" s="114"/>
      <c r="VNY14" s="114"/>
      <c r="VNZ14" s="114"/>
      <c r="VOA14" s="114"/>
      <c r="VOB14" s="114"/>
      <c r="VOC14" s="114"/>
      <c r="VOD14" s="114"/>
      <c r="VOE14" s="114"/>
      <c r="VOF14" s="114"/>
      <c r="VOG14" s="114"/>
      <c r="VOH14" s="114"/>
      <c r="VOI14" s="114"/>
      <c r="VOJ14" s="114"/>
      <c r="VOK14" s="114"/>
      <c r="VOL14" s="114"/>
      <c r="VOM14" s="114"/>
      <c r="VON14" s="114"/>
      <c r="VOO14" s="114"/>
      <c r="VOP14" s="114"/>
      <c r="VOQ14" s="114"/>
      <c r="VOR14" s="114"/>
      <c r="VOS14" s="114"/>
      <c r="VOT14" s="114"/>
      <c r="VOU14" s="114"/>
      <c r="VOV14" s="114"/>
      <c r="VOW14" s="114"/>
      <c r="VOX14" s="114"/>
      <c r="VOY14" s="114"/>
      <c r="VOZ14" s="114"/>
      <c r="VPA14" s="114"/>
      <c r="VPB14" s="114"/>
      <c r="VPC14" s="114"/>
      <c r="VPD14" s="114"/>
      <c r="VPE14" s="114"/>
      <c r="VPF14" s="114"/>
      <c r="VPG14" s="114"/>
      <c r="VPH14" s="114"/>
      <c r="VPI14" s="114"/>
      <c r="VPJ14" s="114"/>
      <c r="VPK14" s="114"/>
      <c r="VPL14" s="114"/>
      <c r="VPM14" s="114"/>
      <c r="VPN14" s="114"/>
      <c r="VPO14" s="114"/>
      <c r="VPP14" s="114"/>
      <c r="VPQ14" s="114"/>
      <c r="VPR14" s="114"/>
      <c r="VPS14" s="114"/>
      <c r="VPT14" s="114"/>
      <c r="VPU14" s="114"/>
      <c r="VPV14" s="114"/>
      <c r="VPW14" s="114"/>
      <c r="VPX14" s="114"/>
      <c r="VPY14" s="114"/>
      <c r="VPZ14" s="114"/>
      <c r="VQA14" s="114"/>
      <c r="VQB14" s="114"/>
      <c r="VQC14" s="114"/>
      <c r="VQD14" s="114"/>
      <c r="VQE14" s="114"/>
      <c r="VQF14" s="114"/>
      <c r="VQG14" s="114"/>
      <c r="VQH14" s="114"/>
      <c r="VQI14" s="114"/>
      <c r="VQJ14" s="114"/>
      <c r="VQK14" s="114"/>
      <c r="VQL14" s="114"/>
      <c r="VQM14" s="114"/>
      <c r="VQN14" s="114"/>
      <c r="VQO14" s="114"/>
      <c r="VQP14" s="114"/>
      <c r="VQQ14" s="114"/>
      <c r="VQR14" s="114"/>
      <c r="VQS14" s="114"/>
      <c r="VQT14" s="114"/>
      <c r="VQU14" s="114"/>
      <c r="VQV14" s="114"/>
      <c r="VQW14" s="114"/>
      <c r="VQX14" s="114"/>
      <c r="VQY14" s="114"/>
      <c r="VQZ14" s="114"/>
      <c r="VRA14" s="114"/>
      <c r="VRB14" s="114"/>
      <c r="VRC14" s="114"/>
      <c r="VRD14" s="114"/>
      <c r="VRE14" s="114"/>
      <c r="VRF14" s="114"/>
      <c r="VRG14" s="114"/>
      <c r="VRH14" s="114"/>
      <c r="VRI14" s="114"/>
      <c r="VRJ14" s="114"/>
      <c r="VRK14" s="114"/>
      <c r="VRL14" s="114"/>
      <c r="VRM14" s="114"/>
      <c r="VRN14" s="114"/>
      <c r="VRO14" s="114"/>
      <c r="VRP14" s="114"/>
      <c r="VRQ14" s="114"/>
      <c r="VRR14" s="114"/>
      <c r="VRS14" s="114"/>
      <c r="VRT14" s="114"/>
      <c r="VRU14" s="114"/>
      <c r="VRV14" s="114"/>
      <c r="VRW14" s="114"/>
      <c r="VRX14" s="114"/>
      <c r="VRY14" s="114"/>
      <c r="VRZ14" s="114"/>
      <c r="VSA14" s="114"/>
      <c r="VSB14" s="114"/>
      <c r="VSC14" s="114"/>
      <c r="VSD14" s="114"/>
      <c r="VSE14" s="114"/>
      <c r="VSF14" s="114"/>
      <c r="VSG14" s="114"/>
      <c r="VSH14" s="114"/>
      <c r="VSI14" s="114"/>
      <c r="VSJ14" s="114"/>
      <c r="VSK14" s="114"/>
      <c r="VSL14" s="114"/>
      <c r="VSM14" s="114"/>
      <c r="VSN14" s="114"/>
      <c r="VSO14" s="114"/>
      <c r="VSP14" s="114"/>
      <c r="VSQ14" s="114"/>
      <c r="VSR14" s="114"/>
      <c r="VSS14" s="114"/>
      <c r="VST14" s="114"/>
      <c r="VSU14" s="114"/>
      <c r="VSV14" s="114"/>
      <c r="VSW14" s="114"/>
      <c r="VSX14" s="114"/>
      <c r="VSY14" s="114"/>
      <c r="VSZ14" s="114"/>
      <c r="VTA14" s="114"/>
      <c r="VTB14" s="114"/>
      <c r="VTC14" s="114"/>
      <c r="VTD14" s="114"/>
      <c r="VTE14" s="114"/>
      <c r="VTF14" s="114"/>
      <c r="VTG14" s="114"/>
      <c r="VTH14" s="114"/>
      <c r="VTI14" s="114"/>
      <c r="VTJ14" s="114"/>
      <c r="VTK14" s="114"/>
      <c r="VTL14" s="114"/>
      <c r="VTM14" s="114"/>
      <c r="VTN14" s="114"/>
      <c r="VTO14" s="114"/>
      <c r="VTP14" s="114"/>
      <c r="VTQ14" s="114"/>
      <c r="VTR14" s="114"/>
      <c r="VTS14" s="114"/>
      <c r="VTT14" s="114"/>
      <c r="VTU14" s="114"/>
      <c r="VTV14" s="114"/>
      <c r="VTW14" s="114"/>
      <c r="VTX14" s="114"/>
      <c r="VTY14" s="114"/>
      <c r="VTZ14" s="114"/>
      <c r="VUA14" s="114"/>
      <c r="VUB14" s="114"/>
      <c r="VUC14" s="114"/>
      <c r="VUD14" s="114"/>
      <c r="VUE14" s="114"/>
      <c r="VUF14" s="114"/>
      <c r="VUG14" s="114"/>
      <c r="VUH14" s="114"/>
      <c r="VUI14" s="114"/>
      <c r="VUJ14" s="114"/>
      <c r="VUK14" s="114"/>
      <c r="VUL14" s="114"/>
      <c r="VUM14" s="114"/>
      <c r="VUN14" s="114"/>
      <c r="VUO14" s="114"/>
      <c r="VUP14" s="114"/>
      <c r="VUQ14" s="114"/>
      <c r="VUR14" s="114"/>
      <c r="VUS14" s="114"/>
      <c r="VUT14" s="114"/>
      <c r="VUU14" s="114"/>
      <c r="VUV14" s="114"/>
      <c r="VUW14" s="114"/>
      <c r="VUX14" s="114"/>
      <c r="VUY14" s="114"/>
      <c r="VUZ14" s="114"/>
      <c r="VVA14" s="114"/>
      <c r="VVB14" s="114"/>
      <c r="VVC14" s="114"/>
      <c r="VVD14" s="114"/>
      <c r="VVE14" s="114"/>
      <c r="VVF14" s="114"/>
      <c r="VVG14" s="114"/>
      <c r="VVH14" s="114"/>
      <c r="VVI14" s="114"/>
      <c r="VVJ14" s="114"/>
      <c r="VVK14" s="114"/>
      <c r="VVL14" s="114"/>
      <c r="VVM14" s="114"/>
      <c r="VVN14" s="114"/>
      <c r="VVO14" s="114"/>
      <c r="VVP14" s="114"/>
      <c r="VVQ14" s="114"/>
      <c r="VVR14" s="114"/>
      <c r="VVS14" s="114"/>
      <c r="VVT14" s="114"/>
      <c r="VVU14" s="114"/>
      <c r="VVV14" s="114"/>
      <c r="VVW14" s="114"/>
      <c r="VVX14" s="114"/>
      <c r="VVY14" s="114"/>
      <c r="VVZ14" s="114"/>
      <c r="VWA14" s="114"/>
      <c r="VWB14" s="114"/>
      <c r="VWC14" s="114"/>
      <c r="VWD14" s="114"/>
      <c r="VWE14" s="114"/>
      <c r="VWF14" s="114"/>
      <c r="VWG14" s="114"/>
      <c r="VWH14" s="114"/>
      <c r="VWI14" s="114"/>
      <c r="VWJ14" s="114"/>
      <c r="VWK14" s="114"/>
      <c r="VWL14" s="114"/>
      <c r="VWM14" s="114"/>
      <c r="VWN14" s="114"/>
      <c r="VWO14" s="114"/>
      <c r="VWP14" s="114"/>
      <c r="VWQ14" s="114"/>
      <c r="VWR14" s="114"/>
      <c r="VWS14" s="114"/>
      <c r="VWT14" s="114"/>
      <c r="VWU14" s="114"/>
      <c r="VWV14" s="114"/>
      <c r="VWW14" s="114"/>
      <c r="VWX14" s="114"/>
      <c r="VWY14" s="114"/>
      <c r="VWZ14" s="114"/>
      <c r="VXA14" s="114"/>
      <c r="VXB14" s="114"/>
      <c r="VXC14" s="114"/>
      <c r="VXD14" s="114"/>
      <c r="VXE14" s="114"/>
      <c r="VXF14" s="114"/>
      <c r="VXG14" s="114"/>
      <c r="VXH14" s="114"/>
      <c r="VXI14" s="114"/>
      <c r="VXJ14" s="114"/>
      <c r="VXK14" s="114"/>
      <c r="VXL14" s="114"/>
      <c r="VXM14" s="114"/>
      <c r="VXN14" s="114"/>
      <c r="VXO14" s="114"/>
      <c r="VXP14" s="114"/>
      <c r="VXQ14" s="114"/>
      <c r="VXR14" s="114"/>
      <c r="VXS14" s="114"/>
      <c r="VXT14" s="114"/>
      <c r="VXU14" s="114"/>
      <c r="VXV14" s="114"/>
      <c r="VXW14" s="114"/>
      <c r="VXX14" s="114"/>
      <c r="VXY14" s="114"/>
      <c r="VXZ14" s="114"/>
      <c r="VYA14" s="114"/>
      <c r="VYB14" s="114"/>
      <c r="VYC14" s="114"/>
      <c r="VYD14" s="114"/>
      <c r="VYE14" s="114"/>
      <c r="VYF14" s="114"/>
      <c r="VYG14" s="114"/>
      <c r="VYH14" s="114"/>
      <c r="VYI14" s="114"/>
      <c r="VYJ14" s="114"/>
      <c r="VYK14" s="114"/>
      <c r="VYL14" s="114"/>
      <c r="VYM14" s="114"/>
      <c r="VYN14" s="114"/>
      <c r="VYO14" s="114"/>
      <c r="VYP14" s="114"/>
      <c r="VYQ14" s="114"/>
      <c r="VYR14" s="114"/>
      <c r="VYS14" s="114"/>
      <c r="VYT14" s="114"/>
      <c r="VYU14" s="114"/>
      <c r="VYV14" s="114"/>
      <c r="VYW14" s="114"/>
      <c r="VYX14" s="114"/>
      <c r="VYY14" s="114"/>
      <c r="VYZ14" s="114"/>
      <c r="VZA14" s="114"/>
      <c r="VZB14" s="114"/>
      <c r="VZC14" s="114"/>
      <c r="VZD14" s="114"/>
      <c r="VZE14" s="114"/>
      <c r="VZF14" s="114"/>
      <c r="VZG14" s="114"/>
      <c r="VZH14" s="114"/>
      <c r="VZI14" s="114"/>
      <c r="VZJ14" s="114"/>
      <c r="VZK14" s="114"/>
      <c r="VZL14" s="114"/>
      <c r="VZM14" s="114"/>
      <c r="VZN14" s="114"/>
      <c r="VZO14" s="114"/>
      <c r="VZP14" s="114"/>
      <c r="VZQ14" s="114"/>
      <c r="VZR14" s="114"/>
      <c r="VZS14" s="114"/>
      <c r="VZT14" s="114"/>
      <c r="VZU14" s="114"/>
      <c r="VZV14" s="114"/>
      <c r="VZW14" s="114"/>
      <c r="VZX14" s="114"/>
      <c r="VZY14" s="114"/>
      <c r="VZZ14" s="114"/>
      <c r="WAA14" s="114"/>
      <c r="WAB14" s="114"/>
      <c r="WAC14" s="114"/>
      <c r="WAD14" s="114"/>
      <c r="WAE14" s="114"/>
      <c r="WAF14" s="114"/>
      <c r="WAG14" s="114"/>
      <c r="WAH14" s="114"/>
      <c r="WAI14" s="114"/>
      <c r="WAJ14" s="114"/>
      <c r="WAK14" s="114"/>
      <c r="WAL14" s="114"/>
      <c r="WAM14" s="114"/>
      <c r="WAN14" s="114"/>
      <c r="WAO14" s="114"/>
      <c r="WAP14" s="114"/>
      <c r="WAQ14" s="114"/>
      <c r="WAR14" s="114"/>
      <c r="WAS14" s="114"/>
      <c r="WAT14" s="114"/>
      <c r="WAU14" s="114"/>
      <c r="WAV14" s="114"/>
      <c r="WAW14" s="114"/>
      <c r="WAX14" s="114"/>
      <c r="WAY14" s="114"/>
      <c r="WAZ14" s="114"/>
      <c r="WBA14" s="114"/>
      <c r="WBB14" s="114"/>
      <c r="WBC14" s="114"/>
      <c r="WBD14" s="114"/>
      <c r="WBE14" s="114"/>
      <c r="WBF14" s="114"/>
      <c r="WBG14" s="114"/>
      <c r="WBH14" s="114"/>
      <c r="WBI14" s="114"/>
      <c r="WBJ14" s="114"/>
      <c r="WBK14" s="114"/>
      <c r="WBL14" s="114"/>
      <c r="WBM14" s="114"/>
      <c r="WBN14" s="114"/>
      <c r="WBO14" s="114"/>
      <c r="WBP14" s="114"/>
      <c r="WBQ14" s="114"/>
      <c r="WBR14" s="114"/>
      <c r="WBS14" s="114"/>
      <c r="WBT14" s="114"/>
      <c r="WBU14" s="114"/>
      <c r="WBV14" s="114"/>
      <c r="WBW14" s="114"/>
      <c r="WBX14" s="114"/>
      <c r="WBY14" s="114"/>
      <c r="WBZ14" s="114"/>
      <c r="WCA14" s="114"/>
      <c r="WCB14" s="114"/>
      <c r="WCC14" s="114"/>
      <c r="WCD14" s="114"/>
      <c r="WCE14" s="114"/>
      <c r="WCF14" s="114"/>
      <c r="WCG14" s="114"/>
      <c r="WCH14" s="114"/>
      <c r="WCI14" s="114"/>
      <c r="WCJ14" s="114"/>
      <c r="WCK14" s="114"/>
      <c r="WCL14" s="114"/>
      <c r="WCM14" s="114"/>
      <c r="WCN14" s="114"/>
      <c r="WCO14" s="114"/>
      <c r="WCP14" s="114"/>
      <c r="WCQ14" s="114"/>
      <c r="WCR14" s="114"/>
      <c r="WCS14" s="114"/>
      <c r="WCT14" s="114"/>
      <c r="WCU14" s="114"/>
      <c r="WCV14" s="114"/>
      <c r="WCW14" s="114"/>
      <c r="WCX14" s="114"/>
      <c r="WCY14" s="114"/>
      <c r="WCZ14" s="114"/>
      <c r="WDA14" s="114"/>
      <c r="WDB14" s="114"/>
      <c r="WDC14" s="114"/>
      <c r="WDD14" s="114"/>
      <c r="WDE14" s="114"/>
      <c r="WDF14" s="114"/>
      <c r="WDG14" s="114"/>
      <c r="WDH14" s="114"/>
      <c r="WDI14" s="114"/>
      <c r="WDJ14" s="114"/>
      <c r="WDK14" s="114"/>
      <c r="WDL14" s="114"/>
      <c r="WDM14" s="114"/>
      <c r="WDN14" s="114"/>
      <c r="WDO14" s="114"/>
      <c r="WDP14" s="114"/>
      <c r="WDQ14" s="114"/>
      <c r="WDR14" s="114"/>
      <c r="WDS14" s="114"/>
      <c r="WDT14" s="114"/>
      <c r="WDU14" s="114"/>
      <c r="WDV14" s="114"/>
      <c r="WDW14" s="114"/>
      <c r="WDX14" s="114"/>
      <c r="WDY14" s="114"/>
      <c r="WDZ14" s="114"/>
      <c r="WEA14" s="114"/>
      <c r="WEB14" s="114"/>
      <c r="WEC14" s="114"/>
      <c r="WED14" s="114"/>
      <c r="WEE14" s="114"/>
      <c r="WEF14" s="114"/>
      <c r="WEG14" s="114"/>
      <c r="WEH14" s="114"/>
      <c r="WEI14" s="114"/>
      <c r="WEJ14" s="114"/>
      <c r="WEK14" s="114"/>
      <c r="WEL14" s="114"/>
      <c r="WEM14" s="114"/>
      <c r="WEN14" s="114"/>
      <c r="WEO14" s="114"/>
      <c r="WEP14" s="114"/>
      <c r="WEQ14" s="114"/>
      <c r="WER14" s="114"/>
      <c r="WES14" s="114"/>
      <c r="WET14" s="114"/>
      <c r="WEU14" s="114"/>
      <c r="WEV14" s="114"/>
      <c r="WEW14" s="114"/>
      <c r="WEX14" s="114"/>
      <c r="WEY14" s="114"/>
      <c r="WEZ14" s="114"/>
      <c r="WFA14" s="114"/>
      <c r="WFB14" s="114"/>
      <c r="WFC14" s="114"/>
      <c r="WFD14" s="114"/>
      <c r="WFE14" s="114"/>
      <c r="WFF14" s="114"/>
      <c r="WFG14" s="114"/>
      <c r="WFH14" s="114"/>
      <c r="WFI14" s="114"/>
      <c r="WFJ14" s="114"/>
      <c r="WFK14" s="114"/>
      <c r="WFL14" s="114"/>
      <c r="WFM14" s="114"/>
      <c r="WFN14" s="114"/>
      <c r="WFO14" s="114"/>
      <c r="WFP14" s="114"/>
      <c r="WFQ14" s="114"/>
      <c r="WFR14" s="114"/>
      <c r="WFS14" s="114"/>
      <c r="WFT14" s="114"/>
      <c r="WFU14" s="114"/>
      <c r="WFV14" s="114"/>
      <c r="WFW14" s="114"/>
      <c r="WFX14" s="114"/>
      <c r="WFY14" s="114"/>
      <c r="WFZ14" s="114"/>
      <c r="WGA14" s="114"/>
      <c r="WGB14" s="114"/>
      <c r="WGC14" s="114"/>
      <c r="WGD14" s="114"/>
      <c r="WGE14" s="114"/>
      <c r="WGF14" s="114"/>
      <c r="WGG14" s="114"/>
      <c r="WGH14" s="114"/>
      <c r="WGI14" s="114"/>
      <c r="WGJ14" s="114"/>
      <c r="WGK14" s="114"/>
      <c r="WGL14" s="114"/>
      <c r="WGM14" s="114"/>
      <c r="WGN14" s="114"/>
      <c r="WGO14" s="114"/>
      <c r="WGP14" s="114"/>
      <c r="WGQ14" s="114"/>
      <c r="WGR14" s="114"/>
      <c r="WGS14" s="114"/>
      <c r="WGT14" s="114"/>
      <c r="WGU14" s="114"/>
      <c r="WGV14" s="114"/>
      <c r="WGW14" s="114"/>
      <c r="WGX14" s="114"/>
      <c r="WGY14" s="114"/>
      <c r="WGZ14" s="114"/>
      <c r="WHA14" s="114"/>
      <c r="WHB14" s="114"/>
      <c r="WHC14" s="114"/>
      <c r="WHD14" s="114"/>
      <c r="WHE14" s="114"/>
      <c r="WHF14" s="114"/>
      <c r="WHG14" s="114"/>
      <c r="WHH14" s="114"/>
      <c r="WHI14" s="114"/>
      <c r="WHJ14" s="114"/>
      <c r="WHK14" s="114"/>
      <c r="WHL14" s="114"/>
      <c r="WHM14" s="114"/>
      <c r="WHN14" s="114"/>
      <c r="WHO14" s="114"/>
      <c r="WHP14" s="114"/>
      <c r="WHQ14" s="114"/>
      <c r="WHR14" s="114"/>
      <c r="WHS14" s="114"/>
      <c r="WHT14" s="114"/>
      <c r="WHU14" s="114"/>
      <c r="WHV14" s="114"/>
      <c r="WHW14" s="114"/>
      <c r="WHX14" s="114"/>
      <c r="WHY14" s="114"/>
      <c r="WHZ14" s="114"/>
      <c r="WIA14" s="114"/>
      <c r="WIB14" s="114"/>
      <c r="WIC14" s="114"/>
      <c r="WID14" s="114"/>
      <c r="WIE14" s="114"/>
      <c r="WIF14" s="114"/>
      <c r="WIG14" s="114"/>
      <c r="WIH14" s="114"/>
      <c r="WII14" s="114"/>
      <c r="WIJ14" s="114"/>
      <c r="WIK14" s="114"/>
      <c r="WIL14" s="114"/>
      <c r="WIM14" s="114"/>
      <c r="WIN14" s="114"/>
      <c r="WIO14" s="114"/>
      <c r="WIP14" s="114"/>
      <c r="WIQ14" s="114"/>
      <c r="WIR14" s="114"/>
      <c r="WIS14" s="114"/>
      <c r="WIT14" s="114"/>
      <c r="WIU14" s="114"/>
      <c r="WIV14" s="114"/>
      <c r="WIW14" s="114"/>
      <c r="WIX14" s="114"/>
      <c r="WIY14" s="114"/>
      <c r="WIZ14" s="114"/>
      <c r="WJA14" s="114"/>
      <c r="WJB14" s="114"/>
      <c r="WJC14" s="114"/>
      <c r="WJD14" s="114"/>
      <c r="WJE14" s="114"/>
      <c r="WJF14" s="114"/>
      <c r="WJG14" s="114"/>
      <c r="WJH14" s="114"/>
      <c r="WJI14" s="114"/>
      <c r="WJJ14" s="114"/>
      <c r="WJK14" s="114"/>
      <c r="WJL14" s="114"/>
      <c r="WJM14" s="114"/>
      <c r="WJN14" s="114"/>
      <c r="WJO14" s="114"/>
      <c r="WJP14" s="114"/>
      <c r="WJQ14" s="114"/>
      <c r="WJR14" s="114"/>
      <c r="WJS14" s="114"/>
      <c r="WJT14" s="114"/>
      <c r="WJU14" s="114"/>
      <c r="WJV14" s="114"/>
      <c r="WJW14" s="114"/>
      <c r="WJX14" s="114"/>
      <c r="WJY14" s="114"/>
      <c r="WJZ14" s="114"/>
      <c r="WKA14" s="114"/>
      <c r="WKB14" s="114"/>
      <c r="WKC14" s="114"/>
      <c r="WKD14" s="114"/>
      <c r="WKE14" s="114"/>
      <c r="WKF14" s="114"/>
      <c r="WKG14" s="114"/>
      <c r="WKH14" s="114"/>
      <c r="WKI14" s="114"/>
      <c r="WKJ14" s="114"/>
      <c r="WKK14" s="114"/>
      <c r="WKL14" s="114"/>
      <c r="WKM14" s="114"/>
      <c r="WKN14" s="114"/>
      <c r="WKO14" s="114"/>
      <c r="WKP14" s="114"/>
      <c r="WKQ14" s="114"/>
      <c r="WKR14" s="114"/>
      <c r="WKS14" s="114"/>
      <c r="WKT14" s="114"/>
      <c r="WKU14" s="114"/>
      <c r="WKV14" s="114"/>
      <c r="WKW14" s="114"/>
      <c r="WKX14" s="114"/>
      <c r="WKY14" s="114"/>
      <c r="WKZ14" s="114"/>
      <c r="WLA14" s="114"/>
      <c r="WLB14" s="114"/>
      <c r="WLC14" s="114"/>
      <c r="WLD14" s="114"/>
      <c r="WLE14" s="114"/>
      <c r="WLF14" s="114"/>
      <c r="WLG14" s="114"/>
      <c r="WLH14" s="114"/>
      <c r="WLI14" s="114"/>
      <c r="WLJ14" s="114"/>
      <c r="WLK14" s="114"/>
      <c r="WLL14" s="114"/>
      <c r="WLM14" s="114"/>
      <c r="WLN14" s="114"/>
      <c r="WLO14" s="114"/>
      <c r="WLP14" s="114"/>
      <c r="WLQ14" s="114"/>
      <c r="WLR14" s="114"/>
      <c r="WLS14" s="114"/>
      <c r="WLT14" s="114"/>
      <c r="WLU14" s="114"/>
      <c r="WLV14" s="114"/>
      <c r="WLW14" s="114"/>
      <c r="WLX14" s="114"/>
      <c r="WLY14" s="114"/>
      <c r="WLZ14" s="114"/>
      <c r="WMA14" s="114"/>
      <c r="WMB14" s="114"/>
      <c r="WMC14" s="114"/>
      <c r="WMD14" s="114"/>
      <c r="WME14" s="114"/>
      <c r="WMF14" s="114"/>
      <c r="WMG14" s="114"/>
      <c r="WMH14" s="114"/>
      <c r="WMI14" s="114"/>
      <c r="WMJ14" s="114"/>
      <c r="WMK14" s="114"/>
      <c r="WML14" s="114"/>
      <c r="WMM14" s="114"/>
      <c r="WMN14" s="114"/>
      <c r="WMO14" s="114"/>
      <c r="WMP14" s="114"/>
      <c r="WMQ14" s="114"/>
      <c r="WMR14" s="114"/>
      <c r="WMS14" s="114"/>
      <c r="WMT14" s="114"/>
      <c r="WMU14" s="114"/>
      <c r="WMV14" s="114"/>
      <c r="WMW14" s="114"/>
      <c r="WMX14" s="114"/>
      <c r="WMY14" s="114"/>
      <c r="WMZ14" s="114"/>
      <c r="WNA14" s="114"/>
      <c r="WNB14" s="114"/>
      <c r="WNC14" s="114"/>
      <c r="WND14" s="114"/>
      <c r="WNE14" s="114"/>
      <c r="WNF14" s="114"/>
      <c r="WNG14" s="114"/>
      <c r="WNH14" s="114"/>
      <c r="WNI14" s="114"/>
      <c r="WNJ14" s="114"/>
      <c r="WNK14" s="114"/>
      <c r="WNL14" s="114"/>
      <c r="WNM14" s="114"/>
      <c r="WNN14" s="114"/>
      <c r="WNO14" s="114"/>
      <c r="WNP14" s="114"/>
      <c r="WNQ14" s="114"/>
      <c r="WNR14" s="114"/>
      <c r="WNS14" s="114"/>
      <c r="WNT14" s="114"/>
      <c r="WNU14" s="114"/>
      <c r="WNV14" s="114"/>
      <c r="WNW14" s="114"/>
      <c r="WNX14" s="114"/>
      <c r="WNY14" s="114"/>
      <c r="WNZ14" s="114"/>
      <c r="WOA14" s="114"/>
      <c r="WOB14" s="114"/>
      <c r="WOC14" s="114"/>
      <c r="WOD14" s="114"/>
      <c r="WOE14" s="114"/>
      <c r="WOF14" s="114"/>
      <c r="WOG14" s="114"/>
      <c r="WOH14" s="114"/>
      <c r="WOI14" s="114"/>
      <c r="WOJ14" s="114"/>
      <c r="WOK14" s="114"/>
      <c r="WOL14" s="114"/>
      <c r="WOM14" s="114"/>
      <c r="WON14" s="114"/>
      <c r="WOO14" s="114"/>
      <c r="WOP14" s="114"/>
      <c r="WOQ14" s="114"/>
      <c r="WOR14" s="114"/>
      <c r="WOS14" s="114"/>
      <c r="WOT14" s="114"/>
      <c r="WOU14" s="114"/>
      <c r="WOV14" s="114"/>
      <c r="WOW14" s="114"/>
      <c r="WOX14" s="114"/>
      <c r="WOY14" s="114"/>
      <c r="WOZ14" s="114"/>
      <c r="WPA14" s="114"/>
      <c r="WPB14" s="114"/>
      <c r="WPC14" s="114"/>
      <c r="WPD14" s="114"/>
      <c r="WPE14" s="114"/>
      <c r="WPF14" s="114"/>
      <c r="WPG14" s="114"/>
      <c r="WPH14" s="114"/>
      <c r="WPI14" s="114"/>
      <c r="WPJ14" s="114"/>
      <c r="WPK14" s="114"/>
      <c r="WPL14" s="114"/>
      <c r="WPM14" s="114"/>
      <c r="WPN14" s="114"/>
      <c r="WPO14" s="114"/>
      <c r="WPP14" s="114"/>
      <c r="WPQ14" s="114"/>
      <c r="WPR14" s="114"/>
      <c r="WPS14" s="114"/>
      <c r="WPT14" s="114"/>
      <c r="WPU14" s="114"/>
      <c r="WPV14" s="114"/>
      <c r="WPW14" s="114"/>
      <c r="WPX14" s="114"/>
      <c r="WPY14" s="114"/>
      <c r="WPZ14" s="114"/>
      <c r="WQA14" s="114"/>
      <c r="WQB14" s="114"/>
      <c r="WQC14" s="114"/>
      <c r="WQD14" s="114"/>
      <c r="WQE14" s="114"/>
      <c r="WQF14" s="114"/>
      <c r="WQG14" s="114"/>
      <c r="WQH14" s="114"/>
      <c r="WQI14" s="114"/>
      <c r="WQJ14" s="114"/>
      <c r="WQK14" s="114"/>
      <c r="WQL14" s="114"/>
      <c r="WQM14" s="114"/>
      <c r="WQN14" s="114"/>
      <c r="WQO14" s="114"/>
      <c r="WQP14" s="114"/>
      <c r="WQQ14" s="114"/>
      <c r="WQR14" s="114"/>
      <c r="WQS14" s="114"/>
      <c r="WQT14" s="114"/>
      <c r="WQU14" s="114"/>
      <c r="WQV14" s="114"/>
      <c r="WQW14" s="114"/>
      <c r="WQX14" s="114"/>
      <c r="WQY14" s="114"/>
      <c r="WQZ14" s="114"/>
      <c r="WRA14" s="114"/>
      <c r="WRB14" s="114"/>
      <c r="WRC14" s="114"/>
      <c r="WRD14" s="114"/>
      <c r="WRE14" s="114"/>
      <c r="WRF14" s="114"/>
      <c r="WRG14" s="114"/>
      <c r="WRH14" s="114"/>
      <c r="WRI14" s="114"/>
      <c r="WRJ14" s="114"/>
      <c r="WRK14" s="114"/>
      <c r="WRL14" s="114"/>
      <c r="WRM14" s="114"/>
      <c r="WRN14" s="114"/>
      <c r="WRO14" s="114"/>
      <c r="WRP14" s="114"/>
      <c r="WRQ14" s="114"/>
      <c r="WRR14" s="114"/>
      <c r="WRS14" s="114"/>
      <c r="WRT14" s="114"/>
      <c r="WRU14" s="114"/>
      <c r="WRV14" s="114"/>
      <c r="WRW14" s="114"/>
      <c r="WRX14" s="114"/>
      <c r="WRY14" s="114"/>
      <c r="WRZ14" s="114"/>
      <c r="WSA14" s="114"/>
      <c r="WSB14" s="114"/>
      <c r="WSC14" s="114"/>
      <c r="WSD14" s="114"/>
      <c r="WSE14" s="114"/>
      <c r="WSF14" s="114"/>
      <c r="WSG14" s="114"/>
      <c r="WSH14" s="114"/>
      <c r="WSI14" s="114"/>
      <c r="WSJ14" s="114"/>
      <c r="WSK14" s="114"/>
      <c r="WSL14" s="114"/>
      <c r="WSM14" s="114"/>
      <c r="WSN14" s="114"/>
      <c r="WSO14" s="114"/>
      <c r="WSP14" s="114"/>
      <c r="WSQ14" s="114"/>
      <c r="WSR14" s="114"/>
      <c r="WSS14" s="114"/>
      <c r="WST14" s="114"/>
      <c r="WSU14" s="114"/>
      <c r="WSV14" s="114"/>
      <c r="WSW14" s="114"/>
      <c r="WSX14" s="114"/>
      <c r="WSY14" s="114"/>
      <c r="WSZ14" s="114"/>
      <c r="WTA14" s="114"/>
      <c r="WTB14" s="114"/>
      <c r="WTC14" s="114"/>
      <c r="WTD14" s="114"/>
      <c r="WTE14" s="114"/>
      <c r="WTF14" s="114"/>
      <c r="WTG14" s="114"/>
      <c r="WTH14" s="114"/>
      <c r="WTI14" s="114"/>
      <c r="WTJ14" s="114"/>
      <c r="WTK14" s="114"/>
      <c r="WTL14" s="114"/>
      <c r="WTM14" s="114"/>
      <c r="WTN14" s="114"/>
      <c r="WTO14" s="114"/>
      <c r="WTP14" s="114"/>
      <c r="WTQ14" s="114"/>
      <c r="WTR14" s="114"/>
      <c r="WTS14" s="114"/>
      <c r="WTT14" s="114"/>
      <c r="WTU14" s="114"/>
      <c r="WTV14" s="114"/>
      <c r="WTW14" s="114"/>
      <c r="WTX14" s="114"/>
      <c r="WTY14" s="114"/>
      <c r="WTZ14" s="114"/>
      <c r="WUA14" s="114"/>
      <c r="WUB14" s="114"/>
      <c r="WUC14" s="114"/>
      <c r="WUD14" s="114"/>
      <c r="WUE14" s="114"/>
      <c r="WUF14" s="114"/>
      <c r="WUG14" s="114"/>
      <c r="WUH14" s="114"/>
      <c r="WUI14" s="114"/>
      <c r="WUJ14" s="114"/>
      <c r="WUK14" s="114"/>
      <c r="WUL14" s="114"/>
      <c r="WUM14" s="114"/>
      <c r="WUN14" s="114"/>
      <c r="WUO14" s="114"/>
      <c r="WUP14" s="114"/>
      <c r="WUQ14" s="114"/>
      <c r="WUR14" s="114"/>
      <c r="WUS14" s="114"/>
      <c r="WUT14" s="114"/>
      <c r="WUU14" s="114"/>
      <c r="WUV14" s="114"/>
      <c r="WUW14" s="114"/>
      <c r="WUX14" s="114"/>
      <c r="WUY14" s="114"/>
      <c r="WUZ14" s="114"/>
      <c r="WVA14" s="114"/>
      <c r="WVB14" s="114"/>
      <c r="WVC14" s="114"/>
      <c r="WVD14" s="114"/>
      <c r="WVE14" s="114"/>
      <c r="WVF14" s="114"/>
      <c r="WVG14" s="114"/>
      <c r="WVH14" s="114"/>
      <c r="WVI14" s="114"/>
      <c r="WVJ14" s="114"/>
      <c r="WVK14" s="114"/>
      <c r="WVL14" s="114"/>
      <c r="WVM14" s="114"/>
      <c r="WVN14" s="114"/>
      <c r="WVO14" s="114"/>
      <c r="WVP14" s="114"/>
      <c r="WVQ14" s="114"/>
      <c r="WVR14" s="114"/>
      <c r="WVS14" s="114"/>
      <c r="WVT14" s="114"/>
      <c r="WVU14" s="114"/>
      <c r="WVV14" s="114"/>
      <c r="WVW14" s="114"/>
      <c r="WVX14" s="114"/>
      <c r="WVY14" s="114"/>
      <c r="WVZ14" s="114"/>
      <c r="WWA14" s="114"/>
      <c r="WWB14" s="114"/>
      <c r="WWC14" s="114"/>
      <c r="WWD14" s="114"/>
      <c r="WWE14" s="114"/>
      <c r="WWF14" s="114"/>
      <c r="WWG14" s="114"/>
      <c r="WWH14" s="114"/>
      <c r="WWI14" s="114"/>
      <c r="WWJ14" s="114"/>
      <c r="WWK14" s="114"/>
      <c r="WWL14" s="114"/>
      <c r="WWM14" s="114"/>
      <c r="WWN14" s="114"/>
      <c r="WWO14" s="114"/>
      <c r="WWP14" s="114"/>
      <c r="WWQ14" s="114"/>
      <c r="WWR14" s="114"/>
      <c r="WWS14" s="114"/>
      <c r="WWT14" s="114"/>
      <c r="WWU14" s="114"/>
      <c r="WWV14" s="114"/>
      <c r="WWW14" s="114"/>
      <c r="WWX14" s="114"/>
      <c r="WWY14" s="114"/>
      <c r="WWZ14" s="114"/>
      <c r="WXA14" s="114"/>
      <c r="WXB14" s="114"/>
      <c r="WXC14" s="114"/>
      <c r="WXD14" s="114"/>
      <c r="WXE14" s="114"/>
      <c r="WXF14" s="114"/>
      <c r="WXG14" s="114"/>
      <c r="WXH14" s="114"/>
      <c r="WXI14" s="114"/>
      <c r="WXJ14" s="114"/>
      <c r="WXK14" s="114"/>
      <c r="WXL14" s="114"/>
      <c r="WXM14" s="114"/>
      <c r="WXN14" s="114"/>
      <c r="WXO14" s="114"/>
      <c r="WXP14" s="114"/>
      <c r="WXQ14" s="114"/>
      <c r="WXR14" s="114"/>
      <c r="WXS14" s="114"/>
      <c r="WXT14" s="114"/>
      <c r="WXU14" s="114"/>
      <c r="WXV14" s="114"/>
      <c r="WXW14" s="114"/>
      <c r="WXX14" s="114"/>
      <c r="WXY14" s="114"/>
      <c r="WXZ14" s="114"/>
      <c r="WYA14" s="114"/>
      <c r="WYB14" s="114"/>
      <c r="WYC14" s="114"/>
      <c r="WYD14" s="114"/>
      <c r="WYE14" s="114"/>
      <c r="WYF14" s="114"/>
      <c r="WYG14" s="114"/>
      <c r="WYH14" s="114"/>
      <c r="WYI14" s="114"/>
      <c r="WYJ14" s="114"/>
      <c r="WYK14" s="114"/>
      <c r="WYL14" s="114"/>
      <c r="WYM14" s="114"/>
      <c r="WYN14" s="114"/>
      <c r="WYO14" s="114"/>
      <c r="WYP14" s="114"/>
      <c r="WYQ14" s="114"/>
      <c r="WYR14" s="114"/>
      <c r="WYS14" s="114"/>
      <c r="WYT14" s="114"/>
      <c r="WYU14" s="114"/>
      <c r="WYV14" s="114"/>
      <c r="WYW14" s="114"/>
      <c r="WYX14" s="114"/>
      <c r="WYY14" s="114"/>
      <c r="WYZ14" s="114"/>
      <c r="WZA14" s="114"/>
      <c r="WZB14" s="114"/>
      <c r="WZC14" s="114"/>
      <c r="WZD14" s="114"/>
      <c r="WZE14" s="114"/>
      <c r="WZF14" s="114"/>
      <c r="WZG14" s="114"/>
      <c r="WZH14" s="114"/>
      <c r="WZI14" s="114"/>
      <c r="WZJ14" s="114"/>
      <c r="WZK14" s="114"/>
      <c r="WZL14" s="114"/>
      <c r="WZM14" s="114"/>
      <c r="WZN14" s="114"/>
      <c r="WZO14" s="114"/>
      <c r="WZP14" s="114"/>
      <c r="WZQ14" s="114"/>
      <c r="WZR14" s="114"/>
      <c r="WZS14" s="114"/>
      <c r="WZT14" s="114"/>
      <c r="WZU14" s="114"/>
      <c r="WZV14" s="114"/>
      <c r="WZW14" s="114"/>
      <c r="WZX14" s="114"/>
      <c r="WZY14" s="114"/>
      <c r="WZZ14" s="114"/>
      <c r="XAA14" s="114"/>
      <c r="XAB14" s="114"/>
      <c r="XAC14" s="114"/>
      <c r="XAD14" s="114"/>
      <c r="XAE14" s="114"/>
      <c r="XAF14" s="114"/>
      <c r="XAG14" s="114"/>
      <c r="XAH14" s="114"/>
      <c r="XAI14" s="114"/>
      <c r="XAJ14" s="114"/>
      <c r="XAK14" s="114"/>
      <c r="XAL14" s="114"/>
      <c r="XAM14" s="114"/>
      <c r="XAN14" s="114"/>
      <c r="XAO14" s="114"/>
      <c r="XAP14" s="114"/>
      <c r="XAQ14" s="114"/>
      <c r="XAR14" s="114"/>
      <c r="XAS14" s="114"/>
      <c r="XAT14" s="114"/>
      <c r="XAU14" s="114"/>
      <c r="XAV14" s="114"/>
      <c r="XAW14" s="114"/>
      <c r="XAX14" s="114"/>
      <c r="XAY14" s="114"/>
      <c r="XAZ14" s="114"/>
      <c r="XBA14" s="114"/>
      <c r="XBB14" s="114"/>
      <c r="XBC14" s="114"/>
      <c r="XBD14" s="114"/>
      <c r="XBE14" s="114"/>
      <c r="XBF14" s="114"/>
      <c r="XBG14" s="114"/>
      <c r="XBH14" s="114"/>
      <c r="XBI14" s="114"/>
      <c r="XBJ14" s="114"/>
      <c r="XBK14" s="114"/>
      <c r="XBL14" s="114"/>
      <c r="XBM14" s="114"/>
      <c r="XBN14" s="114"/>
      <c r="XBO14" s="114"/>
      <c r="XBP14" s="114"/>
      <c r="XBQ14" s="114"/>
      <c r="XBR14" s="114"/>
      <c r="XBS14" s="114"/>
      <c r="XBT14" s="114"/>
      <c r="XBU14" s="114"/>
      <c r="XBV14" s="114"/>
      <c r="XBW14" s="114"/>
      <c r="XBX14" s="114"/>
      <c r="XBY14" s="114"/>
      <c r="XBZ14" s="114"/>
      <c r="XCA14" s="114"/>
      <c r="XCB14" s="114"/>
      <c r="XCC14" s="114"/>
      <c r="XCD14" s="114"/>
      <c r="XCE14" s="114"/>
      <c r="XCF14" s="114"/>
      <c r="XCG14" s="114"/>
      <c r="XCH14" s="114"/>
      <c r="XCI14" s="114"/>
      <c r="XCJ14" s="114"/>
      <c r="XCK14" s="114"/>
      <c r="XCL14" s="114"/>
      <c r="XCM14" s="114"/>
      <c r="XCN14" s="114"/>
      <c r="XCO14" s="114"/>
      <c r="XCP14" s="114"/>
      <c r="XCQ14" s="114"/>
      <c r="XCR14" s="114"/>
      <c r="XCS14" s="114"/>
      <c r="XCT14" s="114"/>
      <c r="XCU14" s="114"/>
      <c r="XCV14" s="114"/>
      <c r="XCW14" s="114"/>
      <c r="XCX14" s="114"/>
      <c r="XCY14" s="114"/>
      <c r="XCZ14" s="114"/>
      <c r="XDA14" s="114"/>
      <c r="XDB14" s="114"/>
      <c r="XDC14" s="114"/>
      <c r="XDD14" s="114"/>
      <c r="XDE14" s="114"/>
      <c r="XDF14" s="114"/>
      <c r="XDG14" s="114"/>
      <c r="XDH14" s="114"/>
      <c r="XDI14" s="114"/>
      <c r="XDJ14" s="114"/>
      <c r="XDK14" s="114"/>
      <c r="XDL14" s="114"/>
      <c r="XDM14" s="114"/>
      <c r="XDN14" s="114"/>
      <c r="XDO14" s="114"/>
      <c r="XDP14" s="114"/>
      <c r="XDQ14" s="114"/>
      <c r="XDR14" s="114"/>
      <c r="XDS14" s="114"/>
      <c r="XDT14" s="114"/>
      <c r="XDU14" s="114"/>
      <c r="XDV14" s="114"/>
      <c r="XDW14" s="114"/>
      <c r="XDX14" s="114"/>
      <c r="XDY14" s="114"/>
      <c r="XDZ14" s="114"/>
      <c r="XEA14" s="114"/>
      <c r="XEB14" s="114"/>
      <c r="XEC14" s="114"/>
      <c r="XED14" s="114"/>
      <c r="XEE14" s="114"/>
      <c r="XEF14" s="114"/>
      <c r="XEG14" s="114"/>
      <c r="XEH14" s="114"/>
      <c r="XEI14" s="114"/>
      <c r="XEJ14" s="114"/>
      <c r="XEK14" s="114"/>
      <c r="XEL14" s="114"/>
      <c r="XEM14" s="114"/>
      <c r="XEN14" s="114"/>
      <c r="XEO14" s="114"/>
      <c r="XEP14" s="114"/>
      <c r="XEQ14" s="114"/>
      <c r="XER14" s="114"/>
      <c r="XES14" s="114"/>
      <c r="XET14" s="114"/>
      <c r="XEU14" s="114"/>
      <c r="XEV14" s="114"/>
    </row>
    <row r="15" spans="1:16376" ht="13" x14ac:dyDescent="0.3">
      <c r="A15" s="82"/>
      <c r="B15" s="96">
        <v>24030</v>
      </c>
      <c r="C15" s="67" t="s">
        <v>2252</v>
      </c>
      <c r="D15" s="68" t="s">
        <v>1948</v>
      </c>
      <c r="E15" s="68" t="s">
        <v>1768</v>
      </c>
      <c r="F15" s="99" t="s">
        <v>5</v>
      </c>
      <c r="G15" s="68" t="s">
        <v>2173</v>
      </c>
      <c r="H15" s="74" t="s">
        <v>452</v>
      </c>
      <c r="I15" s="68" t="s">
        <v>145</v>
      </c>
      <c r="J15" s="68"/>
      <c r="K15" s="74"/>
      <c r="L15" s="74"/>
      <c r="M15" s="79" t="s">
        <v>6</v>
      </c>
      <c r="N15" s="67" t="s">
        <v>1854</v>
      </c>
      <c r="O15" s="81">
        <v>45531</v>
      </c>
      <c r="P15" s="110">
        <v>45598</v>
      </c>
      <c r="Q15" s="74"/>
      <c r="R15" s="106" t="s">
        <v>10</v>
      </c>
      <c r="S15" s="253">
        <v>45498</v>
      </c>
      <c r="T15" s="254">
        <v>45498</v>
      </c>
      <c r="U15" s="255">
        <v>45657</v>
      </c>
      <c r="V15" s="74"/>
      <c r="W15" s="62" t="s">
        <v>10</v>
      </c>
      <c r="X15" s="104"/>
      <c r="Y15" s="104"/>
      <c r="Z15" s="107">
        <v>0</v>
      </c>
      <c r="AA15" s="105"/>
      <c r="AB15" s="74"/>
      <c r="AC15" s="74"/>
      <c r="AD15" s="108" t="s">
        <v>2231</v>
      </c>
      <c r="AE15" s="108" t="s">
        <v>2232</v>
      </c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  <c r="BP15" s="114"/>
      <c r="BQ15" s="114"/>
      <c r="BR15" s="114"/>
      <c r="BS15" s="114"/>
      <c r="BT15" s="114"/>
      <c r="BU15" s="114"/>
      <c r="BV15" s="114"/>
      <c r="BW15" s="114"/>
      <c r="BX15" s="114"/>
      <c r="BY15" s="114"/>
      <c r="BZ15" s="114"/>
      <c r="CA15" s="114"/>
      <c r="CB15" s="114"/>
      <c r="CC15" s="114"/>
      <c r="CD15" s="114"/>
      <c r="CE15" s="114"/>
      <c r="CF15" s="114"/>
      <c r="CG15" s="114"/>
      <c r="CH15" s="114"/>
      <c r="CI15" s="114"/>
      <c r="CJ15" s="114"/>
      <c r="CK15" s="114"/>
      <c r="CL15" s="114"/>
      <c r="CM15" s="114"/>
      <c r="CN15" s="114"/>
      <c r="CO15" s="114"/>
      <c r="CP15" s="114"/>
      <c r="CQ15" s="114"/>
      <c r="CR15" s="114"/>
      <c r="CS15" s="114"/>
      <c r="CT15" s="114"/>
      <c r="CU15" s="114"/>
      <c r="CV15" s="114"/>
      <c r="CW15" s="114"/>
      <c r="CX15" s="114"/>
      <c r="CY15" s="114"/>
      <c r="CZ15" s="114"/>
      <c r="DA15" s="114"/>
      <c r="DB15" s="114"/>
      <c r="DC15" s="114"/>
      <c r="DD15" s="114"/>
      <c r="DE15" s="114"/>
      <c r="DF15" s="114"/>
      <c r="DG15" s="114"/>
      <c r="DH15" s="114"/>
      <c r="DI15" s="114"/>
      <c r="DJ15" s="114"/>
      <c r="DK15" s="114"/>
      <c r="DL15" s="114"/>
      <c r="DM15" s="114"/>
      <c r="DN15" s="114"/>
      <c r="DO15" s="114"/>
      <c r="DP15" s="114"/>
      <c r="DQ15" s="114"/>
      <c r="DR15" s="114"/>
      <c r="DS15" s="114"/>
      <c r="DT15" s="114"/>
      <c r="DU15" s="114"/>
      <c r="DV15" s="114"/>
      <c r="DW15" s="114"/>
      <c r="DX15" s="114"/>
      <c r="DY15" s="114"/>
      <c r="DZ15" s="114"/>
      <c r="EA15" s="114"/>
      <c r="EB15" s="114"/>
      <c r="EC15" s="114"/>
      <c r="ED15" s="114"/>
      <c r="EE15" s="114"/>
      <c r="EF15" s="114"/>
      <c r="EG15" s="114"/>
      <c r="EH15" s="114"/>
      <c r="EI15" s="114"/>
      <c r="EJ15" s="114"/>
      <c r="EK15" s="114"/>
      <c r="EL15" s="114"/>
      <c r="EM15" s="114"/>
      <c r="EN15" s="114"/>
      <c r="EO15" s="114"/>
      <c r="EP15" s="114"/>
      <c r="EQ15" s="114"/>
      <c r="ER15" s="114"/>
      <c r="ES15" s="114"/>
      <c r="ET15" s="114"/>
      <c r="EU15" s="114"/>
      <c r="EV15" s="114"/>
      <c r="EW15" s="114"/>
      <c r="EX15" s="114"/>
      <c r="EY15" s="114"/>
      <c r="EZ15" s="114"/>
      <c r="FA15" s="114"/>
      <c r="FB15" s="114"/>
      <c r="FC15" s="114"/>
      <c r="FD15" s="114"/>
      <c r="FE15" s="114"/>
      <c r="FF15" s="114"/>
      <c r="FG15" s="114"/>
      <c r="FH15" s="114"/>
      <c r="FI15" s="114"/>
      <c r="FJ15" s="114"/>
      <c r="FK15" s="114"/>
      <c r="FL15" s="114"/>
      <c r="FM15" s="114"/>
      <c r="FN15" s="114"/>
      <c r="FO15" s="114"/>
      <c r="FP15" s="114"/>
      <c r="FQ15" s="114"/>
      <c r="FR15" s="114"/>
      <c r="FS15" s="114"/>
      <c r="FT15" s="114"/>
      <c r="FU15" s="114"/>
      <c r="FV15" s="114"/>
      <c r="FW15" s="114"/>
      <c r="FX15" s="114"/>
      <c r="FY15" s="114"/>
      <c r="FZ15" s="114"/>
      <c r="GA15" s="114"/>
      <c r="GB15" s="114"/>
      <c r="GC15" s="114"/>
      <c r="GD15" s="114"/>
      <c r="GE15" s="114"/>
      <c r="GF15" s="114"/>
      <c r="GG15" s="114"/>
      <c r="GH15" s="114"/>
      <c r="GI15" s="114"/>
      <c r="GJ15" s="114"/>
      <c r="GK15" s="114"/>
      <c r="GL15" s="114"/>
      <c r="GM15" s="114"/>
      <c r="GN15" s="114"/>
      <c r="GO15" s="114"/>
      <c r="GP15" s="114"/>
      <c r="GQ15" s="114"/>
      <c r="GR15" s="114"/>
      <c r="GS15" s="114"/>
      <c r="GT15" s="114"/>
      <c r="GU15" s="114"/>
      <c r="GV15" s="114"/>
      <c r="GW15" s="114"/>
      <c r="GX15" s="114"/>
      <c r="GY15" s="114"/>
      <c r="GZ15" s="114"/>
      <c r="HA15" s="114"/>
      <c r="HB15" s="114"/>
      <c r="HC15" s="114"/>
      <c r="HD15" s="114"/>
      <c r="HE15" s="114"/>
      <c r="HF15" s="114"/>
      <c r="HG15" s="114"/>
      <c r="HH15" s="114"/>
      <c r="HI15" s="114"/>
      <c r="HJ15" s="114"/>
      <c r="HK15" s="114"/>
      <c r="HL15" s="114"/>
      <c r="HM15" s="114"/>
      <c r="HN15" s="114"/>
      <c r="HO15" s="114"/>
      <c r="HP15" s="114"/>
      <c r="HQ15" s="114"/>
      <c r="HR15" s="114"/>
      <c r="HS15" s="114"/>
      <c r="HT15" s="114"/>
      <c r="HU15" s="114"/>
      <c r="HV15" s="114"/>
      <c r="HW15" s="114"/>
      <c r="HX15" s="114"/>
      <c r="HY15" s="114"/>
      <c r="HZ15" s="114"/>
      <c r="IA15" s="114"/>
      <c r="IB15" s="114"/>
      <c r="IC15" s="114"/>
      <c r="ID15" s="114"/>
      <c r="IE15" s="114"/>
      <c r="IF15" s="114"/>
      <c r="IG15" s="114"/>
      <c r="IH15" s="114"/>
      <c r="II15" s="114"/>
      <c r="IJ15" s="114"/>
      <c r="IK15" s="114"/>
      <c r="IL15" s="114"/>
      <c r="IM15" s="114"/>
      <c r="IN15" s="114"/>
      <c r="IO15" s="114"/>
      <c r="IP15" s="114"/>
      <c r="IQ15" s="114"/>
      <c r="IR15" s="114"/>
      <c r="IS15" s="114"/>
      <c r="IT15" s="114"/>
      <c r="IU15" s="114"/>
      <c r="IV15" s="114"/>
      <c r="IW15" s="114"/>
      <c r="IX15" s="114"/>
      <c r="IY15" s="114"/>
      <c r="IZ15" s="114"/>
      <c r="JA15" s="114"/>
      <c r="JB15" s="114"/>
      <c r="JC15" s="114"/>
      <c r="JD15" s="114"/>
      <c r="JE15" s="114"/>
      <c r="JF15" s="114"/>
      <c r="JG15" s="114"/>
      <c r="JH15" s="114"/>
      <c r="JI15" s="114"/>
      <c r="JJ15" s="114"/>
      <c r="JK15" s="114"/>
      <c r="JL15" s="114"/>
      <c r="JM15" s="114"/>
      <c r="JN15" s="114"/>
      <c r="JO15" s="114"/>
      <c r="JP15" s="114"/>
      <c r="JQ15" s="114"/>
      <c r="JR15" s="114"/>
      <c r="JS15" s="114"/>
      <c r="JT15" s="114"/>
      <c r="JU15" s="114"/>
      <c r="JV15" s="114"/>
      <c r="JW15" s="114"/>
      <c r="JX15" s="114"/>
      <c r="JY15" s="114"/>
      <c r="JZ15" s="114"/>
      <c r="KA15" s="114"/>
      <c r="KB15" s="114"/>
      <c r="KC15" s="114"/>
      <c r="KD15" s="114"/>
      <c r="KE15" s="114"/>
      <c r="KF15" s="114"/>
      <c r="KG15" s="114"/>
      <c r="KH15" s="114"/>
      <c r="KI15" s="114"/>
      <c r="KJ15" s="114"/>
      <c r="KK15" s="114"/>
      <c r="KL15" s="114"/>
      <c r="KM15" s="114"/>
      <c r="KN15" s="114"/>
      <c r="KO15" s="114"/>
      <c r="KP15" s="114"/>
      <c r="KQ15" s="114"/>
      <c r="KR15" s="114"/>
      <c r="KS15" s="114"/>
      <c r="KT15" s="114"/>
      <c r="KU15" s="114"/>
      <c r="KV15" s="114"/>
      <c r="KW15" s="114"/>
      <c r="KX15" s="114"/>
      <c r="KY15" s="114"/>
      <c r="KZ15" s="114"/>
      <c r="LA15" s="114"/>
      <c r="LB15" s="114"/>
      <c r="LC15" s="114"/>
      <c r="LD15" s="114"/>
      <c r="LE15" s="114"/>
      <c r="LF15" s="114"/>
      <c r="LG15" s="114"/>
      <c r="LH15" s="114"/>
      <c r="LI15" s="114"/>
      <c r="LJ15" s="114"/>
      <c r="LK15" s="114"/>
      <c r="LL15" s="114"/>
      <c r="LM15" s="114"/>
      <c r="LN15" s="114"/>
      <c r="LO15" s="114"/>
      <c r="LP15" s="114"/>
      <c r="LQ15" s="114"/>
      <c r="LR15" s="114"/>
      <c r="LS15" s="114"/>
      <c r="LT15" s="114"/>
      <c r="LU15" s="114"/>
      <c r="LV15" s="114"/>
      <c r="LW15" s="114"/>
      <c r="LX15" s="114"/>
      <c r="LY15" s="114"/>
      <c r="LZ15" s="114"/>
      <c r="MA15" s="114"/>
      <c r="MB15" s="114"/>
      <c r="MC15" s="114"/>
      <c r="MD15" s="114"/>
      <c r="ME15" s="114"/>
      <c r="MF15" s="114"/>
      <c r="MG15" s="114"/>
      <c r="MH15" s="114"/>
      <c r="MI15" s="114"/>
      <c r="MJ15" s="114"/>
      <c r="MK15" s="114"/>
      <c r="ML15" s="114"/>
      <c r="MM15" s="114"/>
      <c r="MN15" s="114"/>
      <c r="MO15" s="114"/>
      <c r="MP15" s="114"/>
      <c r="MQ15" s="114"/>
      <c r="MR15" s="114"/>
      <c r="MS15" s="114"/>
      <c r="MT15" s="114"/>
      <c r="MU15" s="114"/>
      <c r="MV15" s="114"/>
      <c r="MW15" s="114"/>
      <c r="MX15" s="114"/>
      <c r="MY15" s="114"/>
      <c r="MZ15" s="114"/>
      <c r="NA15" s="114"/>
      <c r="NB15" s="114"/>
      <c r="NC15" s="114"/>
      <c r="ND15" s="114"/>
      <c r="NE15" s="114"/>
      <c r="NF15" s="114"/>
      <c r="NG15" s="114"/>
      <c r="NH15" s="114"/>
      <c r="NI15" s="114"/>
      <c r="NJ15" s="114"/>
      <c r="NK15" s="114"/>
      <c r="NL15" s="114"/>
      <c r="NM15" s="114"/>
      <c r="NN15" s="114"/>
      <c r="NO15" s="114"/>
      <c r="NP15" s="114"/>
      <c r="NQ15" s="114"/>
      <c r="NR15" s="114"/>
      <c r="NS15" s="114"/>
      <c r="NT15" s="114"/>
      <c r="NU15" s="114"/>
      <c r="NV15" s="114"/>
      <c r="NW15" s="114"/>
      <c r="NX15" s="114"/>
      <c r="NY15" s="114"/>
      <c r="NZ15" s="114"/>
      <c r="OA15" s="114"/>
      <c r="OB15" s="114"/>
      <c r="OC15" s="114"/>
      <c r="OD15" s="114"/>
      <c r="OE15" s="114"/>
      <c r="OF15" s="114"/>
      <c r="OG15" s="114"/>
      <c r="OH15" s="114"/>
      <c r="OI15" s="114"/>
      <c r="OJ15" s="114"/>
      <c r="OK15" s="114"/>
      <c r="OL15" s="114"/>
      <c r="OM15" s="114"/>
      <c r="ON15" s="114"/>
      <c r="OO15" s="114"/>
      <c r="OP15" s="114"/>
      <c r="OQ15" s="114"/>
      <c r="OR15" s="114"/>
      <c r="OS15" s="114"/>
      <c r="OT15" s="114"/>
      <c r="OU15" s="114"/>
      <c r="OV15" s="114"/>
      <c r="OW15" s="114"/>
      <c r="OX15" s="114"/>
      <c r="OY15" s="114"/>
      <c r="OZ15" s="114"/>
      <c r="PA15" s="114"/>
      <c r="PB15" s="114"/>
      <c r="PC15" s="114"/>
      <c r="PD15" s="114"/>
      <c r="PE15" s="114"/>
      <c r="PF15" s="114"/>
      <c r="PG15" s="114"/>
      <c r="PH15" s="114"/>
      <c r="PI15" s="114"/>
      <c r="PJ15" s="114"/>
      <c r="PK15" s="114"/>
      <c r="PL15" s="114"/>
      <c r="PM15" s="114"/>
      <c r="PN15" s="114"/>
      <c r="PO15" s="114"/>
      <c r="PP15" s="114"/>
      <c r="PQ15" s="114"/>
      <c r="PR15" s="114"/>
      <c r="PS15" s="114"/>
      <c r="PT15" s="114"/>
      <c r="PU15" s="114"/>
      <c r="PV15" s="114"/>
      <c r="PW15" s="114"/>
      <c r="PX15" s="114"/>
      <c r="PY15" s="114"/>
      <c r="PZ15" s="114"/>
      <c r="QA15" s="114"/>
      <c r="QB15" s="114"/>
      <c r="QC15" s="114"/>
      <c r="QD15" s="114"/>
      <c r="QE15" s="114"/>
      <c r="QF15" s="114"/>
      <c r="QG15" s="114"/>
      <c r="QH15" s="114"/>
      <c r="QI15" s="114"/>
      <c r="QJ15" s="114"/>
      <c r="QK15" s="114"/>
      <c r="QL15" s="114"/>
      <c r="QM15" s="114"/>
      <c r="QN15" s="114"/>
      <c r="QO15" s="114"/>
      <c r="QP15" s="114"/>
      <c r="QQ15" s="114"/>
      <c r="QR15" s="114"/>
      <c r="QS15" s="114"/>
      <c r="QT15" s="114"/>
      <c r="QU15" s="114"/>
      <c r="QV15" s="114"/>
      <c r="QW15" s="114"/>
      <c r="QX15" s="114"/>
      <c r="QY15" s="114"/>
      <c r="QZ15" s="114"/>
      <c r="RA15" s="114"/>
      <c r="RB15" s="114"/>
      <c r="RC15" s="114"/>
      <c r="RD15" s="114"/>
      <c r="RE15" s="114"/>
      <c r="RF15" s="114"/>
      <c r="RG15" s="114"/>
      <c r="RH15" s="114"/>
      <c r="RI15" s="114"/>
      <c r="RJ15" s="114"/>
      <c r="RK15" s="114"/>
      <c r="RL15" s="114"/>
      <c r="RM15" s="114"/>
      <c r="RN15" s="114"/>
      <c r="RO15" s="114"/>
      <c r="RP15" s="114"/>
      <c r="RQ15" s="114"/>
      <c r="RR15" s="114"/>
      <c r="RS15" s="114"/>
      <c r="RT15" s="114"/>
      <c r="RU15" s="114"/>
      <c r="RV15" s="114"/>
      <c r="RW15" s="114"/>
      <c r="RX15" s="114"/>
      <c r="RY15" s="114"/>
      <c r="RZ15" s="114"/>
      <c r="SA15" s="114"/>
      <c r="SB15" s="114"/>
      <c r="SC15" s="114"/>
      <c r="SD15" s="114"/>
      <c r="SE15" s="114"/>
      <c r="SF15" s="114"/>
      <c r="SG15" s="114"/>
      <c r="SH15" s="114"/>
      <c r="SI15" s="114"/>
      <c r="SJ15" s="114"/>
      <c r="SK15" s="114"/>
      <c r="SL15" s="114"/>
      <c r="SM15" s="114"/>
      <c r="SN15" s="114"/>
      <c r="SO15" s="114"/>
      <c r="SP15" s="114"/>
      <c r="SQ15" s="114"/>
      <c r="SR15" s="114"/>
      <c r="SS15" s="114"/>
      <c r="ST15" s="114"/>
      <c r="SU15" s="114"/>
      <c r="SV15" s="114"/>
      <c r="SW15" s="114"/>
      <c r="SX15" s="114"/>
      <c r="SY15" s="114"/>
      <c r="SZ15" s="114"/>
      <c r="TA15" s="114"/>
      <c r="TB15" s="114"/>
      <c r="TC15" s="114"/>
      <c r="TD15" s="114"/>
      <c r="TE15" s="114"/>
      <c r="TF15" s="114"/>
      <c r="TG15" s="114"/>
      <c r="TH15" s="114"/>
      <c r="TI15" s="114"/>
      <c r="TJ15" s="114"/>
      <c r="TK15" s="114"/>
      <c r="TL15" s="114"/>
      <c r="TM15" s="114"/>
      <c r="TN15" s="114"/>
      <c r="TO15" s="114"/>
      <c r="TP15" s="114"/>
      <c r="TQ15" s="114"/>
      <c r="TR15" s="114"/>
      <c r="TS15" s="114"/>
      <c r="TT15" s="114"/>
      <c r="TU15" s="114"/>
      <c r="TV15" s="114"/>
      <c r="TW15" s="114"/>
      <c r="TX15" s="114"/>
      <c r="TY15" s="114"/>
      <c r="TZ15" s="114"/>
      <c r="UA15" s="114"/>
      <c r="UB15" s="114"/>
      <c r="UC15" s="114"/>
      <c r="UD15" s="114"/>
      <c r="UE15" s="114"/>
      <c r="UF15" s="114"/>
      <c r="UG15" s="114"/>
      <c r="UH15" s="114"/>
      <c r="UI15" s="114"/>
      <c r="UJ15" s="114"/>
      <c r="UK15" s="114"/>
      <c r="UL15" s="114"/>
      <c r="UM15" s="114"/>
      <c r="UN15" s="114"/>
      <c r="UO15" s="114"/>
      <c r="UP15" s="114"/>
      <c r="UQ15" s="114"/>
      <c r="UR15" s="114"/>
      <c r="US15" s="114"/>
      <c r="UT15" s="114"/>
      <c r="UU15" s="114"/>
      <c r="UV15" s="114"/>
      <c r="UW15" s="114"/>
      <c r="UX15" s="114"/>
      <c r="UY15" s="114"/>
      <c r="UZ15" s="114"/>
      <c r="VA15" s="114"/>
      <c r="VB15" s="114"/>
      <c r="VC15" s="114"/>
      <c r="VD15" s="114"/>
      <c r="VE15" s="114"/>
      <c r="VF15" s="114"/>
      <c r="VG15" s="114"/>
      <c r="VH15" s="114"/>
      <c r="VI15" s="114"/>
      <c r="VJ15" s="114"/>
      <c r="VK15" s="114"/>
      <c r="VL15" s="114"/>
      <c r="VM15" s="114"/>
      <c r="VN15" s="114"/>
      <c r="VO15" s="114"/>
      <c r="VP15" s="114"/>
      <c r="VQ15" s="114"/>
      <c r="VR15" s="114"/>
      <c r="VS15" s="114"/>
      <c r="VT15" s="114"/>
      <c r="VU15" s="114"/>
      <c r="VV15" s="114"/>
      <c r="VW15" s="114"/>
      <c r="VX15" s="114"/>
      <c r="VY15" s="114"/>
      <c r="VZ15" s="114"/>
      <c r="WA15" s="114"/>
      <c r="WB15" s="114"/>
      <c r="WC15" s="114"/>
      <c r="WD15" s="114"/>
      <c r="WE15" s="114"/>
      <c r="WF15" s="114"/>
      <c r="WG15" s="114"/>
      <c r="WH15" s="114"/>
      <c r="WI15" s="114"/>
      <c r="WJ15" s="114"/>
      <c r="WK15" s="114"/>
      <c r="WL15" s="114"/>
      <c r="WM15" s="114"/>
      <c r="WN15" s="114"/>
      <c r="WO15" s="114"/>
      <c r="WP15" s="114"/>
      <c r="WQ15" s="114"/>
      <c r="WR15" s="114"/>
      <c r="WS15" s="114"/>
      <c r="WT15" s="114"/>
      <c r="WU15" s="114"/>
      <c r="WV15" s="114"/>
      <c r="WW15" s="114"/>
      <c r="WX15" s="114"/>
      <c r="WY15" s="114"/>
      <c r="WZ15" s="114"/>
      <c r="XA15" s="114"/>
      <c r="XB15" s="114"/>
      <c r="XC15" s="114"/>
      <c r="XD15" s="114"/>
      <c r="XE15" s="114"/>
      <c r="XF15" s="114"/>
      <c r="XG15" s="114"/>
      <c r="XH15" s="114"/>
      <c r="XI15" s="114"/>
      <c r="XJ15" s="114"/>
      <c r="XK15" s="114"/>
      <c r="XL15" s="114"/>
      <c r="XM15" s="114"/>
      <c r="XN15" s="114"/>
      <c r="XO15" s="114"/>
      <c r="XP15" s="114"/>
      <c r="XQ15" s="114"/>
      <c r="XR15" s="114"/>
      <c r="XS15" s="114"/>
      <c r="XT15" s="114"/>
      <c r="XU15" s="114"/>
      <c r="XV15" s="114"/>
      <c r="XW15" s="114"/>
      <c r="XX15" s="114"/>
      <c r="XY15" s="114"/>
      <c r="XZ15" s="114"/>
      <c r="YA15" s="114"/>
      <c r="YB15" s="114"/>
      <c r="YC15" s="114"/>
      <c r="YD15" s="114"/>
      <c r="YE15" s="114"/>
      <c r="YF15" s="114"/>
      <c r="YG15" s="114"/>
      <c r="YH15" s="114"/>
      <c r="YI15" s="114"/>
      <c r="YJ15" s="114"/>
      <c r="YK15" s="114"/>
      <c r="YL15" s="114"/>
      <c r="YM15" s="114"/>
      <c r="YN15" s="114"/>
      <c r="YO15" s="114"/>
      <c r="YP15" s="114"/>
      <c r="YQ15" s="114"/>
      <c r="YR15" s="114"/>
      <c r="YS15" s="114"/>
      <c r="YT15" s="114"/>
      <c r="YU15" s="114"/>
      <c r="YV15" s="114"/>
      <c r="YW15" s="114"/>
      <c r="YX15" s="114"/>
      <c r="YY15" s="114"/>
      <c r="YZ15" s="114"/>
      <c r="ZA15" s="114"/>
      <c r="ZB15" s="114"/>
      <c r="ZC15" s="114"/>
      <c r="ZD15" s="114"/>
      <c r="ZE15" s="114"/>
      <c r="ZF15" s="114"/>
      <c r="ZG15" s="114"/>
      <c r="ZH15" s="114"/>
      <c r="ZI15" s="114"/>
      <c r="ZJ15" s="114"/>
      <c r="ZK15" s="114"/>
      <c r="ZL15" s="114"/>
      <c r="ZM15" s="114"/>
      <c r="ZN15" s="114"/>
      <c r="ZO15" s="114"/>
      <c r="ZP15" s="114"/>
      <c r="ZQ15" s="114"/>
      <c r="ZR15" s="114"/>
      <c r="ZS15" s="114"/>
      <c r="ZT15" s="114"/>
      <c r="ZU15" s="114"/>
      <c r="ZV15" s="114"/>
      <c r="ZW15" s="114"/>
      <c r="ZX15" s="114"/>
      <c r="ZY15" s="114"/>
      <c r="ZZ15" s="114"/>
      <c r="AAA15" s="114"/>
      <c r="AAB15" s="114"/>
      <c r="AAC15" s="114"/>
      <c r="AAD15" s="114"/>
      <c r="AAE15" s="114"/>
      <c r="AAF15" s="114"/>
      <c r="AAG15" s="114"/>
      <c r="AAH15" s="114"/>
      <c r="AAI15" s="114"/>
      <c r="AAJ15" s="114"/>
      <c r="AAK15" s="114"/>
      <c r="AAL15" s="114"/>
      <c r="AAM15" s="114"/>
      <c r="AAN15" s="114"/>
      <c r="AAO15" s="114"/>
      <c r="AAP15" s="114"/>
      <c r="AAQ15" s="114"/>
      <c r="AAR15" s="114"/>
      <c r="AAS15" s="114"/>
      <c r="AAT15" s="114"/>
      <c r="AAU15" s="114"/>
      <c r="AAV15" s="114"/>
      <c r="AAW15" s="114"/>
      <c r="AAX15" s="114"/>
      <c r="AAY15" s="114"/>
      <c r="AAZ15" s="114"/>
      <c r="ABA15" s="114"/>
      <c r="ABB15" s="114"/>
      <c r="ABC15" s="114"/>
      <c r="ABD15" s="114"/>
      <c r="ABE15" s="114"/>
      <c r="ABF15" s="114"/>
      <c r="ABG15" s="114"/>
      <c r="ABH15" s="114"/>
      <c r="ABI15" s="114"/>
      <c r="ABJ15" s="114"/>
      <c r="ABK15" s="114"/>
      <c r="ABL15" s="114"/>
      <c r="ABM15" s="114"/>
      <c r="ABN15" s="114"/>
      <c r="ABO15" s="114"/>
      <c r="ABP15" s="114"/>
      <c r="ABQ15" s="114"/>
      <c r="ABR15" s="114"/>
      <c r="ABS15" s="114"/>
      <c r="ABT15" s="114"/>
      <c r="ABU15" s="114"/>
      <c r="ABV15" s="114"/>
      <c r="ABW15" s="114"/>
      <c r="ABX15" s="114"/>
      <c r="ABY15" s="114"/>
      <c r="ABZ15" s="114"/>
      <c r="ACA15" s="114"/>
      <c r="ACB15" s="114"/>
      <c r="ACC15" s="114"/>
      <c r="ACD15" s="114"/>
      <c r="ACE15" s="114"/>
      <c r="ACF15" s="114"/>
      <c r="ACG15" s="114"/>
      <c r="ACH15" s="114"/>
      <c r="ACI15" s="114"/>
      <c r="ACJ15" s="114"/>
      <c r="ACK15" s="114"/>
      <c r="ACL15" s="114"/>
      <c r="ACM15" s="114"/>
      <c r="ACN15" s="114"/>
      <c r="ACO15" s="114"/>
      <c r="ACP15" s="114"/>
      <c r="ACQ15" s="114"/>
      <c r="ACR15" s="114"/>
      <c r="ACS15" s="114"/>
      <c r="ACT15" s="114"/>
      <c r="ACU15" s="114"/>
      <c r="ACV15" s="114"/>
      <c r="ACW15" s="114"/>
      <c r="ACX15" s="114"/>
      <c r="ACY15" s="114"/>
      <c r="ACZ15" s="114"/>
      <c r="ADA15" s="114"/>
      <c r="ADB15" s="114"/>
      <c r="ADC15" s="114"/>
      <c r="ADD15" s="114"/>
      <c r="ADE15" s="114"/>
      <c r="ADF15" s="114"/>
      <c r="ADG15" s="114"/>
      <c r="ADH15" s="114"/>
      <c r="ADI15" s="114"/>
      <c r="ADJ15" s="114"/>
      <c r="ADK15" s="114"/>
      <c r="ADL15" s="114"/>
      <c r="ADM15" s="114"/>
      <c r="ADN15" s="114"/>
      <c r="ADO15" s="114"/>
      <c r="ADP15" s="114"/>
      <c r="ADQ15" s="114"/>
      <c r="ADR15" s="114"/>
      <c r="ADS15" s="114"/>
      <c r="ADT15" s="114"/>
      <c r="ADU15" s="114"/>
      <c r="ADV15" s="114"/>
      <c r="ADW15" s="114"/>
      <c r="ADX15" s="114"/>
      <c r="ADY15" s="114"/>
      <c r="ADZ15" s="114"/>
      <c r="AEA15" s="114"/>
      <c r="AEB15" s="114"/>
      <c r="AEC15" s="114"/>
      <c r="AED15" s="114"/>
      <c r="AEE15" s="114"/>
      <c r="AEF15" s="114"/>
      <c r="AEG15" s="114"/>
      <c r="AEH15" s="114"/>
      <c r="AEI15" s="114"/>
      <c r="AEJ15" s="114"/>
      <c r="AEK15" s="114"/>
      <c r="AEL15" s="114"/>
      <c r="AEM15" s="114"/>
      <c r="AEN15" s="114"/>
      <c r="AEO15" s="114"/>
      <c r="AEP15" s="114"/>
      <c r="AEQ15" s="114"/>
      <c r="AER15" s="114"/>
      <c r="AES15" s="114"/>
      <c r="AET15" s="114"/>
      <c r="AEU15" s="114"/>
      <c r="AEV15" s="114"/>
      <c r="AEW15" s="114"/>
      <c r="AEX15" s="114"/>
      <c r="AEY15" s="114"/>
      <c r="AEZ15" s="114"/>
      <c r="AFA15" s="114"/>
      <c r="AFB15" s="114"/>
      <c r="AFC15" s="114"/>
      <c r="AFD15" s="114"/>
      <c r="AFE15" s="114"/>
      <c r="AFF15" s="114"/>
      <c r="AFG15" s="114"/>
      <c r="AFH15" s="114"/>
      <c r="AFI15" s="114"/>
      <c r="AFJ15" s="114"/>
      <c r="AFK15" s="114"/>
      <c r="AFL15" s="114"/>
      <c r="AFM15" s="114"/>
      <c r="AFN15" s="114"/>
      <c r="AFO15" s="114"/>
      <c r="AFP15" s="114"/>
      <c r="AFQ15" s="114"/>
      <c r="AFR15" s="114"/>
      <c r="AFS15" s="114"/>
      <c r="AFT15" s="114"/>
      <c r="AFU15" s="114"/>
      <c r="AFV15" s="114"/>
      <c r="AFW15" s="114"/>
      <c r="AFX15" s="114"/>
      <c r="AFY15" s="114"/>
      <c r="AFZ15" s="114"/>
      <c r="AGA15" s="114"/>
      <c r="AGB15" s="114"/>
      <c r="AGC15" s="114"/>
      <c r="AGD15" s="114"/>
      <c r="AGE15" s="114"/>
      <c r="AGF15" s="114"/>
      <c r="AGG15" s="114"/>
      <c r="AGH15" s="114"/>
      <c r="AGI15" s="114"/>
      <c r="AGJ15" s="114"/>
      <c r="AGK15" s="114"/>
      <c r="AGL15" s="114"/>
      <c r="AGM15" s="114"/>
      <c r="AGN15" s="114"/>
      <c r="AGO15" s="114"/>
      <c r="AGP15" s="114"/>
      <c r="AGQ15" s="114"/>
      <c r="AGR15" s="114"/>
      <c r="AGS15" s="114"/>
      <c r="AGT15" s="114"/>
      <c r="AGU15" s="114"/>
      <c r="AGV15" s="114"/>
      <c r="AGW15" s="114"/>
      <c r="AGX15" s="114"/>
      <c r="AGY15" s="114"/>
      <c r="AGZ15" s="114"/>
      <c r="AHA15" s="114"/>
      <c r="AHB15" s="114"/>
      <c r="AHC15" s="114"/>
      <c r="AHD15" s="114"/>
      <c r="AHE15" s="114"/>
      <c r="AHF15" s="114"/>
      <c r="AHG15" s="114"/>
      <c r="AHH15" s="114"/>
      <c r="AHI15" s="114"/>
      <c r="AHJ15" s="114"/>
      <c r="AHK15" s="114"/>
      <c r="AHL15" s="114"/>
      <c r="AHM15" s="114"/>
      <c r="AHN15" s="114"/>
      <c r="AHO15" s="114"/>
      <c r="AHP15" s="114"/>
      <c r="AHQ15" s="114"/>
      <c r="AHR15" s="114"/>
      <c r="AHS15" s="114"/>
      <c r="AHT15" s="114"/>
      <c r="AHU15" s="114"/>
      <c r="AHV15" s="114"/>
      <c r="AHW15" s="114"/>
      <c r="AHX15" s="114"/>
      <c r="AHY15" s="114"/>
      <c r="AHZ15" s="114"/>
      <c r="AIA15" s="114"/>
      <c r="AIB15" s="114"/>
      <c r="AIC15" s="114"/>
      <c r="AID15" s="114"/>
      <c r="AIE15" s="114"/>
      <c r="AIF15" s="114"/>
      <c r="AIG15" s="114"/>
      <c r="AIH15" s="114"/>
      <c r="AII15" s="114"/>
      <c r="AIJ15" s="114"/>
      <c r="AIK15" s="114"/>
      <c r="AIL15" s="114"/>
      <c r="AIM15" s="114"/>
      <c r="AIN15" s="114"/>
      <c r="AIO15" s="114"/>
      <c r="AIP15" s="114"/>
      <c r="AIQ15" s="114"/>
      <c r="AIR15" s="114"/>
      <c r="AIS15" s="114"/>
      <c r="AIT15" s="114"/>
      <c r="AIU15" s="114"/>
      <c r="AIV15" s="114"/>
      <c r="AIW15" s="114"/>
      <c r="AIX15" s="114"/>
      <c r="AIY15" s="114"/>
      <c r="AIZ15" s="114"/>
      <c r="AJA15" s="114"/>
      <c r="AJB15" s="114"/>
      <c r="AJC15" s="114"/>
      <c r="AJD15" s="114"/>
      <c r="AJE15" s="114"/>
      <c r="AJF15" s="114"/>
      <c r="AJG15" s="114"/>
      <c r="AJH15" s="114"/>
      <c r="AJI15" s="114"/>
      <c r="AJJ15" s="114"/>
      <c r="AJK15" s="114"/>
      <c r="AJL15" s="114"/>
      <c r="AJM15" s="114"/>
      <c r="AJN15" s="114"/>
      <c r="AJO15" s="114"/>
      <c r="AJP15" s="114"/>
      <c r="AJQ15" s="114"/>
      <c r="AJR15" s="114"/>
      <c r="AJS15" s="114"/>
      <c r="AJT15" s="114"/>
      <c r="AJU15" s="114"/>
      <c r="AJV15" s="114"/>
      <c r="AJW15" s="114"/>
      <c r="AJX15" s="114"/>
      <c r="AJY15" s="114"/>
      <c r="AJZ15" s="114"/>
      <c r="AKA15" s="114"/>
      <c r="AKB15" s="114"/>
      <c r="AKC15" s="114"/>
      <c r="AKD15" s="114"/>
      <c r="AKE15" s="114"/>
      <c r="AKF15" s="114"/>
      <c r="AKG15" s="114"/>
      <c r="AKH15" s="114"/>
      <c r="AKI15" s="114"/>
      <c r="AKJ15" s="114"/>
      <c r="AKK15" s="114"/>
      <c r="AKL15" s="114"/>
      <c r="AKM15" s="114"/>
      <c r="AKN15" s="114"/>
      <c r="AKO15" s="114"/>
      <c r="AKP15" s="114"/>
      <c r="AKQ15" s="114"/>
      <c r="AKR15" s="114"/>
      <c r="AKS15" s="114"/>
      <c r="AKT15" s="114"/>
      <c r="AKU15" s="114"/>
      <c r="AKV15" s="114"/>
      <c r="AKW15" s="114"/>
      <c r="AKX15" s="114"/>
      <c r="AKY15" s="114"/>
      <c r="AKZ15" s="114"/>
      <c r="ALA15" s="114"/>
      <c r="ALB15" s="114"/>
      <c r="ALC15" s="114"/>
      <c r="ALD15" s="114"/>
      <c r="ALE15" s="114"/>
      <c r="ALF15" s="114"/>
      <c r="ALG15" s="114"/>
      <c r="ALH15" s="114"/>
      <c r="ALI15" s="114"/>
      <c r="ALJ15" s="114"/>
      <c r="ALK15" s="114"/>
      <c r="ALL15" s="114"/>
      <c r="ALM15" s="114"/>
      <c r="ALN15" s="114"/>
      <c r="ALO15" s="114"/>
      <c r="ALP15" s="114"/>
      <c r="ALQ15" s="114"/>
      <c r="ALR15" s="114"/>
      <c r="ALS15" s="114"/>
      <c r="ALT15" s="114"/>
      <c r="ALU15" s="114"/>
      <c r="ALV15" s="114"/>
      <c r="ALW15" s="114"/>
      <c r="ALX15" s="114"/>
      <c r="ALY15" s="114"/>
      <c r="ALZ15" s="114"/>
      <c r="AMA15" s="114"/>
      <c r="AMB15" s="114"/>
      <c r="AMC15" s="114"/>
      <c r="AMD15" s="114"/>
      <c r="AME15" s="114"/>
      <c r="AMF15" s="114"/>
      <c r="AMG15" s="114"/>
      <c r="AMH15" s="114"/>
      <c r="AMI15" s="114"/>
      <c r="AMJ15" s="114"/>
      <c r="AMK15" s="114"/>
      <c r="AML15" s="114"/>
      <c r="AMM15" s="114"/>
      <c r="AMN15" s="114"/>
      <c r="AMO15" s="114"/>
      <c r="AMP15" s="114"/>
      <c r="AMQ15" s="114"/>
      <c r="AMR15" s="114"/>
      <c r="AMS15" s="114"/>
      <c r="AMT15" s="114"/>
      <c r="AMU15" s="114"/>
      <c r="AMV15" s="114"/>
      <c r="AMW15" s="114"/>
      <c r="AMX15" s="114"/>
      <c r="AMY15" s="114"/>
      <c r="AMZ15" s="114"/>
      <c r="ANA15" s="114"/>
      <c r="ANB15" s="114"/>
      <c r="ANC15" s="114"/>
      <c r="AND15" s="114"/>
      <c r="ANE15" s="114"/>
      <c r="ANF15" s="114"/>
      <c r="ANG15" s="114"/>
      <c r="ANH15" s="114"/>
      <c r="ANI15" s="114"/>
      <c r="ANJ15" s="114"/>
      <c r="ANK15" s="114"/>
      <c r="ANL15" s="114"/>
      <c r="ANM15" s="114"/>
      <c r="ANN15" s="114"/>
      <c r="ANO15" s="114"/>
      <c r="ANP15" s="114"/>
      <c r="ANQ15" s="114"/>
      <c r="ANR15" s="114"/>
      <c r="ANS15" s="114"/>
      <c r="ANT15" s="114"/>
      <c r="ANU15" s="114"/>
      <c r="ANV15" s="114"/>
      <c r="ANW15" s="114"/>
      <c r="ANX15" s="114"/>
      <c r="ANY15" s="114"/>
      <c r="ANZ15" s="114"/>
      <c r="AOA15" s="114"/>
      <c r="AOB15" s="114"/>
      <c r="AOC15" s="114"/>
      <c r="AOD15" s="114"/>
      <c r="AOE15" s="114"/>
      <c r="AOF15" s="114"/>
      <c r="AOG15" s="114"/>
      <c r="AOH15" s="114"/>
      <c r="AOI15" s="114"/>
      <c r="AOJ15" s="114"/>
      <c r="AOK15" s="114"/>
      <c r="AOL15" s="114"/>
      <c r="AOM15" s="114"/>
      <c r="AON15" s="114"/>
      <c r="AOO15" s="114"/>
      <c r="AOP15" s="114"/>
      <c r="AOQ15" s="114"/>
      <c r="AOR15" s="114"/>
      <c r="AOS15" s="114"/>
      <c r="AOT15" s="114"/>
      <c r="AOU15" s="114"/>
      <c r="AOV15" s="114"/>
      <c r="AOW15" s="114"/>
      <c r="AOX15" s="114"/>
      <c r="AOY15" s="114"/>
      <c r="AOZ15" s="114"/>
      <c r="APA15" s="114"/>
      <c r="APB15" s="114"/>
      <c r="APC15" s="114"/>
      <c r="APD15" s="114"/>
      <c r="APE15" s="114"/>
      <c r="APF15" s="114"/>
      <c r="APG15" s="114"/>
      <c r="APH15" s="114"/>
      <c r="API15" s="114"/>
      <c r="APJ15" s="114"/>
      <c r="APK15" s="114"/>
      <c r="APL15" s="114"/>
      <c r="APM15" s="114"/>
      <c r="APN15" s="114"/>
      <c r="APO15" s="114"/>
      <c r="APP15" s="114"/>
      <c r="APQ15" s="114"/>
      <c r="APR15" s="114"/>
      <c r="APS15" s="114"/>
      <c r="APT15" s="114"/>
      <c r="APU15" s="114"/>
      <c r="APV15" s="114"/>
      <c r="APW15" s="114"/>
      <c r="APX15" s="114"/>
      <c r="APY15" s="114"/>
      <c r="APZ15" s="114"/>
      <c r="AQA15" s="114"/>
      <c r="AQB15" s="114"/>
      <c r="AQC15" s="114"/>
      <c r="AQD15" s="114"/>
      <c r="AQE15" s="114"/>
      <c r="AQF15" s="114"/>
      <c r="AQG15" s="114"/>
      <c r="AQH15" s="114"/>
      <c r="AQI15" s="114"/>
      <c r="AQJ15" s="114"/>
      <c r="AQK15" s="114"/>
      <c r="AQL15" s="114"/>
      <c r="AQM15" s="114"/>
      <c r="AQN15" s="114"/>
      <c r="AQO15" s="114"/>
      <c r="AQP15" s="114"/>
      <c r="AQQ15" s="114"/>
      <c r="AQR15" s="114"/>
      <c r="AQS15" s="114"/>
      <c r="AQT15" s="114"/>
      <c r="AQU15" s="114"/>
      <c r="AQV15" s="114"/>
      <c r="AQW15" s="114"/>
      <c r="AQX15" s="114"/>
      <c r="AQY15" s="114"/>
      <c r="AQZ15" s="114"/>
      <c r="ARA15" s="114"/>
      <c r="ARB15" s="114"/>
      <c r="ARC15" s="114"/>
      <c r="ARD15" s="114"/>
      <c r="ARE15" s="114"/>
      <c r="ARF15" s="114"/>
      <c r="ARG15" s="114"/>
      <c r="ARH15" s="114"/>
      <c r="ARI15" s="114"/>
      <c r="ARJ15" s="114"/>
      <c r="ARK15" s="114"/>
      <c r="ARL15" s="114"/>
      <c r="ARM15" s="114"/>
      <c r="ARN15" s="114"/>
      <c r="ARO15" s="114"/>
      <c r="ARP15" s="114"/>
      <c r="ARQ15" s="114"/>
      <c r="ARR15" s="114"/>
      <c r="ARS15" s="114"/>
      <c r="ART15" s="114"/>
      <c r="ARU15" s="114"/>
      <c r="ARV15" s="114"/>
      <c r="ARW15" s="114"/>
      <c r="ARX15" s="114"/>
      <c r="ARY15" s="114"/>
      <c r="ARZ15" s="114"/>
      <c r="ASA15" s="114"/>
      <c r="ASB15" s="114"/>
      <c r="ASC15" s="114"/>
      <c r="ASD15" s="114"/>
      <c r="ASE15" s="114"/>
      <c r="ASF15" s="114"/>
      <c r="ASG15" s="114"/>
      <c r="ASH15" s="114"/>
      <c r="ASI15" s="114"/>
      <c r="ASJ15" s="114"/>
      <c r="ASK15" s="114"/>
      <c r="ASL15" s="114"/>
      <c r="ASM15" s="114"/>
      <c r="ASN15" s="114"/>
      <c r="ASO15" s="114"/>
      <c r="ASP15" s="114"/>
      <c r="ASQ15" s="114"/>
      <c r="ASR15" s="114"/>
      <c r="ASS15" s="114"/>
      <c r="AST15" s="114"/>
      <c r="ASU15" s="114"/>
      <c r="ASV15" s="114"/>
      <c r="ASW15" s="114"/>
      <c r="ASX15" s="114"/>
      <c r="ASY15" s="114"/>
      <c r="ASZ15" s="114"/>
      <c r="ATA15" s="114"/>
      <c r="ATB15" s="114"/>
      <c r="ATC15" s="114"/>
      <c r="ATD15" s="114"/>
      <c r="ATE15" s="114"/>
      <c r="ATF15" s="114"/>
      <c r="ATG15" s="114"/>
      <c r="ATH15" s="114"/>
      <c r="ATI15" s="114"/>
      <c r="ATJ15" s="114"/>
      <c r="ATK15" s="114"/>
      <c r="ATL15" s="114"/>
      <c r="ATM15" s="114"/>
      <c r="ATN15" s="114"/>
      <c r="ATO15" s="114"/>
      <c r="ATP15" s="114"/>
      <c r="ATQ15" s="114"/>
      <c r="ATR15" s="114"/>
      <c r="ATS15" s="114"/>
      <c r="ATT15" s="114"/>
      <c r="ATU15" s="114"/>
      <c r="ATV15" s="114"/>
      <c r="ATW15" s="114"/>
      <c r="ATX15" s="114"/>
      <c r="ATY15" s="114"/>
      <c r="ATZ15" s="114"/>
      <c r="AUA15" s="114"/>
      <c r="AUB15" s="114"/>
      <c r="AUC15" s="114"/>
      <c r="AUD15" s="114"/>
      <c r="AUE15" s="114"/>
      <c r="AUF15" s="114"/>
      <c r="AUG15" s="114"/>
      <c r="AUH15" s="114"/>
      <c r="AUI15" s="114"/>
      <c r="AUJ15" s="114"/>
      <c r="AUK15" s="114"/>
      <c r="AUL15" s="114"/>
      <c r="AUM15" s="114"/>
      <c r="AUN15" s="114"/>
      <c r="AUO15" s="114"/>
      <c r="AUP15" s="114"/>
      <c r="AUQ15" s="114"/>
      <c r="AUR15" s="114"/>
      <c r="AUS15" s="114"/>
      <c r="AUT15" s="114"/>
      <c r="AUU15" s="114"/>
      <c r="AUV15" s="114"/>
      <c r="AUW15" s="114"/>
      <c r="AUX15" s="114"/>
      <c r="AUY15" s="114"/>
      <c r="AUZ15" s="114"/>
      <c r="AVA15" s="114"/>
      <c r="AVB15" s="114"/>
      <c r="AVC15" s="114"/>
      <c r="AVD15" s="114"/>
      <c r="AVE15" s="114"/>
      <c r="AVF15" s="114"/>
      <c r="AVG15" s="114"/>
      <c r="AVH15" s="114"/>
      <c r="AVI15" s="114"/>
      <c r="AVJ15" s="114"/>
      <c r="AVK15" s="114"/>
      <c r="AVL15" s="114"/>
      <c r="AVM15" s="114"/>
      <c r="AVN15" s="114"/>
      <c r="AVO15" s="114"/>
      <c r="AVP15" s="114"/>
      <c r="AVQ15" s="114"/>
      <c r="AVR15" s="114"/>
      <c r="AVS15" s="114"/>
      <c r="AVT15" s="114"/>
      <c r="AVU15" s="114"/>
      <c r="AVV15" s="114"/>
      <c r="AVW15" s="114"/>
      <c r="AVX15" s="114"/>
      <c r="AVY15" s="114"/>
      <c r="AVZ15" s="114"/>
      <c r="AWA15" s="114"/>
      <c r="AWB15" s="114"/>
      <c r="AWC15" s="114"/>
      <c r="AWD15" s="114"/>
      <c r="AWE15" s="114"/>
      <c r="AWF15" s="114"/>
      <c r="AWG15" s="114"/>
      <c r="AWH15" s="114"/>
      <c r="AWI15" s="114"/>
      <c r="AWJ15" s="114"/>
      <c r="AWK15" s="114"/>
      <c r="AWL15" s="114"/>
      <c r="AWM15" s="114"/>
      <c r="AWN15" s="114"/>
      <c r="AWO15" s="114"/>
      <c r="AWP15" s="114"/>
      <c r="AWQ15" s="114"/>
      <c r="AWR15" s="114"/>
      <c r="AWS15" s="114"/>
      <c r="AWT15" s="114"/>
      <c r="AWU15" s="114"/>
      <c r="AWV15" s="114"/>
      <c r="AWW15" s="114"/>
      <c r="AWX15" s="114"/>
      <c r="AWY15" s="114"/>
      <c r="AWZ15" s="114"/>
      <c r="AXA15" s="114"/>
      <c r="AXB15" s="114"/>
      <c r="AXC15" s="114"/>
      <c r="AXD15" s="114"/>
      <c r="AXE15" s="114"/>
      <c r="AXF15" s="114"/>
      <c r="AXG15" s="114"/>
      <c r="AXH15" s="114"/>
      <c r="AXI15" s="114"/>
      <c r="AXJ15" s="114"/>
      <c r="AXK15" s="114"/>
      <c r="AXL15" s="114"/>
      <c r="AXM15" s="114"/>
      <c r="AXN15" s="114"/>
      <c r="AXO15" s="114"/>
      <c r="AXP15" s="114"/>
      <c r="AXQ15" s="114"/>
      <c r="AXR15" s="114"/>
      <c r="AXS15" s="114"/>
      <c r="AXT15" s="114"/>
      <c r="AXU15" s="114"/>
      <c r="AXV15" s="114"/>
      <c r="AXW15" s="114"/>
      <c r="AXX15" s="114"/>
      <c r="AXY15" s="114"/>
      <c r="AXZ15" s="114"/>
      <c r="AYA15" s="114"/>
      <c r="AYB15" s="114"/>
      <c r="AYC15" s="114"/>
      <c r="AYD15" s="114"/>
      <c r="AYE15" s="114"/>
      <c r="AYF15" s="114"/>
      <c r="AYG15" s="114"/>
      <c r="AYH15" s="114"/>
      <c r="AYI15" s="114"/>
      <c r="AYJ15" s="114"/>
      <c r="AYK15" s="114"/>
      <c r="AYL15" s="114"/>
      <c r="AYM15" s="114"/>
      <c r="AYN15" s="114"/>
      <c r="AYO15" s="114"/>
      <c r="AYP15" s="114"/>
      <c r="AYQ15" s="114"/>
      <c r="AYR15" s="114"/>
      <c r="AYS15" s="114"/>
      <c r="AYT15" s="114"/>
      <c r="AYU15" s="114"/>
      <c r="AYV15" s="114"/>
      <c r="AYW15" s="114"/>
      <c r="AYX15" s="114"/>
      <c r="AYY15" s="114"/>
      <c r="AYZ15" s="114"/>
      <c r="AZA15" s="114"/>
      <c r="AZB15" s="114"/>
      <c r="AZC15" s="114"/>
      <c r="AZD15" s="114"/>
      <c r="AZE15" s="114"/>
      <c r="AZF15" s="114"/>
      <c r="AZG15" s="114"/>
      <c r="AZH15" s="114"/>
      <c r="AZI15" s="114"/>
      <c r="AZJ15" s="114"/>
      <c r="AZK15" s="114"/>
      <c r="AZL15" s="114"/>
      <c r="AZM15" s="114"/>
      <c r="AZN15" s="114"/>
      <c r="AZO15" s="114"/>
      <c r="AZP15" s="114"/>
      <c r="AZQ15" s="114"/>
      <c r="AZR15" s="114"/>
      <c r="AZS15" s="114"/>
      <c r="AZT15" s="114"/>
      <c r="AZU15" s="114"/>
      <c r="AZV15" s="114"/>
      <c r="AZW15" s="114"/>
      <c r="AZX15" s="114"/>
      <c r="AZY15" s="114"/>
      <c r="AZZ15" s="114"/>
      <c r="BAA15" s="114"/>
      <c r="BAB15" s="114"/>
      <c r="BAC15" s="114"/>
      <c r="BAD15" s="114"/>
      <c r="BAE15" s="114"/>
      <c r="BAF15" s="114"/>
      <c r="BAG15" s="114"/>
      <c r="BAH15" s="114"/>
      <c r="BAI15" s="114"/>
      <c r="BAJ15" s="114"/>
      <c r="BAK15" s="114"/>
      <c r="BAL15" s="114"/>
      <c r="BAM15" s="114"/>
      <c r="BAN15" s="114"/>
      <c r="BAO15" s="114"/>
      <c r="BAP15" s="114"/>
      <c r="BAQ15" s="114"/>
      <c r="BAR15" s="114"/>
      <c r="BAS15" s="114"/>
      <c r="BAT15" s="114"/>
      <c r="BAU15" s="114"/>
      <c r="BAV15" s="114"/>
      <c r="BAW15" s="114"/>
      <c r="BAX15" s="114"/>
      <c r="BAY15" s="114"/>
      <c r="BAZ15" s="114"/>
      <c r="BBA15" s="114"/>
      <c r="BBB15" s="114"/>
      <c r="BBC15" s="114"/>
      <c r="BBD15" s="114"/>
      <c r="BBE15" s="114"/>
      <c r="BBF15" s="114"/>
      <c r="BBG15" s="114"/>
      <c r="BBH15" s="114"/>
      <c r="BBI15" s="114"/>
      <c r="BBJ15" s="114"/>
      <c r="BBK15" s="114"/>
      <c r="BBL15" s="114"/>
      <c r="BBM15" s="114"/>
      <c r="BBN15" s="114"/>
      <c r="BBO15" s="114"/>
      <c r="BBP15" s="114"/>
      <c r="BBQ15" s="114"/>
      <c r="BBR15" s="114"/>
      <c r="BBS15" s="114"/>
      <c r="BBT15" s="114"/>
      <c r="BBU15" s="114"/>
      <c r="BBV15" s="114"/>
      <c r="BBW15" s="114"/>
      <c r="BBX15" s="114"/>
      <c r="BBY15" s="114"/>
      <c r="BBZ15" s="114"/>
      <c r="BCA15" s="114"/>
      <c r="BCB15" s="114"/>
      <c r="BCC15" s="114"/>
      <c r="BCD15" s="114"/>
      <c r="BCE15" s="114"/>
      <c r="BCF15" s="114"/>
      <c r="BCG15" s="114"/>
      <c r="BCH15" s="114"/>
      <c r="BCI15" s="114"/>
      <c r="BCJ15" s="114"/>
      <c r="BCK15" s="114"/>
      <c r="BCL15" s="114"/>
      <c r="BCM15" s="114"/>
      <c r="BCN15" s="114"/>
      <c r="BCO15" s="114"/>
      <c r="BCP15" s="114"/>
      <c r="BCQ15" s="114"/>
      <c r="BCR15" s="114"/>
      <c r="BCS15" s="114"/>
      <c r="BCT15" s="114"/>
      <c r="BCU15" s="114"/>
      <c r="BCV15" s="114"/>
      <c r="BCW15" s="114"/>
      <c r="BCX15" s="114"/>
      <c r="BCY15" s="114"/>
      <c r="BCZ15" s="114"/>
      <c r="BDA15" s="114"/>
      <c r="BDB15" s="114"/>
      <c r="BDC15" s="114"/>
      <c r="BDD15" s="114"/>
      <c r="BDE15" s="114"/>
      <c r="BDF15" s="114"/>
      <c r="BDG15" s="114"/>
      <c r="BDH15" s="114"/>
      <c r="BDI15" s="114"/>
      <c r="BDJ15" s="114"/>
      <c r="BDK15" s="114"/>
      <c r="BDL15" s="114"/>
      <c r="BDM15" s="114"/>
      <c r="BDN15" s="114"/>
      <c r="BDO15" s="114"/>
      <c r="BDP15" s="114"/>
      <c r="BDQ15" s="114"/>
      <c r="BDR15" s="114"/>
      <c r="BDS15" s="114"/>
      <c r="BDT15" s="114"/>
      <c r="BDU15" s="114"/>
      <c r="BDV15" s="114"/>
      <c r="BDW15" s="114"/>
      <c r="BDX15" s="114"/>
      <c r="BDY15" s="114"/>
      <c r="BDZ15" s="114"/>
      <c r="BEA15" s="114"/>
      <c r="BEB15" s="114"/>
      <c r="BEC15" s="114"/>
      <c r="BED15" s="114"/>
      <c r="BEE15" s="114"/>
      <c r="BEF15" s="114"/>
      <c r="BEG15" s="114"/>
      <c r="BEH15" s="114"/>
      <c r="BEI15" s="114"/>
      <c r="BEJ15" s="114"/>
      <c r="BEK15" s="114"/>
      <c r="BEL15" s="114"/>
      <c r="BEM15" s="114"/>
      <c r="BEN15" s="114"/>
      <c r="BEO15" s="114"/>
      <c r="BEP15" s="114"/>
      <c r="BEQ15" s="114"/>
      <c r="BER15" s="114"/>
      <c r="BES15" s="114"/>
      <c r="BET15" s="114"/>
      <c r="BEU15" s="114"/>
      <c r="BEV15" s="114"/>
      <c r="BEW15" s="114"/>
      <c r="BEX15" s="114"/>
      <c r="BEY15" s="114"/>
      <c r="BEZ15" s="114"/>
      <c r="BFA15" s="114"/>
      <c r="BFB15" s="114"/>
      <c r="BFC15" s="114"/>
      <c r="BFD15" s="114"/>
      <c r="BFE15" s="114"/>
      <c r="BFF15" s="114"/>
      <c r="BFG15" s="114"/>
      <c r="BFH15" s="114"/>
      <c r="BFI15" s="114"/>
      <c r="BFJ15" s="114"/>
      <c r="BFK15" s="114"/>
      <c r="BFL15" s="114"/>
      <c r="BFM15" s="114"/>
      <c r="BFN15" s="114"/>
      <c r="BFO15" s="114"/>
      <c r="BFP15" s="114"/>
      <c r="BFQ15" s="114"/>
      <c r="BFR15" s="114"/>
      <c r="BFS15" s="114"/>
      <c r="BFT15" s="114"/>
      <c r="BFU15" s="114"/>
      <c r="BFV15" s="114"/>
      <c r="BFW15" s="114"/>
      <c r="BFX15" s="114"/>
      <c r="BFY15" s="114"/>
      <c r="BFZ15" s="114"/>
      <c r="BGA15" s="114"/>
      <c r="BGB15" s="114"/>
      <c r="BGC15" s="114"/>
      <c r="BGD15" s="114"/>
      <c r="BGE15" s="114"/>
      <c r="BGF15" s="114"/>
      <c r="BGG15" s="114"/>
      <c r="BGH15" s="114"/>
      <c r="BGI15" s="114"/>
      <c r="BGJ15" s="114"/>
      <c r="BGK15" s="114"/>
      <c r="BGL15" s="114"/>
      <c r="BGM15" s="114"/>
      <c r="BGN15" s="114"/>
      <c r="BGO15" s="114"/>
      <c r="BGP15" s="114"/>
      <c r="BGQ15" s="114"/>
      <c r="BGR15" s="114"/>
      <c r="BGS15" s="114"/>
      <c r="BGT15" s="114"/>
      <c r="BGU15" s="114"/>
      <c r="BGV15" s="114"/>
      <c r="BGW15" s="114"/>
      <c r="BGX15" s="114"/>
      <c r="BGY15" s="114"/>
      <c r="BGZ15" s="114"/>
      <c r="BHA15" s="114"/>
      <c r="BHB15" s="114"/>
      <c r="BHC15" s="114"/>
      <c r="BHD15" s="114"/>
      <c r="BHE15" s="114"/>
      <c r="BHF15" s="114"/>
      <c r="BHG15" s="114"/>
      <c r="BHH15" s="114"/>
      <c r="BHI15" s="114"/>
      <c r="BHJ15" s="114"/>
      <c r="BHK15" s="114"/>
      <c r="BHL15" s="114"/>
      <c r="BHM15" s="114"/>
      <c r="BHN15" s="114"/>
      <c r="BHO15" s="114"/>
      <c r="BHP15" s="114"/>
      <c r="BHQ15" s="114"/>
      <c r="BHR15" s="114"/>
      <c r="BHS15" s="114"/>
      <c r="BHT15" s="114"/>
      <c r="BHU15" s="114"/>
      <c r="BHV15" s="114"/>
      <c r="BHW15" s="114"/>
      <c r="BHX15" s="114"/>
      <c r="BHY15" s="114"/>
      <c r="BHZ15" s="114"/>
      <c r="BIA15" s="114"/>
      <c r="BIB15" s="114"/>
      <c r="BIC15" s="114"/>
      <c r="BID15" s="114"/>
      <c r="BIE15" s="114"/>
      <c r="BIF15" s="114"/>
      <c r="BIG15" s="114"/>
      <c r="BIH15" s="114"/>
      <c r="BII15" s="114"/>
      <c r="BIJ15" s="114"/>
      <c r="BIK15" s="114"/>
      <c r="BIL15" s="114"/>
      <c r="BIM15" s="114"/>
      <c r="BIN15" s="114"/>
      <c r="BIO15" s="114"/>
      <c r="BIP15" s="114"/>
      <c r="BIQ15" s="114"/>
      <c r="BIR15" s="114"/>
      <c r="BIS15" s="114"/>
      <c r="BIT15" s="114"/>
      <c r="BIU15" s="114"/>
      <c r="BIV15" s="114"/>
      <c r="BIW15" s="114"/>
      <c r="BIX15" s="114"/>
      <c r="BIY15" s="114"/>
      <c r="BIZ15" s="114"/>
      <c r="BJA15" s="114"/>
      <c r="BJB15" s="114"/>
      <c r="BJC15" s="114"/>
      <c r="BJD15" s="114"/>
      <c r="BJE15" s="114"/>
      <c r="BJF15" s="114"/>
      <c r="BJG15" s="114"/>
      <c r="BJH15" s="114"/>
      <c r="BJI15" s="114"/>
      <c r="BJJ15" s="114"/>
      <c r="BJK15" s="114"/>
      <c r="BJL15" s="114"/>
      <c r="BJM15" s="114"/>
      <c r="BJN15" s="114"/>
      <c r="BJO15" s="114"/>
      <c r="BJP15" s="114"/>
      <c r="BJQ15" s="114"/>
      <c r="BJR15" s="114"/>
      <c r="BJS15" s="114"/>
      <c r="BJT15" s="114"/>
      <c r="BJU15" s="114"/>
      <c r="BJV15" s="114"/>
      <c r="BJW15" s="114"/>
      <c r="BJX15" s="114"/>
      <c r="BJY15" s="114"/>
      <c r="BJZ15" s="114"/>
      <c r="BKA15" s="114"/>
      <c r="BKB15" s="114"/>
      <c r="BKC15" s="114"/>
      <c r="BKD15" s="114"/>
      <c r="BKE15" s="114"/>
      <c r="BKF15" s="114"/>
      <c r="BKG15" s="114"/>
      <c r="BKH15" s="114"/>
      <c r="BKI15" s="114"/>
      <c r="BKJ15" s="114"/>
      <c r="BKK15" s="114"/>
      <c r="BKL15" s="114"/>
      <c r="BKM15" s="114"/>
      <c r="BKN15" s="114"/>
      <c r="BKO15" s="114"/>
      <c r="BKP15" s="114"/>
      <c r="BKQ15" s="114"/>
      <c r="BKR15" s="114"/>
      <c r="BKS15" s="114"/>
      <c r="BKT15" s="114"/>
      <c r="BKU15" s="114"/>
      <c r="BKV15" s="114"/>
      <c r="BKW15" s="114"/>
      <c r="BKX15" s="114"/>
      <c r="BKY15" s="114"/>
      <c r="BKZ15" s="114"/>
      <c r="BLA15" s="114"/>
      <c r="BLB15" s="114"/>
      <c r="BLC15" s="114"/>
      <c r="BLD15" s="114"/>
      <c r="BLE15" s="114"/>
      <c r="BLF15" s="114"/>
      <c r="BLG15" s="114"/>
      <c r="BLH15" s="114"/>
      <c r="BLI15" s="114"/>
      <c r="BLJ15" s="114"/>
      <c r="BLK15" s="114"/>
      <c r="BLL15" s="114"/>
      <c r="BLM15" s="114"/>
      <c r="BLN15" s="114"/>
      <c r="BLO15" s="114"/>
      <c r="BLP15" s="114"/>
      <c r="BLQ15" s="114"/>
      <c r="BLR15" s="114"/>
      <c r="BLS15" s="114"/>
      <c r="BLT15" s="114"/>
      <c r="BLU15" s="114"/>
      <c r="BLV15" s="114"/>
      <c r="BLW15" s="114"/>
      <c r="BLX15" s="114"/>
      <c r="BLY15" s="114"/>
      <c r="BLZ15" s="114"/>
      <c r="BMA15" s="114"/>
      <c r="BMB15" s="114"/>
      <c r="BMC15" s="114"/>
      <c r="BMD15" s="114"/>
      <c r="BME15" s="114"/>
      <c r="BMF15" s="114"/>
      <c r="BMG15" s="114"/>
      <c r="BMH15" s="114"/>
      <c r="BMI15" s="114"/>
      <c r="BMJ15" s="114"/>
      <c r="BMK15" s="114"/>
      <c r="BML15" s="114"/>
      <c r="BMM15" s="114"/>
      <c r="BMN15" s="114"/>
      <c r="BMO15" s="114"/>
      <c r="BMP15" s="114"/>
      <c r="BMQ15" s="114"/>
      <c r="BMR15" s="114"/>
      <c r="BMS15" s="114"/>
      <c r="BMT15" s="114"/>
      <c r="BMU15" s="114"/>
      <c r="BMV15" s="114"/>
      <c r="BMW15" s="114"/>
      <c r="BMX15" s="114"/>
      <c r="BMY15" s="114"/>
      <c r="BMZ15" s="114"/>
      <c r="BNA15" s="114"/>
      <c r="BNB15" s="114"/>
      <c r="BNC15" s="114"/>
      <c r="BND15" s="114"/>
      <c r="BNE15" s="114"/>
      <c r="BNF15" s="114"/>
      <c r="BNG15" s="114"/>
      <c r="BNH15" s="114"/>
      <c r="BNI15" s="114"/>
      <c r="BNJ15" s="114"/>
      <c r="BNK15" s="114"/>
      <c r="BNL15" s="114"/>
      <c r="BNM15" s="114"/>
      <c r="BNN15" s="114"/>
      <c r="BNO15" s="114"/>
      <c r="BNP15" s="114"/>
      <c r="BNQ15" s="114"/>
      <c r="BNR15" s="114"/>
      <c r="BNS15" s="114"/>
      <c r="BNT15" s="114"/>
      <c r="BNU15" s="114"/>
      <c r="BNV15" s="114"/>
      <c r="BNW15" s="114"/>
      <c r="BNX15" s="114"/>
      <c r="BNY15" s="114"/>
      <c r="BNZ15" s="114"/>
      <c r="BOA15" s="114"/>
      <c r="BOB15" s="114"/>
      <c r="BOC15" s="114"/>
      <c r="BOD15" s="114"/>
      <c r="BOE15" s="114"/>
      <c r="BOF15" s="114"/>
      <c r="BOG15" s="114"/>
      <c r="BOH15" s="114"/>
      <c r="BOI15" s="114"/>
      <c r="BOJ15" s="114"/>
      <c r="BOK15" s="114"/>
      <c r="BOL15" s="114"/>
      <c r="BOM15" s="114"/>
      <c r="BON15" s="114"/>
      <c r="BOO15" s="114"/>
      <c r="BOP15" s="114"/>
      <c r="BOQ15" s="114"/>
      <c r="BOR15" s="114"/>
      <c r="BOS15" s="114"/>
      <c r="BOT15" s="114"/>
      <c r="BOU15" s="114"/>
      <c r="BOV15" s="114"/>
      <c r="BOW15" s="114"/>
      <c r="BOX15" s="114"/>
      <c r="BOY15" s="114"/>
      <c r="BOZ15" s="114"/>
      <c r="BPA15" s="114"/>
      <c r="BPB15" s="114"/>
      <c r="BPC15" s="114"/>
      <c r="BPD15" s="114"/>
      <c r="BPE15" s="114"/>
      <c r="BPF15" s="114"/>
      <c r="BPG15" s="114"/>
      <c r="BPH15" s="114"/>
      <c r="BPI15" s="114"/>
      <c r="BPJ15" s="114"/>
      <c r="BPK15" s="114"/>
      <c r="BPL15" s="114"/>
      <c r="BPM15" s="114"/>
      <c r="BPN15" s="114"/>
      <c r="BPO15" s="114"/>
      <c r="BPP15" s="114"/>
      <c r="BPQ15" s="114"/>
      <c r="BPR15" s="114"/>
      <c r="BPS15" s="114"/>
      <c r="BPT15" s="114"/>
      <c r="BPU15" s="114"/>
      <c r="BPV15" s="114"/>
      <c r="BPW15" s="114"/>
      <c r="BPX15" s="114"/>
      <c r="BPY15" s="114"/>
      <c r="BPZ15" s="114"/>
      <c r="BQA15" s="114"/>
      <c r="BQB15" s="114"/>
      <c r="BQC15" s="114"/>
      <c r="BQD15" s="114"/>
      <c r="BQE15" s="114"/>
      <c r="BQF15" s="114"/>
      <c r="BQG15" s="114"/>
      <c r="BQH15" s="114"/>
      <c r="BQI15" s="114"/>
      <c r="BQJ15" s="114"/>
      <c r="BQK15" s="114"/>
      <c r="BQL15" s="114"/>
      <c r="BQM15" s="114"/>
      <c r="BQN15" s="114"/>
      <c r="BQO15" s="114"/>
      <c r="BQP15" s="114"/>
      <c r="BQQ15" s="114"/>
      <c r="BQR15" s="114"/>
      <c r="BQS15" s="114"/>
      <c r="BQT15" s="114"/>
      <c r="BQU15" s="114"/>
      <c r="BQV15" s="114"/>
      <c r="BQW15" s="114"/>
      <c r="BQX15" s="114"/>
      <c r="BQY15" s="114"/>
      <c r="BQZ15" s="114"/>
      <c r="BRA15" s="114"/>
      <c r="BRB15" s="114"/>
      <c r="BRC15" s="114"/>
      <c r="BRD15" s="114"/>
      <c r="BRE15" s="114"/>
      <c r="BRF15" s="114"/>
      <c r="BRG15" s="114"/>
      <c r="BRH15" s="114"/>
      <c r="BRI15" s="114"/>
      <c r="BRJ15" s="114"/>
      <c r="BRK15" s="114"/>
      <c r="BRL15" s="114"/>
      <c r="BRM15" s="114"/>
      <c r="BRN15" s="114"/>
      <c r="BRO15" s="114"/>
      <c r="BRP15" s="114"/>
      <c r="BRQ15" s="114"/>
      <c r="BRR15" s="114"/>
      <c r="BRS15" s="114"/>
      <c r="BRT15" s="114"/>
      <c r="BRU15" s="114"/>
      <c r="BRV15" s="114"/>
      <c r="BRW15" s="114"/>
      <c r="BRX15" s="114"/>
      <c r="BRY15" s="114"/>
      <c r="BRZ15" s="114"/>
      <c r="BSA15" s="114"/>
      <c r="BSB15" s="114"/>
      <c r="BSC15" s="114"/>
      <c r="BSD15" s="114"/>
      <c r="BSE15" s="114"/>
      <c r="BSF15" s="114"/>
      <c r="BSG15" s="114"/>
      <c r="BSH15" s="114"/>
      <c r="BSI15" s="114"/>
      <c r="BSJ15" s="114"/>
      <c r="BSK15" s="114"/>
      <c r="BSL15" s="114"/>
      <c r="BSM15" s="114"/>
      <c r="BSN15" s="114"/>
      <c r="BSO15" s="114"/>
      <c r="BSP15" s="114"/>
      <c r="BSQ15" s="114"/>
      <c r="BSR15" s="114"/>
      <c r="BSS15" s="114"/>
      <c r="BST15" s="114"/>
      <c r="BSU15" s="114"/>
      <c r="BSV15" s="114"/>
      <c r="BSW15" s="114"/>
      <c r="BSX15" s="114"/>
      <c r="BSY15" s="114"/>
      <c r="BSZ15" s="114"/>
      <c r="BTA15" s="114"/>
      <c r="BTB15" s="114"/>
      <c r="BTC15" s="114"/>
      <c r="BTD15" s="114"/>
      <c r="BTE15" s="114"/>
      <c r="BTF15" s="114"/>
      <c r="BTG15" s="114"/>
      <c r="BTH15" s="114"/>
      <c r="BTI15" s="114"/>
      <c r="BTJ15" s="114"/>
      <c r="BTK15" s="114"/>
      <c r="BTL15" s="114"/>
      <c r="BTM15" s="114"/>
      <c r="BTN15" s="114"/>
      <c r="BTO15" s="114"/>
      <c r="BTP15" s="114"/>
      <c r="BTQ15" s="114"/>
      <c r="BTR15" s="114"/>
      <c r="BTS15" s="114"/>
      <c r="BTT15" s="114"/>
      <c r="BTU15" s="114"/>
      <c r="BTV15" s="114"/>
      <c r="BTW15" s="114"/>
      <c r="BTX15" s="114"/>
      <c r="BTY15" s="114"/>
      <c r="BTZ15" s="114"/>
      <c r="BUA15" s="114"/>
      <c r="BUB15" s="114"/>
      <c r="BUC15" s="114"/>
      <c r="BUD15" s="114"/>
      <c r="BUE15" s="114"/>
      <c r="BUF15" s="114"/>
      <c r="BUG15" s="114"/>
      <c r="BUH15" s="114"/>
      <c r="BUI15" s="114"/>
      <c r="BUJ15" s="114"/>
      <c r="BUK15" s="114"/>
      <c r="BUL15" s="114"/>
      <c r="BUM15" s="114"/>
      <c r="BUN15" s="114"/>
      <c r="BUO15" s="114"/>
      <c r="BUP15" s="114"/>
      <c r="BUQ15" s="114"/>
      <c r="BUR15" s="114"/>
      <c r="BUS15" s="114"/>
      <c r="BUT15" s="114"/>
      <c r="BUU15" s="114"/>
      <c r="BUV15" s="114"/>
      <c r="BUW15" s="114"/>
      <c r="BUX15" s="114"/>
      <c r="BUY15" s="114"/>
      <c r="BUZ15" s="114"/>
      <c r="BVA15" s="114"/>
      <c r="BVB15" s="114"/>
      <c r="BVC15" s="114"/>
      <c r="BVD15" s="114"/>
      <c r="BVE15" s="114"/>
      <c r="BVF15" s="114"/>
      <c r="BVG15" s="114"/>
      <c r="BVH15" s="114"/>
      <c r="BVI15" s="114"/>
      <c r="BVJ15" s="114"/>
      <c r="BVK15" s="114"/>
      <c r="BVL15" s="114"/>
      <c r="BVM15" s="114"/>
      <c r="BVN15" s="114"/>
      <c r="BVO15" s="114"/>
      <c r="BVP15" s="114"/>
      <c r="BVQ15" s="114"/>
      <c r="BVR15" s="114"/>
      <c r="BVS15" s="114"/>
      <c r="BVT15" s="114"/>
      <c r="BVU15" s="114"/>
      <c r="BVV15" s="114"/>
      <c r="BVW15" s="114"/>
      <c r="BVX15" s="114"/>
      <c r="BVY15" s="114"/>
      <c r="BVZ15" s="114"/>
      <c r="BWA15" s="114"/>
      <c r="BWB15" s="114"/>
      <c r="BWC15" s="114"/>
      <c r="BWD15" s="114"/>
      <c r="BWE15" s="114"/>
      <c r="BWF15" s="114"/>
      <c r="BWG15" s="114"/>
      <c r="BWH15" s="114"/>
      <c r="BWI15" s="114"/>
      <c r="BWJ15" s="114"/>
      <c r="BWK15" s="114"/>
      <c r="BWL15" s="114"/>
      <c r="BWM15" s="114"/>
      <c r="BWN15" s="114"/>
      <c r="BWO15" s="114"/>
      <c r="BWP15" s="114"/>
      <c r="BWQ15" s="114"/>
      <c r="BWR15" s="114"/>
      <c r="BWS15" s="114"/>
      <c r="BWT15" s="114"/>
      <c r="BWU15" s="114"/>
      <c r="BWV15" s="114"/>
      <c r="BWW15" s="114"/>
      <c r="BWX15" s="114"/>
      <c r="BWY15" s="114"/>
      <c r="BWZ15" s="114"/>
      <c r="BXA15" s="114"/>
      <c r="BXB15" s="114"/>
      <c r="BXC15" s="114"/>
      <c r="BXD15" s="114"/>
      <c r="BXE15" s="114"/>
      <c r="BXF15" s="114"/>
      <c r="BXG15" s="114"/>
      <c r="BXH15" s="114"/>
      <c r="BXI15" s="114"/>
      <c r="BXJ15" s="114"/>
      <c r="BXK15" s="114"/>
      <c r="BXL15" s="114"/>
      <c r="BXM15" s="114"/>
      <c r="BXN15" s="114"/>
      <c r="BXO15" s="114"/>
      <c r="BXP15" s="114"/>
      <c r="BXQ15" s="114"/>
      <c r="BXR15" s="114"/>
      <c r="BXS15" s="114"/>
      <c r="BXT15" s="114"/>
      <c r="BXU15" s="114"/>
      <c r="BXV15" s="114"/>
      <c r="BXW15" s="114"/>
      <c r="BXX15" s="114"/>
      <c r="BXY15" s="114"/>
      <c r="BXZ15" s="114"/>
      <c r="BYA15" s="114"/>
      <c r="BYB15" s="114"/>
      <c r="BYC15" s="114"/>
      <c r="BYD15" s="114"/>
      <c r="BYE15" s="114"/>
      <c r="BYF15" s="114"/>
      <c r="BYG15" s="114"/>
      <c r="BYH15" s="114"/>
      <c r="BYI15" s="114"/>
      <c r="BYJ15" s="114"/>
      <c r="BYK15" s="114"/>
      <c r="BYL15" s="114"/>
      <c r="BYM15" s="114"/>
      <c r="BYN15" s="114"/>
      <c r="BYO15" s="114"/>
      <c r="BYP15" s="114"/>
      <c r="BYQ15" s="114"/>
      <c r="BYR15" s="114"/>
      <c r="BYS15" s="114"/>
      <c r="BYT15" s="114"/>
      <c r="BYU15" s="114"/>
      <c r="BYV15" s="114"/>
      <c r="BYW15" s="114"/>
      <c r="BYX15" s="114"/>
      <c r="BYY15" s="114"/>
      <c r="BYZ15" s="114"/>
      <c r="BZA15" s="114"/>
      <c r="BZB15" s="114"/>
      <c r="BZC15" s="114"/>
      <c r="BZD15" s="114"/>
      <c r="BZE15" s="114"/>
      <c r="BZF15" s="114"/>
      <c r="BZG15" s="114"/>
      <c r="BZH15" s="114"/>
      <c r="BZI15" s="114"/>
      <c r="BZJ15" s="114"/>
      <c r="BZK15" s="114"/>
      <c r="BZL15" s="114"/>
      <c r="BZM15" s="114"/>
      <c r="BZN15" s="114"/>
      <c r="BZO15" s="114"/>
      <c r="BZP15" s="114"/>
      <c r="BZQ15" s="114"/>
      <c r="BZR15" s="114"/>
      <c r="BZS15" s="114"/>
      <c r="BZT15" s="114"/>
      <c r="BZU15" s="114"/>
      <c r="BZV15" s="114"/>
      <c r="BZW15" s="114"/>
      <c r="BZX15" s="114"/>
      <c r="BZY15" s="114"/>
      <c r="BZZ15" s="114"/>
      <c r="CAA15" s="114"/>
      <c r="CAB15" s="114"/>
      <c r="CAC15" s="114"/>
      <c r="CAD15" s="114"/>
      <c r="CAE15" s="114"/>
      <c r="CAF15" s="114"/>
      <c r="CAG15" s="114"/>
      <c r="CAH15" s="114"/>
      <c r="CAI15" s="114"/>
      <c r="CAJ15" s="114"/>
      <c r="CAK15" s="114"/>
      <c r="CAL15" s="114"/>
      <c r="CAM15" s="114"/>
      <c r="CAN15" s="114"/>
      <c r="CAO15" s="114"/>
      <c r="CAP15" s="114"/>
      <c r="CAQ15" s="114"/>
      <c r="CAR15" s="114"/>
      <c r="CAS15" s="114"/>
      <c r="CAT15" s="114"/>
      <c r="CAU15" s="114"/>
      <c r="CAV15" s="114"/>
      <c r="CAW15" s="114"/>
      <c r="CAX15" s="114"/>
      <c r="CAY15" s="114"/>
      <c r="CAZ15" s="114"/>
      <c r="CBA15" s="114"/>
      <c r="CBB15" s="114"/>
      <c r="CBC15" s="114"/>
      <c r="CBD15" s="114"/>
      <c r="CBE15" s="114"/>
      <c r="CBF15" s="114"/>
      <c r="CBG15" s="114"/>
      <c r="CBH15" s="114"/>
      <c r="CBI15" s="114"/>
      <c r="CBJ15" s="114"/>
      <c r="CBK15" s="114"/>
      <c r="CBL15" s="114"/>
      <c r="CBM15" s="114"/>
      <c r="CBN15" s="114"/>
      <c r="CBO15" s="114"/>
      <c r="CBP15" s="114"/>
      <c r="CBQ15" s="114"/>
      <c r="CBR15" s="114"/>
      <c r="CBS15" s="114"/>
      <c r="CBT15" s="114"/>
      <c r="CBU15" s="114"/>
      <c r="CBV15" s="114"/>
      <c r="CBW15" s="114"/>
      <c r="CBX15" s="114"/>
      <c r="CBY15" s="114"/>
      <c r="CBZ15" s="114"/>
      <c r="CCA15" s="114"/>
      <c r="CCB15" s="114"/>
      <c r="CCC15" s="114"/>
      <c r="CCD15" s="114"/>
      <c r="CCE15" s="114"/>
      <c r="CCF15" s="114"/>
      <c r="CCG15" s="114"/>
      <c r="CCH15" s="114"/>
      <c r="CCI15" s="114"/>
      <c r="CCJ15" s="114"/>
      <c r="CCK15" s="114"/>
      <c r="CCL15" s="114"/>
      <c r="CCM15" s="114"/>
      <c r="CCN15" s="114"/>
      <c r="CCO15" s="114"/>
      <c r="CCP15" s="114"/>
      <c r="CCQ15" s="114"/>
      <c r="CCR15" s="114"/>
      <c r="CCS15" s="114"/>
      <c r="CCT15" s="114"/>
      <c r="CCU15" s="114"/>
      <c r="CCV15" s="114"/>
      <c r="CCW15" s="114"/>
      <c r="CCX15" s="114"/>
      <c r="CCY15" s="114"/>
      <c r="CCZ15" s="114"/>
      <c r="CDA15" s="114"/>
      <c r="CDB15" s="114"/>
      <c r="CDC15" s="114"/>
      <c r="CDD15" s="114"/>
      <c r="CDE15" s="114"/>
      <c r="CDF15" s="114"/>
      <c r="CDG15" s="114"/>
      <c r="CDH15" s="114"/>
      <c r="CDI15" s="114"/>
      <c r="CDJ15" s="114"/>
      <c r="CDK15" s="114"/>
      <c r="CDL15" s="114"/>
      <c r="CDM15" s="114"/>
      <c r="CDN15" s="114"/>
      <c r="CDO15" s="114"/>
      <c r="CDP15" s="114"/>
      <c r="CDQ15" s="114"/>
      <c r="CDR15" s="114"/>
      <c r="CDS15" s="114"/>
      <c r="CDT15" s="114"/>
      <c r="CDU15" s="114"/>
      <c r="CDV15" s="114"/>
      <c r="CDW15" s="114"/>
      <c r="CDX15" s="114"/>
      <c r="CDY15" s="114"/>
      <c r="CDZ15" s="114"/>
      <c r="CEA15" s="114"/>
      <c r="CEB15" s="114"/>
      <c r="CEC15" s="114"/>
      <c r="CED15" s="114"/>
      <c r="CEE15" s="114"/>
      <c r="CEF15" s="114"/>
      <c r="CEG15" s="114"/>
      <c r="CEH15" s="114"/>
      <c r="CEI15" s="114"/>
      <c r="CEJ15" s="114"/>
      <c r="CEK15" s="114"/>
      <c r="CEL15" s="114"/>
      <c r="CEM15" s="114"/>
      <c r="CEN15" s="114"/>
      <c r="CEO15" s="114"/>
      <c r="CEP15" s="114"/>
      <c r="CEQ15" s="114"/>
      <c r="CER15" s="114"/>
      <c r="CES15" s="114"/>
      <c r="CET15" s="114"/>
      <c r="CEU15" s="114"/>
      <c r="CEV15" s="114"/>
      <c r="CEW15" s="114"/>
      <c r="CEX15" s="114"/>
      <c r="CEY15" s="114"/>
      <c r="CEZ15" s="114"/>
      <c r="CFA15" s="114"/>
      <c r="CFB15" s="114"/>
      <c r="CFC15" s="114"/>
      <c r="CFD15" s="114"/>
      <c r="CFE15" s="114"/>
      <c r="CFF15" s="114"/>
      <c r="CFG15" s="114"/>
      <c r="CFH15" s="114"/>
      <c r="CFI15" s="114"/>
      <c r="CFJ15" s="114"/>
      <c r="CFK15" s="114"/>
      <c r="CFL15" s="114"/>
      <c r="CFM15" s="114"/>
      <c r="CFN15" s="114"/>
      <c r="CFO15" s="114"/>
      <c r="CFP15" s="114"/>
      <c r="CFQ15" s="114"/>
      <c r="CFR15" s="114"/>
      <c r="CFS15" s="114"/>
      <c r="CFT15" s="114"/>
      <c r="CFU15" s="114"/>
      <c r="CFV15" s="114"/>
      <c r="CFW15" s="114"/>
      <c r="CFX15" s="114"/>
      <c r="CFY15" s="114"/>
      <c r="CFZ15" s="114"/>
      <c r="CGA15" s="114"/>
      <c r="CGB15" s="114"/>
      <c r="CGC15" s="114"/>
      <c r="CGD15" s="114"/>
      <c r="CGE15" s="114"/>
      <c r="CGF15" s="114"/>
      <c r="CGG15" s="114"/>
      <c r="CGH15" s="114"/>
      <c r="CGI15" s="114"/>
      <c r="CGJ15" s="114"/>
      <c r="CGK15" s="114"/>
      <c r="CGL15" s="114"/>
      <c r="CGM15" s="114"/>
      <c r="CGN15" s="114"/>
      <c r="CGO15" s="114"/>
      <c r="CGP15" s="114"/>
      <c r="CGQ15" s="114"/>
      <c r="CGR15" s="114"/>
      <c r="CGS15" s="114"/>
      <c r="CGT15" s="114"/>
      <c r="CGU15" s="114"/>
      <c r="CGV15" s="114"/>
      <c r="CGW15" s="114"/>
      <c r="CGX15" s="114"/>
      <c r="CGY15" s="114"/>
      <c r="CGZ15" s="114"/>
      <c r="CHA15" s="114"/>
      <c r="CHB15" s="114"/>
      <c r="CHC15" s="114"/>
      <c r="CHD15" s="114"/>
      <c r="CHE15" s="114"/>
      <c r="CHF15" s="114"/>
      <c r="CHG15" s="114"/>
      <c r="CHH15" s="114"/>
      <c r="CHI15" s="114"/>
      <c r="CHJ15" s="114"/>
      <c r="CHK15" s="114"/>
      <c r="CHL15" s="114"/>
      <c r="CHM15" s="114"/>
      <c r="CHN15" s="114"/>
      <c r="CHO15" s="114"/>
      <c r="CHP15" s="114"/>
      <c r="CHQ15" s="114"/>
      <c r="CHR15" s="114"/>
      <c r="CHS15" s="114"/>
      <c r="CHT15" s="114"/>
      <c r="CHU15" s="114"/>
      <c r="CHV15" s="114"/>
      <c r="CHW15" s="114"/>
      <c r="CHX15" s="114"/>
      <c r="CHY15" s="114"/>
      <c r="CHZ15" s="114"/>
      <c r="CIA15" s="114"/>
      <c r="CIB15" s="114"/>
      <c r="CIC15" s="114"/>
      <c r="CID15" s="114"/>
      <c r="CIE15" s="114"/>
      <c r="CIF15" s="114"/>
      <c r="CIG15" s="114"/>
      <c r="CIH15" s="114"/>
      <c r="CII15" s="114"/>
      <c r="CIJ15" s="114"/>
      <c r="CIK15" s="114"/>
      <c r="CIL15" s="114"/>
      <c r="CIM15" s="114"/>
      <c r="CIN15" s="114"/>
      <c r="CIO15" s="114"/>
      <c r="CIP15" s="114"/>
      <c r="CIQ15" s="114"/>
      <c r="CIR15" s="114"/>
      <c r="CIS15" s="114"/>
      <c r="CIT15" s="114"/>
      <c r="CIU15" s="114"/>
      <c r="CIV15" s="114"/>
      <c r="CIW15" s="114"/>
      <c r="CIX15" s="114"/>
      <c r="CIY15" s="114"/>
      <c r="CIZ15" s="114"/>
      <c r="CJA15" s="114"/>
      <c r="CJB15" s="114"/>
      <c r="CJC15" s="114"/>
      <c r="CJD15" s="114"/>
      <c r="CJE15" s="114"/>
      <c r="CJF15" s="114"/>
      <c r="CJG15" s="114"/>
      <c r="CJH15" s="114"/>
      <c r="CJI15" s="114"/>
      <c r="CJJ15" s="114"/>
      <c r="CJK15" s="114"/>
      <c r="CJL15" s="114"/>
      <c r="CJM15" s="114"/>
      <c r="CJN15" s="114"/>
      <c r="CJO15" s="114"/>
      <c r="CJP15" s="114"/>
      <c r="CJQ15" s="114"/>
      <c r="CJR15" s="114"/>
      <c r="CJS15" s="114"/>
      <c r="CJT15" s="114"/>
      <c r="CJU15" s="114"/>
      <c r="CJV15" s="114"/>
      <c r="CJW15" s="114"/>
      <c r="CJX15" s="114"/>
      <c r="CJY15" s="114"/>
      <c r="CJZ15" s="114"/>
      <c r="CKA15" s="114"/>
      <c r="CKB15" s="114"/>
      <c r="CKC15" s="114"/>
      <c r="CKD15" s="114"/>
      <c r="CKE15" s="114"/>
      <c r="CKF15" s="114"/>
      <c r="CKG15" s="114"/>
      <c r="CKH15" s="114"/>
      <c r="CKI15" s="114"/>
      <c r="CKJ15" s="114"/>
      <c r="CKK15" s="114"/>
      <c r="CKL15" s="114"/>
      <c r="CKM15" s="114"/>
      <c r="CKN15" s="114"/>
      <c r="CKO15" s="114"/>
      <c r="CKP15" s="114"/>
      <c r="CKQ15" s="114"/>
      <c r="CKR15" s="114"/>
      <c r="CKS15" s="114"/>
      <c r="CKT15" s="114"/>
      <c r="CKU15" s="114"/>
      <c r="CKV15" s="114"/>
      <c r="CKW15" s="114"/>
      <c r="CKX15" s="114"/>
      <c r="CKY15" s="114"/>
      <c r="CKZ15" s="114"/>
      <c r="CLA15" s="114"/>
      <c r="CLB15" s="114"/>
      <c r="CLC15" s="114"/>
      <c r="CLD15" s="114"/>
      <c r="CLE15" s="114"/>
      <c r="CLF15" s="114"/>
      <c r="CLG15" s="114"/>
      <c r="CLH15" s="114"/>
      <c r="CLI15" s="114"/>
      <c r="CLJ15" s="114"/>
      <c r="CLK15" s="114"/>
      <c r="CLL15" s="114"/>
      <c r="CLM15" s="114"/>
      <c r="CLN15" s="114"/>
      <c r="CLO15" s="114"/>
      <c r="CLP15" s="114"/>
      <c r="CLQ15" s="114"/>
      <c r="CLR15" s="114"/>
      <c r="CLS15" s="114"/>
      <c r="CLT15" s="114"/>
      <c r="CLU15" s="114"/>
      <c r="CLV15" s="114"/>
      <c r="CLW15" s="114"/>
      <c r="CLX15" s="114"/>
      <c r="CLY15" s="114"/>
      <c r="CLZ15" s="114"/>
      <c r="CMA15" s="114"/>
      <c r="CMB15" s="114"/>
      <c r="CMC15" s="114"/>
      <c r="CMD15" s="114"/>
      <c r="CME15" s="114"/>
      <c r="CMF15" s="114"/>
      <c r="CMG15" s="114"/>
      <c r="CMH15" s="114"/>
      <c r="CMI15" s="114"/>
      <c r="CMJ15" s="114"/>
      <c r="CMK15" s="114"/>
      <c r="CML15" s="114"/>
      <c r="CMM15" s="114"/>
      <c r="CMN15" s="114"/>
      <c r="CMO15" s="114"/>
      <c r="CMP15" s="114"/>
      <c r="CMQ15" s="114"/>
      <c r="CMR15" s="114"/>
      <c r="CMS15" s="114"/>
      <c r="CMT15" s="114"/>
      <c r="CMU15" s="114"/>
      <c r="CMV15" s="114"/>
      <c r="CMW15" s="114"/>
      <c r="CMX15" s="114"/>
      <c r="CMY15" s="114"/>
      <c r="CMZ15" s="114"/>
      <c r="CNA15" s="114"/>
      <c r="CNB15" s="114"/>
      <c r="CNC15" s="114"/>
      <c r="CND15" s="114"/>
      <c r="CNE15" s="114"/>
      <c r="CNF15" s="114"/>
      <c r="CNG15" s="114"/>
      <c r="CNH15" s="114"/>
      <c r="CNI15" s="114"/>
      <c r="CNJ15" s="114"/>
      <c r="CNK15" s="114"/>
      <c r="CNL15" s="114"/>
      <c r="CNM15" s="114"/>
      <c r="CNN15" s="114"/>
      <c r="CNO15" s="114"/>
      <c r="CNP15" s="114"/>
      <c r="CNQ15" s="114"/>
      <c r="CNR15" s="114"/>
      <c r="CNS15" s="114"/>
      <c r="CNT15" s="114"/>
      <c r="CNU15" s="114"/>
      <c r="CNV15" s="114"/>
      <c r="CNW15" s="114"/>
      <c r="CNX15" s="114"/>
      <c r="CNY15" s="114"/>
      <c r="CNZ15" s="114"/>
      <c r="COA15" s="114"/>
      <c r="COB15" s="114"/>
      <c r="COC15" s="114"/>
      <c r="COD15" s="114"/>
      <c r="COE15" s="114"/>
      <c r="COF15" s="114"/>
      <c r="COG15" s="114"/>
      <c r="COH15" s="114"/>
      <c r="COI15" s="114"/>
      <c r="COJ15" s="114"/>
      <c r="COK15" s="114"/>
      <c r="COL15" s="114"/>
      <c r="COM15" s="114"/>
      <c r="CON15" s="114"/>
      <c r="COO15" s="114"/>
      <c r="COP15" s="114"/>
      <c r="COQ15" s="114"/>
      <c r="COR15" s="114"/>
      <c r="COS15" s="114"/>
      <c r="COT15" s="114"/>
      <c r="COU15" s="114"/>
      <c r="COV15" s="114"/>
      <c r="COW15" s="114"/>
      <c r="COX15" s="114"/>
      <c r="COY15" s="114"/>
      <c r="COZ15" s="114"/>
      <c r="CPA15" s="114"/>
      <c r="CPB15" s="114"/>
      <c r="CPC15" s="114"/>
      <c r="CPD15" s="114"/>
      <c r="CPE15" s="114"/>
      <c r="CPF15" s="114"/>
      <c r="CPG15" s="114"/>
      <c r="CPH15" s="114"/>
      <c r="CPI15" s="114"/>
      <c r="CPJ15" s="114"/>
      <c r="CPK15" s="114"/>
      <c r="CPL15" s="114"/>
      <c r="CPM15" s="114"/>
      <c r="CPN15" s="114"/>
      <c r="CPO15" s="114"/>
      <c r="CPP15" s="114"/>
      <c r="CPQ15" s="114"/>
      <c r="CPR15" s="114"/>
      <c r="CPS15" s="114"/>
      <c r="CPT15" s="114"/>
      <c r="CPU15" s="114"/>
      <c r="CPV15" s="114"/>
      <c r="CPW15" s="114"/>
      <c r="CPX15" s="114"/>
      <c r="CPY15" s="114"/>
      <c r="CPZ15" s="114"/>
      <c r="CQA15" s="114"/>
      <c r="CQB15" s="114"/>
      <c r="CQC15" s="114"/>
      <c r="CQD15" s="114"/>
      <c r="CQE15" s="114"/>
      <c r="CQF15" s="114"/>
      <c r="CQG15" s="114"/>
      <c r="CQH15" s="114"/>
      <c r="CQI15" s="114"/>
      <c r="CQJ15" s="114"/>
      <c r="CQK15" s="114"/>
      <c r="CQL15" s="114"/>
      <c r="CQM15" s="114"/>
      <c r="CQN15" s="114"/>
      <c r="CQO15" s="114"/>
      <c r="CQP15" s="114"/>
      <c r="CQQ15" s="114"/>
      <c r="CQR15" s="114"/>
      <c r="CQS15" s="114"/>
      <c r="CQT15" s="114"/>
      <c r="CQU15" s="114"/>
      <c r="CQV15" s="114"/>
      <c r="CQW15" s="114"/>
      <c r="CQX15" s="114"/>
      <c r="CQY15" s="114"/>
      <c r="CQZ15" s="114"/>
      <c r="CRA15" s="114"/>
      <c r="CRB15" s="114"/>
      <c r="CRC15" s="114"/>
      <c r="CRD15" s="114"/>
      <c r="CRE15" s="114"/>
      <c r="CRF15" s="114"/>
      <c r="CRG15" s="114"/>
      <c r="CRH15" s="114"/>
      <c r="CRI15" s="114"/>
      <c r="CRJ15" s="114"/>
      <c r="CRK15" s="114"/>
      <c r="CRL15" s="114"/>
      <c r="CRM15" s="114"/>
      <c r="CRN15" s="114"/>
      <c r="CRO15" s="114"/>
      <c r="CRP15" s="114"/>
      <c r="CRQ15" s="114"/>
      <c r="CRR15" s="114"/>
      <c r="CRS15" s="114"/>
      <c r="CRT15" s="114"/>
      <c r="CRU15" s="114"/>
      <c r="CRV15" s="114"/>
      <c r="CRW15" s="114"/>
      <c r="CRX15" s="114"/>
      <c r="CRY15" s="114"/>
      <c r="CRZ15" s="114"/>
      <c r="CSA15" s="114"/>
      <c r="CSB15" s="114"/>
      <c r="CSC15" s="114"/>
      <c r="CSD15" s="114"/>
      <c r="CSE15" s="114"/>
      <c r="CSF15" s="114"/>
      <c r="CSG15" s="114"/>
      <c r="CSH15" s="114"/>
      <c r="CSI15" s="114"/>
      <c r="CSJ15" s="114"/>
      <c r="CSK15" s="114"/>
      <c r="CSL15" s="114"/>
      <c r="CSM15" s="114"/>
      <c r="CSN15" s="114"/>
      <c r="CSO15" s="114"/>
      <c r="CSP15" s="114"/>
      <c r="CSQ15" s="114"/>
      <c r="CSR15" s="114"/>
      <c r="CSS15" s="114"/>
      <c r="CST15" s="114"/>
      <c r="CSU15" s="114"/>
      <c r="CSV15" s="114"/>
      <c r="CSW15" s="114"/>
      <c r="CSX15" s="114"/>
      <c r="CSY15" s="114"/>
      <c r="CSZ15" s="114"/>
      <c r="CTA15" s="114"/>
      <c r="CTB15" s="114"/>
      <c r="CTC15" s="114"/>
      <c r="CTD15" s="114"/>
      <c r="CTE15" s="114"/>
      <c r="CTF15" s="114"/>
      <c r="CTG15" s="114"/>
      <c r="CTH15" s="114"/>
      <c r="CTI15" s="114"/>
      <c r="CTJ15" s="114"/>
      <c r="CTK15" s="114"/>
      <c r="CTL15" s="114"/>
      <c r="CTM15" s="114"/>
      <c r="CTN15" s="114"/>
      <c r="CTO15" s="114"/>
      <c r="CTP15" s="114"/>
      <c r="CTQ15" s="114"/>
      <c r="CTR15" s="114"/>
      <c r="CTS15" s="114"/>
      <c r="CTT15" s="114"/>
      <c r="CTU15" s="114"/>
      <c r="CTV15" s="114"/>
      <c r="CTW15" s="114"/>
      <c r="CTX15" s="114"/>
      <c r="CTY15" s="114"/>
      <c r="CTZ15" s="114"/>
      <c r="CUA15" s="114"/>
      <c r="CUB15" s="114"/>
      <c r="CUC15" s="114"/>
      <c r="CUD15" s="114"/>
      <c r="CUE15" s="114"/>
      <c r="CUF15" s="114"/>
      <c r="CUG15" s="114"/>
      <c r="CUH15" s="114"/>
      <c r="CUI15" s="114"/>
      <c r="CUJ15" s="114"/>
      <c r="CUK15" s="114"/>
      <c r="CUL15" s="114"/>
      <c r="CUM15" s="114"/>
      <c r="CUN15" s="114"/>
      <c r="CUO15" s="114"/>
      <c r="CUP15" s="114"/>
      <c r="CUQ15" s="114"/>
      <c r="CUR15" s="114"/>
      <c r="CUS15" s="114"/>
      <c r="CUT15" s="114"/>
      <c r="CUU15" s="114"/>
      <c r="CUV15" s="114"/>
      <c r="CUW15" s="114"/>
      <c r="CUX15" s="114"/>
      <c r="CUY15" s="114"/>
      <c r="CUZ15" s="114"/>
      <c r="CVA15" s="114"/>
      <c r="CVB15" s="114"/>
      <c r="CVC15" s="114"/>
      <c r="CVD15" s="114"/>
      <c r="CVE15" s="114"/>
      <c r="CVF15" s="114"/>
      <c r="CVG15" s="114"/>
      <c r="CVH15" s="114"/>
      <c r="CVI15" s="114"/>
      <c r="CVJ15" s="114"/>
      <c r="CVK15" s="114"/>
      <c r="CVL15" s="114"/>
      <c r="CVM15" s="114"/>
      <c r="CVN15" s="114"/>
      <c r="CVO15" s="114"/>
      <c r="CVP15" s="114"/>
      <c r="CVQ15" s="114"/>
      <c r="CVR15" s="114"/>
      <c r="CVS15" s="114"/>
      <c r="CVT15" s="114"/>
      <c r="CVU15" s="114"/>
      <c r="CVV15" s="114"/>
      <c r="CVW15" s="114"/>
      <c r="CVX15" s="114"/>
      <c r="CVY15" s="114"/>
      <c r="CVZ15" s="114"/>
      <c r="CWA15" s="114"/>
      <c r="CWB15" s="114"/>
      <c r="CWC15" s="114"/>
      <c r="CWD15" s="114"/>
      <c r="CWE15" s="114"/>
      <c r="CWF15" s="114"/>
      <c r="CWG15" s="114"/>
      <c r="CWH15" s="114"/>
      <c r="CWI15" s="114"/>
      <c r="CWJ15" s="114"/>
      <c r="CWK15" s="114"/>
      <c r="CWL15" s="114"/>
      <c r="CWM15" s="114"/>
      <c r="CWN15" s="114"/>
      <c r="CWO15" s="114"/>
      <c r="CWP15" s="114"/>
      <c r="CWQ15" s="114"/>
      <c r="CWR15" s="114"/>
      <c r="CWS15" s="114"/>
      <c r="CWT15" s="114"/>
      <c r="CWU15" s="114"/>
      <c r="CWV15" s="114"/>
      <c r="CWW15" s="114"/>
      <c r="CWX15" s="114"/>
      <c r="CWY15" s="114"/>
      <c r="CWZ15" s="114"/>
      <c r="CXA15" s="114"/>
      <c r="CXB15" s="114"/>
      <c r="CXC15" s="114"/>
      <c r="CXD15" s="114"/>
      <c r="CXE15" s="114"/>
      <c r="CXF15" s="114"/>
      <c r="CXG15" s="114"/>
      <c r="CXH15" s="114"/>
      <c r="CXI15" s="114"/>
      <c r="CXJ15" s="114"/>
      <c r="CXK15" s="114"/>
      <c r="CXL15" s="114"/>
      <c r="CXM15" s="114"/>
      <c r="CXN15" s="114"/>
      <c r="CXO15" s="114"/>
      <c r="CXP15" s="114"/>
      <c r="CXQ15" s="114"/>
      <c r="CXR15" s="114"/>
      <c r="CXS15" s="114"/>
      <c r="CXT15" s="114"/>
      <c r="CXU15" s="114"/>
      <c r="CXV15" s="114"/>
      <c r="CXW15" s="114"/>
      <c r="CXX15" s="114"/>
      <c r="CXY15" s="114"/>
      <c r="CXZ15" s="114"/>
      <c r="CYA15" s="114"/>
      <c r="CYB15" s="114"/>
      <c r="CYC15" s="114"/>
      <c r="CYD15" s="114"/>
      <c r="CYE15" s="114"/>
      <c r="CYF15" s="114"/>
      <c r="CYG15" s="114"/>
      <c r="CYH15" s="114"/>
      <c r="CYI15" s="114"/>
      <c r="CYJ15" s="114"/>
      <c r="CYK15" s="114"/>
      <c r="CYL15" s="114"/>
      <c r="CYM15" s="114"/>
      <c r="CYN15" s="114"/>
      <c r="CYO15" s="114"/>
      <c r="CYP15" s="114"/>
      <c r="CYQ15" s="114"/>
      <c r="CYR15" s="114"/>
      <c r="CYS15" s="114"/>
      <c r="CYT15" s="114"/>
      <c r="CYU15" s="114"/>
      <c r="CYV15" s="114"/>
      <c r="CYW15" s="114"/>
      <c r="CYX15" s="114"/>
      <c r="CYY15" s="114"/>
      <c r="CYZ15" s="114"/>
      <c r="CZA15" s="114"/>
      <c r="CZB15" s="114"/>
      <c r="CZC15" s="114"/>
      <c r="CZD15" s="114"/>
      <c r="CZE15" s="114"/>
      <c r="CZF15" s="114"/>
      <c r="CZG15" s="114"/>
      <c r="CZH15" s="114"/>
      <c r="CZI15" s="114"/>
      <c r="CZJ15" s="114"/>
      <c r="CZK15" s="114"/>
      <c r="CZL15" s="114"/>
      <c r="CZM15" s="114"/>
      <c r="CZN15" s="114"/>
      <c r="CZO15" s="114"/>
      <c r="CZP15" s="114"/>
      <c r="CZQ15" s="114"/>
      <c r="CZR15" s="114"/>
      <c r="CZS15" s="114"/>
      <c r="CZT15" s="114"/>
      <c r="CZU15" s="114"/>
      <c r="CZV15" s="114"/>
      <c r="CZW15" s="114"/>
      <c r="CZX15" s="114"/>
      <c r="CZY15" s="114"/>
      <c r="CZZ15" s="114"/>
      <c r="DAA15" s="114"/>
      <c r="DAB15" s="114"/>
      <c r="DAC15" s="114"/>
      <c r="DAD15" s="114"/>
      <c r="DAE15" s="114"/>
      <c r="DAF15" s="114"/>
      <c r="DAG15" s="114"/>
      <c r="DAH15" s="114"/>
      <c r="DAI15" s="114"/>
      <c r="DAJ15" s="114"/>
      <c r="DAK15" s="114"/>
      <c r="DAL15" s="114"/>
      <c r="DAM15" s="114"/>
      <c r="DAN15" s="114"/>
      <c r="DAO15" s="114"/>
      <c r="DAP15" s="114"/>
      <c r="DAQ15" s="114"/>
      <c r="DAR15" s="114"/>
      <c r="DAS15" s="114"/>
      <c r="DAT15" s="114"/>
      <c r="DAU15" s="114"/>
      <c r="DAV15" s="114"/>
      <c r="DAW15" s="114"/>
      <c r="DAX15" s="114"/>
      <c r="DAY15" s="114"/>
      <c r="DAZ15" s="114"/>
      <c r="DBA15" s="114"/>
      <c r="DBB15" s="114"/>
      <c r="DBC15" s="114"/>
      <c r="DBD15" s="114"/>
      <c r="DBE15" s="114"/>
      <c r="DBF15" s="114"/>
      <c r="DBG15" s="114"/>
      <c r="DBH15" s="114"/>
      <c r="DBI15" s="114"/>
      <c r="DBJ15" s="114"/>
      <c r="DBK15" s="114"/>
      <c r="DBL15" s="114"/>
      <c r="DBM15" s="114"/>
      <c r="DBN15" s="114"/>
      <c r="DBO15" s="114"/>
      <c r="DBP15" s="114"/>
      <c r="DBQ15" s="114"/>
      <c r="DBR15" s="114"/>
      <c r="DBS15" s="114"/>
      <c r="DBT15" s="114"/>
      <c r="DBU15" s="114"/>
      <c r="DBV15" s="114"/>
      <c r="DBW15" s="114"/>
      <c r="DBX15" s="114"/>
      <c r="DBY15" s="114"/>
      <c r="DBZ15" s="114"/>
      <c r="DCA15" s="114"/>
      <c r="DCB15" s="114"/>
      <c r="DCC15" s="114"/>
      <c r="DCD15" s="114"/>
      <c r="DCE15" s="114"/>
      <c r="DCF15" s="114"/>
      <c r="DCG15" s="114"/>
      <c r="DCH15" s="114"/>
      <c r="DCI15" s="114"/>
      <c r="DCJ15" s="114"/>
      <c r="DCK15" s="114"/>
      <c r="DCL15" s="114"/>
      <c r="DCM15" s="114"/>
      <c r="DCN15" s="114"/>
      <c r="DCO15" s="114"/>
      <c r="DCP15" s="114"/>
      <c r="DCQ15" s="114"/>
      <c r="DCR15" s="114"/>
      <c r="DCS15" s="114"/>
      <c r="DCT15" s="114"/>
      <c r="DCU15" s="114"/>
      <c r="DCV15" s="114"/>
      <c r="DCW15" s="114"/>
      <c r="DCX15" s="114"/>
      <c r="DCY15" s="114"/>
      <c r="DCZ15" s="114"/>
      <c r="DDA15" s="114"/>
      <c r="DDB15" s="114"/>
      <c r="DDC15" s="114"/>
      <c r="DDD15" s="114"/>
      <c r="DDE15" s="114"/>
      <c r="DDF15" s="114"/>
      <c r="DDG15" s="114"/>
      <c r="DDH15" s="114"/>
      <c r="DDI15" s="114"/>
      <c r="DDJ15" s="114"/>
      <c r="DDK15" s="114"/>
      <c r="DDL15" s="114"/>
      <c r="DDM15" s="114"/>
      <c r="DDN15" s="114"/>
      <c r="DDO15" s="114"/>
      <c r="DDP15" s="114"/>
      <c r="DDQ15" s="114"/>
      <c r="DDR15" s="114"/>
      <c r="DDS15" s="114"/>
      <c r="DDT15" s="114"/>
      <c r="DDU15" s="114"/>
      <c r="DDV15" s="114"/>
      <c r="DDW15" s="114"/>
      <c r="DDX15" s="114"/>
      <c r="DDY15" s="114"/>
      <c r="DDZ15" s="114"/>
      <c r="DEA15" s="114"/>
      <c r="DEB15" s="114"/>
      <c r="DEC15" s="114"/>
      <c r="DED15" s="114"/>
      <c r="DEE15" s="114"/>
      <c r="DEF15" s="114"/>
      <c r="DEG15" s="114"/>
      <c r="DEH15" s="114"/>
      <c r="DEI15" s="114"/>
      <c r="DEJ15" s="114"/>
      <c r="DEK15" s="114"/>
      <c r="DEL15" s="114"/>
      <c r="DEM15" s="114"/>
      <c r="DEN15" s="114"/>
      <c r="DEO15" s="114"/>
      <c r="DEP15" s="114"/>
      <c r="DEQ15" s="114"/>
      <c r="DER15" s="114"/>
      <c r="DES15" s="114"/>
      <c r="DET15" s="114"/>
      <c r="DEU15" s="114"/>
      <c r="DEV15" s="114"/>
      <c r="DEW15" s="114"/>
      <c r="DEX15" s="114"/>
      <c r="DEY15" s="114"/>
      <c r="DEZ15" s="114"/>
      <c r="DFA15" s="114"/>
      <c r="DFB15" s="114"/>
      <c r="DFC15" s="114"/>
      <c r="DFD15" s="114"/>
      <c r="DFE15" s="114"/>
      <c r="DFF15" s="114"/>
      <c r="DFG15" s="114"/>
      <c r="DFH15" s="114"/>
      <c r="DFI15" s="114"/>
      <c r="DFJ15" s="114"/>
      <c r="DFK15" s="114"/>
      <c r="DFL15" s="114"/>
      <c r="DFM15" s="114"/>
      <c r="DFN15" s="114"/>
      <c r="DFO15" s="114"/>
      <c r="DFP15" s="114"/>
      <c r="DFQ15" s="114"/>
      <c r="DFR15" s="114"/>
      <c r="DFS15" s="114"/>
      <c r="DFT15" s="114"/>
      <c r="DFU15" s="114"/>
      <c r="DFV15" s="114"/>
      <c r="DFW15" s="114"/>
      <c r="DFX15" s="114"/>
      <c r="DFY15" s="114"/>
      <c r="DFZ15" s="114"/>
      <c r="DGA15" s="114"/>
      <c r="DGB15" s="114"/>
      <c r="DGC15" s="114"/>
      <c r="DGD15" s="114"/>
      <c r="DGE15" s="114"/>
      <c r="DGF15" s="114"/>
      <c r="DGG15" s="114"/>
      <c r="DGH15" s="114"/>
      <c r="DGI15" s="114"/>
      <c r="DGJ15" s="114"/>
      <c r="DGK15" s="114"/>
      <c r="DGL15" s="114"/>
      <c r="DGM15" s="114"/>
      <c r="DGN15" s="114"/>
      <c r="DGO15" s="114"/>
      <c r="DGP15" s="114"/>
      <c r="DGQ15" s="114"/>
      <c r="DGR15" s="114"/>
      <c r="DGS15" s="114"/>
      <c r="DGT15" s="114"/>
      <c r="DGU15" s="114"/>
      <c r="DGV15" s="114"/>
      <c r="DGW15" s="114"/>
      <c r="DGX15" s="114"/>
      <c r="DGY15" s="114"/>
      <c r="DGZ15" s="114"/>
      <c r="DHA15" s="114"/>
      <c r="DHB15" s="114"/>
      <c r="DHC15" s="114"/>
      <c r="DHD15" s="114"/>
      <c r="DHE15" s="114"/>
      <c r="DHF15" s="114"/>
      <c r="DHG15" s="114"/>
      <c r="DHH15" s="114"/>
      <c r="DHI15" s="114"/>
      <c r="DHJ15" s="114"/>
      <c r="DHK15" s="114"/>
      <c r="DHL15" s="114"/>
      <c r="DHM15" s="114"/>
      <c r="DHN15" s="114"/>
      <c r="DHO15" s="114"/>
      <c r="DHP15" s="114"/>
      <c r="DHQ15" s="114"/>
      <c r="DHR15" s="114"/>
      <c r="DHS15" s="114"/>
      <c r="DHT15" s="114"/>
      <c r="DHU15" s="114"/>
      <c r="DHV15" s="114"/>
      <c r="DHW15" s="114"/>
      <c r="DHX15" s="114"/>
      <c r="DHY15" s="114"/>
      <c r="DHZ15" s="114"/>
      <c r="DIA15" s="114"/>
      <c r="DIB15" s="114"/>
      <c r="DIC15" s="114"/>
      <c r="DID15" s="114"/>
      <c r="DIE15" s="114"/>
      <c r="DIF15" s="114"/>
      <c r="DIG15" s="114"/>
      <c r="DIH15" s="114"/>
      <c r="DII15" s="114"/>
      <c r="DIJ15" s="114"/>
      <c r="DIK15" s="114"/>
      <c r="DIL15" s="114"/>
      <c r="DIM15" s="114"/>
      <c r="DIN15" s="114"/>
      <c r="DIO15" s="114"/>
      <c r="DIP15" s="114"/>
      <c r="DIQ15" s="114"/>
      <c r="DIR15" s="114"/>
      <c r="DIS15" s="114"/>
      <c r="DIT15" s="114"/>
      <c r="DIU15" s="114"/>
      <c r="DIV15" s="114"/>
      <c r="DIW15" s="114"/>
      <c r="DIX15" s="114"/>
      <c r="DIY15" s="114"/>
      <c r="DIZ15" s="114"/>
      <c r="DJA15" s="114"/>
      <c r="DJB15" s="114"/>
      <c r="DJC15" s="114"/>
      <c r="DJD15" s="114"/>
      <c r="DJE15" s="114"/>
      <c r="DJF15" s="114"/>
      <c r="DJG15" s="114"/>
      <c r="DJH15" s="114"/>
      <c r="DJI15" s="114"/>
      <c r="DJJ15" s="114"/>
      <c r="DJK15" s="114"/>
      <c r="DJL15" s="114"/>
      <c r="DJM15" s="114"/>
      <c r="DJN15" s="114"/>
      <c r="DJO15" s="114"/>
      <c r="DJP15" s="114"/>
      <c r="DJQ15" s="114"/>
      <c r="DJR15" s="114"/>
      <c r="DJS15" s="114"/>
      <c r="DJT15" s="114"/>
      <c r="DJU15" s="114"/>
      <c r="DJV15" s="114"/>
      <c r="DJW15" s="114"/>
      <c r="DJX15" s="114"/>
      <c r="DJY15" s="114"/>
      <c r="DJZ15" s="114"/>
      <c r="DKA15" s="114"/>
      <c r="DKB15" s="114"/>
      <c r="DKC15" s="114"/>
      <c r="DKD15" s="114"/>
      <c r="DKE15" s="114"/>
      <c r="DKF15" s="114"/>
      <c r="DKG15" s="114"/>
      <c r="DKH15" s="114"/>
      <c r="DKI15" s="114"/>
      <c r="DKJ15" s="114"/>
      <c r="DKK15" s="114"/>
      <c r="DKL15" s="114"/>
      <c r="DKM15" s="114"/>
      <c r="DKN15" s="114"/>
      <c r="DKO15" s="114"/>
      <c r="DKP15" s="114"/>
      <c r="DKQ15" s="114"/>
      <c r="DKR15" s="114"/>
      <c r="DKS15" s="114"/>
      <c r="DKT15" s="114"/>
      <c r="DKU15" s="114"/>
      <c r="DKV15" s="114"/>
      <c r="DKW15" s="114"/>
      <c r="DKX15" s="114"/>
      <c r="DKY15" s="114"/>
      <c r="DKZ15" s="114"/>
      <c r="DLA15" s="114"/>
      <c r="DLB15" s="114"/>
      <c r="DLC15" s="114"/>
      <c r="DLD15" s="114"/>
      <c r="DLE15" s="114"/>
      <c r="DLF15" s="114"/>
      <c r="DLG15" s="114"/>
      <c r="DLH15" s="114"/>
      <c r="DLI15" s="114"/>
      <c r="DLJ15" s="114"/>
      <c r="DLK15" s="114"/>
      <c r="DLL15" s="114"/>
      <c r="DLM15" s="114"/>
      <c r="DLN15" s="114"/>
      <c r="DLO15" s="114"/>
      <c r="DLP15" s="114"/>
      <c r="DLQ15" s="114"/>
      <c r="DLR15" s="114"/>
      <c r="DLS15" s="114"/>
      <c r="DLT15" s="114"/>
      <c r="DLU15" s="114"/>
      <c r="DLV15" s="114"/>
      <c r="DLW15" s="114"/>
      <c r="DLX15" s="114"/>
      <c r="DLY15" s="114"/>
      <c r="DLZ15" s="114"/>
      <c r="DMA15" s="114"/>
      <c r="DMB15" s="114"/>
      <c r="DMC15" s="114"/>
      <c r="DMD15" s="114"/>
      <c r="DME15" s="114"/>
      <c r="DMF15" s="114"/>
      <c r="DMG15" s="114"/>
      <c r="DMH15" s="114"/>
      <c r="DMI15" s="114"/>
      <c r="DMJ15" s="114"/>
      <c r="DMK15" s="114"/>
      <c r="DML15" s="114"/>
      <c r="DMM15" s="114"/>
      <c r="DMN15" s="114"/>
      <c r="DMO15" s="114"/>
      <c r="DMP15" s="114"/>
      <c r="DMQ15" s="114"/>
      <c r="DMR15" s="114"/>
      <c r="DMS15" s="114"/>
      <c r="DMT15" s="114"/>
      <c r="DMU15" s="114"/>
      <c r="DMV15" s="114"/>
      <c r="DMW15" s="114"/>
      <c r="DMX15" s="114"/>
      <c r="DMY15" s="114"/>
      <c r="DMZ15" s="114"/>
      <c r="DNA15" s="114"/>
      <c r="DNB15" s="114"/>
      <c r="DNC15" s="114"/>
      <c r="DND15" s="114"/>
      <c r="DNE15" s="114"/>
      <c r="DNF15" s="114"/>
      <c r="DNG15" s="114"/>
      <c r="DNH15" s="114"/>
      <c r="DNI15" s="114"/>
      <c r="DNJ15" s="114"/>
      <c r="DNK15" s="114"/>
      <c r="DNL15" s="114"/>
      <c r="DNM15" s="114"/>
      <c r="DNN15" s="114"/>
      <c r="DNO15" s="114"/>
      <c r="DNP15" s="114"/>
      <c r="DNQ15" s="114"/>
      <c r="DNR15" s="114"/>
      <c r="DNS15" s="114"/>
      <c r="DNT15" s="114"/>
      <c r="DNU15" s="114"/>
      <c r="DNV15" s="114"/>
      <c r="DNW15" s="114"/>
      <c r="DNX15" s="114"/>
      <c r="DNY15" s="114"/>
      <c r="DNZ15" s="114"/>
      <c r="DOA15" s="114"/>
      <c r="DOB15" s="114"/>
      <c r="DOC15" s="114"/>
      <c r="DOD15" s="114"/>
      <c r="DOE15" s="114"/>
      <c r="DOF15" s="114"/>
      <c r="DOG15" s="114"/>
      <c r="DOH15" s="114"/>
      <c r="DOI15" s="114"/>
      <c r="DOJ15" s="114"/>
      <c r="DOK15" s="114"/>
      <c r="DOL15" s="114"/>
      <c r="DOM15" s="114"/>
      <c r="DON15" s="114"/>
      <c r="DOO15" s="114"/>
      <c r="DOP15" s="114"/>
      <c r="DOQ15" s="114"/>
      <c r="DOR15" s="114"/>
      <c r="DOS15" s="114"/>
      <c r="DOT15" s="114"/>
      <c r="DOU15" s="114"/>
      <c r="DOV15" s="114"/>
      <c r="DOW15" s="114"/>
      <c r="DOX15" s="114"/>
      <c r="DOY15" s="114"/>
      <c r="DOZ15" s="114"/>
      <c r="DPA15" s="114"/>
      <c r="DPB15" s="114"/>
      <c r="DPC15" s="114"/>
      <c r="DPD15" s="114"/>
      <c r="DPE15" s="114"/>
      <c r="DPF15" s="114"/>
      <c r="DPG15" s="114"/>
      <c r="DPH15" s="114"/>
      <c r="DPI15" s="114"/>
      <c r="DPJ15" s="114"/>
      <c r="DPK15" s="114"/>
      <c r="DPL15" s="114"/>
      <c r="DPM15" s="114"/>
      <c r="DPN15" s="114"/>
      <c r="DPO15" s="114"/>
      <c r="DPP15" s="114"/>
      <c r="DPQ15" s="114"/>
      <c r="DPR15" s="114"/>
      <c r="DPS15" s="114"/>
      <c r="DPT15" s="114"/>
      <c r="DPU15" s="114"/>
      <c r="DPV15" s="114"/>
      <c r="DPW15" s="114"/>
      <c r="DPX15" s="114"/>
      <c r="DPY15" s="114"/>
      <c r="DPZ15" s="114"/>
      <c r="DQA15" s="114"/>
      <c r="DQB15" s="114"/>
      <c r="DQC15" s="114"/>
      <c r="DQD15" s="114"/>
      <c r="DQE15" s="114"/>
      <c r="DQF15" s="114"/>
      <c r="DQG15" s="114"/>
      <c r="DQH15" s="114"/>
      <c r="DQI15" s="114"/>
      <c r="DQJ15" s="114"/>
      <c r="DQK15" s="114"/>
      <c r="DQL15" s="114"/>
      <c r="DQM15" s="114"/>
      <c r="DQN15" s="114"/>
      <c r="DQO15" s="114"/>
      <c r="DQP15" s="114"/>
      <c r="DQQ15" s="114"/>
      <c r="DQR15" s="114"/>
      <c r="DQS15" s="114"/>
      <c r="DQT15" s="114"/>
      <c r="DQU15" s="114"/>
      <c r="DQV15" s="114"/>
      <c r="DQW15" s="114"/>
      <c r="DQX15" s="114"/>
      <c r="DQY15" s="114"/>
      <c r="DQZ15" s="114"/>
      <c r="DRA15" s="114"/>
      <c r="DRB15" s="114"/>
      <c r="DRC15" s="114"/>
      <c r="DRD15" s="114"/>
      <c r="DRE15" s="114"/>
      <c r="DRF15" s="114"/>
      <c r="DRG15" s="114"/>
      <c r="DRH15" s="114"/>
      <c r="DRI15" s="114"/>
      <c r="DRJ15" s="114"/>
      <c r="DRK15" s="114"/>
      <c r="DRL15" s="114"/>
      <c r="DRM15" s="114"/>
      <c r="DRN15" s="114"/>
      <c r="DRO15" s="114"/>
      <c r="DRP15" s="114"/>
      <c r="DRQ15" s="114"/>
      <c r="DRR15" s="114"/>
      <c r="DRS15" s="114"/>
      <c r="DRT15" s="114"/>
      <c r="DRU15" s="114"/>
      <c r="DRV15" s="114"/>
      <c r="DRW15" s="114"/>
      <c r="DRX15" s="114"/>
      <c r="DRY15" s="114"/>
      <c r="DRZ15" s="114"/>
      <c r="DSA15" s="114"/>
      <c r="DSB15" s="114"/>
      <c r="DSC15" s="114"/>
      <c r="DSD15" s="114"/>
      <c r="DSE15" s="114"/>
      <c r="DSF15" s="114"/>
      <c r="DSG15" s="114"/>
      <c r="DSH15" s="114"/>
      <c r="DSI15" s="114"/>
      <c r="DSJ15" s="114"/>
      <c r="DSK15" s="114"/>
      <c r="DSL15" s="114"/>
      <c r="DSM15" s="114"/>
      <c r="DSN15" s="114"/>
      <c r="DSO15" s="114"/>
      <c r="DSP15" s="114"/>
      <c r="DSQ15" s="114"/>
      <c r="DSR15" s="114"/>
      <c r="DSS15" s="114"/>
      <c r="DST15" s="114"/>
      <c r="DSU15" s="114"/>
      <c r="DSV15" s="114"/>
      <c r="DSW15" s="114"/>
      <c r="DSX15" s="114"/>
      <c r="DSY15" s="114"/>
      <c r="DSZ15" s="114"/>
      <c r="DTA15" s="114"/>
      <c r="DTB15" s="114"/>
      <c r="DTC15" s="114"/>
      <c r="DTD15" s="114"/>
      <c r="DTE15" s="114"/>
      <c r="DTF15" s="114"/>
      <c r="DTG15" s="114"/>
      <c r="DTH15" s="114"/>
      <c r="DTI15" s="114"/>
      <c r="DTJ15" s="114"/>
      <c r="DTK15" s="114"/>
      <c r="DTL15" s="114"/>
      <c r="DTM15" s="114"/>
      <c r="DTN15" s="114"/>
      <c r="DTO15" s="114"/>
      <c r="DTP15" s="114"/>
      <c r="DTQ15" s="114"/>
      <c r="DTR15" s="114"/>
      <c r="DTS15" s="114"/>
      <c r="DTT15" s="114"/>
      <c r="DTU15" s="114"/>
      <c r="DTV15" s="114"/>
      <c r="DTW15" s="114"/>
      <c r="DTX15" s="114"/>
      <c r="DTY15" s="114"/>
      <c r="DTZ15" s="114"/>
      <c r="DUA15" s="114"/>
      <c r="DUB15" s="114"/>
      <c r="DUC15" s="114"/>
      <c r="DUD15" s="114"/>
      <c r="DUE15" s="114"/>
      <c r="DUF15" s="114"/>
      <c r="DUG15" s="114"/>
      <c r="DUH15" s="114"/>
      <c r="DUI15" s="114"/>
      <c r="DUJ15" s="114"/>
      <c r="DUK15" s="114"/>
      <c r="DUL15" s="114"/>
      <c r="DUM15" s="114"/>
      <c r="DUN15" s="114"/>
      <c r="DUO15" s="114"/>
      <c r="DUP15" s="114"/>
      <c r="DUQ15" s="114"/>
      <c r="DUR15" s="114"/>
      <c r="DUS15" s="114"/>
      <c r="DUT15" s="114"/>
      <c r="DUU15" s="114"/>
      <c r="DUV15" s="114"/>
      <c r="DUW15" s="114"/>
      <c r="DUX15" s="114"/>
      <c r="DUY15" s="114"/>
      <c r="DUZ15" s="114"/>
      <c r="DVA15" s="114"/>
      <c r="DVB15" s="114"/>
      <c r="DVC15" s="114"/>
      <c r="DVD15" s="114"/>
      <c r="DVE15" s="114"/>
      <c r="DVF15" s="114"/>
      <c r="DVG15" s="114"/>
      <c r="DVH15" s="114"/>
      <c r="DVI15" s="114"/>
      <c r="DVJ15" s="114"/>
      <c r="DVK15" s="114"/>
      <c r="DVL15" s="114"/>
      <c r="DVM15" s="114"/>
      <c r="DVN15" s="114"/>
      <c r="DVO15" s="114"/>
      <c r="DVP15" s="114"/>
      <c r="DVQ15" s="114"/>
      <c r="DVR15" s="114"/>
      <c r="DVS15" s="114"/>
      <c r="DVT15" s="114"/>
      <c r="DVU15" s="114"/>
      <c r="DVV15" s="114"/>
      <c r="DVW15" s="114"/>
      <c r="DVX15" s="114"/>
      <c r="DVY15" s="114"/>
      <c r="DVZ15" s="114"/>
      <c r="DWA15" s="114"/>
      <c r="DWB15" s="114"/>
      <c r="DWC15" s="114"/>
      <c r="DWD15" s="114"/>
      <c r="DWE15" s="114"/>
      <c r="DWF15" s="114"/>
      <c r="DWG15" s="114"/>
      <c r="DWH15" s="114"/>
      <c r="DWI15" s="114"/>
      <c r="DWJ15" s="114"/>
      <c r="DWK15" s="114"/>
      <c r="DWL15" s="114"/>
      <c r="DWM15" s="114"/>
      <c r="DWN15" s="114"/>
      <c r="DWO15" s="114"/>
      <c r="DWP15" s="114"/>
      <c r="DWQ15" s="114"/>
      <c r="DWR15" s="114"/>
      <c r="DWS15" s="114"/>
      <c r="DWT15" s="114"/>
      <c r="DWU15" s="114"/>
      <c r="DWV15" s="114"/>
      <c r="DWW15" s="114"/>
      <c r="DWX15" s="114"/>
      <c r="DWY15" s="114"/>
      <c r="DWZ15" s="114"/>
      <c r="DXA15" s="114"/>
      <c r="DXB15" s="114"/>
      <c r="DXC15" s="114"/>
      <c r="DXD15" s="114"/>
      <c r="DXE15" s="114"/>
      <c r="DXF15" s="114"/>
      <c r="DXG15" s="114"/>
      <c r="DXH15" s="114"/>
      <c r="DXI15" s="114"/>
      <c r="DXJ15" s="114"/>
      <c r="DXK15" s="114"/>
      <c r="DXL15" s="114"/>
      <c r="DXM15" s="114"/>
      <c r="DXN15" s="114"/>
      <c r="DXO15" s="114"/>
      <c r="DXP15" s="114"/>
      <c r="DXQ15" s="114"/>
      <c r="DXR15" s="114"/>
      <c r="DXS15" s="114"/>
      <c r="DXT15" s="114"/>
      <c r="DXU15" s="114"/>
      <c r="DXV15" s="114"/>
      <c r="DXW15" s="114"/>
      <c r="DXX15" s="114"/>
      <c r="DXY15" s="114"/>
      <c r="DXZ15" s="114"/>
      <c r="DYA15" s="114"/>
      <c r="DYB15" s="114"/>
      <c r="DYC15" s="114"/>
      <c r="DYD15" s="114"/>
      <c r="DYE15" s="114"/>
      <c r="DYF15" s="114"/>
      <c r="DYG15" s="114"/>
      <c r="DYH15" s="114"/>
      <c r="DYI15" s="114"/>
      <c r="DYJ15" s="114"/>
      <c r="DYK15" s="114"/>
      <c r="DYL15" s="114"/>
      <c r="DYM15" s="114"/>
      <c r="DYN15" s="114"/>
      <c r="DYO15" s="114"/>
      <c r="DYP15" s="114"/>
      <c r="DYQ15" s="114"/>
      <c r="DYR15" s="114"/>
      <c r="DYS15" s="114"/>
      <c r="DYT15" s="114"/>
      <c r="DYU15" s="114"/>
      <c r="DYV15" s="114"/>
      <c r="DYW15" s="114"/>
      <c r="DYX15" s="114"/>
      <c r="DYY15" s="114"/>
      <c r="DYZ15" s="114"/>
      <c r="DZA15" s="114"/>
      <c r="DZB15" s="114"/>
      <c r="DZC15" s="114"/>
      <c r="DZD15" s="114"/>
      <c r="DZE15" s="114"/>
      <c r="DZF15" s="114"/>
      <c r="DZG15" s="114"/>
      <c r="DZH15" s="114"/>
      <c r="DZI15" s="114"/>
      <c r="DZJ15" s="114"/>
      <c r="DZK15" s="114"/>
      <c r="DZL15" s="114"/>
      <c r="DZM15" s="114"/>
      <c r="DZN15" s="114"/>
      <c r="DZO15" s="114"/>
      <c r="DZP15" s="114"/>
      <c r="DZQ15" s="114"/>
      <c r="DZR15" s="114"/>
      <c r="DZS15" s="114"/>
      <c r="DZT15" s="114"/>
      <c r="DZU15" s="114"/>
      <c r="DZV15" s="114"/>
      <c r="DZW15" s="114"/>
      <c r="DZX15" s="114"/>
      <c r="DZY15" s="114"/>
      <c r="DZZ15" s="114"/>
      <c r="EAA15" s="114"/>
      <c r="EAB15" s="114"/>
      <c r="EAC15" s="114"/>
      <c r="EAD15" s="114"/>
      <c r="EAE15" s="114"/>
      <c r="EAF15" s="114"/>
      <c r="EAG15" s="114"/>
      <c r="EAH15" s="114"/>
      <c r="EAI15" s="114"/>
      <c r="EAJ15" s="114"/>
      <c r="EAK15" s="114"/>
      <c r="EAL15" s="114"/>
      <c r="EAM15" s="114"/>
      <c r="EAN15" s="114"/>
      <c r="EAO15" s="114"/>
      <c r="EAP15" s="114"/>
      <c r="EAQ15" s="114"/>
      <c r="EAR15" s="114"/>
      <c r="EAS15" s="114"/>
      <c r="EAT15" s="114"/>
      <c r="EAU15" s="114"/>
      <c r="EAV15" s="114"/>
      <c r="EAW15" s="114"/>
      <c r="EAX15" s="114"/>
      <c r="EAY15" s="114"/>
      <c r="EAZ15" s="114"/>
      <c r="EBA15" s="114"/>
      <c r="EBB15" s="114"/>
      <c r="EBC15" s="114"/>
      <c r="EBD15" s="114"/>
      <c r="EBE15" s="114"/>
      <c r="EBF15" s="114"/>
      <c r="EBG15" s="114"/>
      <c r="EBH15" s="114"/>
      <c r="EBI15" s="114"/>
      <c r="EBJ15" s="114"/>
      <c r="EBK15" s="114"/>
      <c r="EBL15" s="114"/>
      <c r="EBM15" s="114"/>
      <c r="EBN15" s="114"/>
      <c r="EBO15" s="114"/>
      <c r="EBP15" s="114"/>
      <c r="EBQ15" s="114"/>
      <c r="EBR15" s="114"/>
      <c r="EBS15" s="114"/>
      <c r="EBT15" s="114"/>
      <c r="EBU15" s="114"/>
      <c r="EBV15" s="114"/>
      <c r="EBW15" s="114"/>
      <c r="EBX15" s="114"/>
      <c r="EBY15" s="114"/>
      <c r="EBZ15" s="114"/>
      <c r="ECA15" s="114"/>
      <c r="ECB15" s="114"/>
      <c r="ECC15" s="114"/>
      <c r="ECD15" s="114"/>
      <c r="ECE15" s="114"/>
      <c r="ECF15" s="114"/>
      <c r="ECG15" s="114"/>
      <c r="ECH15" s="114"/>
      <c r="ECI15" s="114"/>
      <c r="ECJ15" s="114"/>
      <c r="ECK15" s="114"/>
      <c r="ECL15" s="114"/>
      <c r="ECM15" s="114"/>
      <c r="ECN15" s="114"/>
      <c r="ECO15" s="114"/>
      <c r="ECP15" s="114"/>
      <c r="ECQ15" s="114"/>
      <c r="ECR15" s="114"/>
      <c r="ECS15" s="114"/>
      <c r="ECT15" s="114"/>
      <c r="ECU15" s="114"/>
      <c r="ECV15" s="114"/>
      <c r="ECW15" s="114"/>
      <c r="ECX15" s="114"/>
      <c r="ECY15" s="114"/>
      <c r="ECZ15" s="114"/>
      <c r="EDA15" s="114"/>
      <c r="EDB15" s="114"/>
      <c r="EDC15" s="114"/>
      <c r="EDD15" s="114"/>
      <c r="EDE15" s="114"/>
      <c r="EDF15" s="114"/>
      <c r="EDG15" s="114"/>
      <c r="EDH15" s="114"/>
      <c r="EDI15" s="114"/>
      <c r="EDJ15" s="114"/>
      <c r="EDK15" s="114"/>
      <c r="EDL15" s="114"/>
      <c r="EDM15" s="114"/>
      <c r="EDN15" s="114"/>
      <c r="EDO15" s="114"/>
      <c r="EDP15" s="114"/>
      <c r="EDQ15" s="114"/>
      <c r="EDR15" s="114"/>
      <c r="EDS15" s="114"/>
      <c r="EDT15" s="114"/>
      <c r="EDU15" s="114"/>
      <c r="EDV15" s="114"/>
      <c r="EDW15" s="114"/>
      <c r="EDX15" s="114"/>
      <c r="EDY15" s="114"/>
      <c r="EDZ15" s="114"/>
      <c r="EEA15" s="114"/>
      <c r="EEB15" s="114"/>
      <c r="EEC15" s="114"/>
      <c r="EED15" s="114"/>
      <c r="EEE15" s="114"/>
      <c r="EEF15" s="114"/>
      <c r="EEG15" s="114"/>
      <c r="EEH15" s="114"/>
      <c r="EEI15" s="114"/>
      <c r="EEJ15" s="114"/>
      <c r="EEK15" s="114"/>
      <c r="EEL15" s="114"/>
      <c r="EEM15" s="114"/>
      <c r="EEN15" s="114"/>
      <c r="EEO15" s="114"/>
      <c r="EEP15" s="114"/>
      <c r="EEQ15" s="114"/>
      <c r="EER15" s="114"/>
      <c r="EES15" s="114"/>
      <c r="EET15" s="114"/>
      <c r="EEU15" s="114"/>
      <c r="EEV15" s="114"/>
      <c r="EEW15" s="114"/>
      <c r="EEX15" s="114"/>
      <c r="EEY15" s="114"/>
      <c r="EEZ15" s="114"/>
      <c r="EFA15" s="114"/>
      <c r="EFB15" s="114"/>
      <c r="EFC15" s="114"/>
      <c r="EFD15" s="114"/>
      <c r="EFE15" s="114"/>
      <c r="EFF15" s="114"/>
      <c r="EFG15" s="114"/>
      <c r="EFH15" s="114"/>
      <c r="EFI15" s="114"/>
      <c r="EFJ15" s="114"/>
      <c r="EFK15" s="114"/>
      <c r="EFL15" s="114"/>
      <c r="EFM15" s="114"/>
      <c r="EFN15" s="114"/>
      <c r="EFO15" s="114"/>
      <c r="EFP15" s="114"/>
      <c r="EFQ15" s="114"/>
      <c r="EFR15" s="114"/>
      <c r="EFS15" s="114"/>
      <c r="EFT15" s="114"/>
      <c r="EFU15" s="114"/>
      <c r="EFV15" s="114"/>
      <c r="EFW15" s="114"/>
      <c r="EFX15" s="114"/>
      <c r="EFY15" s="114"/>
      <c r="EFZ15" s="114"/>
      <c r="EGA15" s="114"/>
      <c r="EGB15" s="114"/>
      <c r="EGC15" s="114"/>
      <c r="EGD15" s="114"/>
      <c r="EGE15" s="114"/>
      <c r="EGF15" s="114"/>
      <c r="EGG15" s="114"/>
      <c r="EGH15" s="114"/>
      <c r="EGI15" s="114"/>
      <c r="EGJ15" s="114"/>
      <c r="EGK15" s="114"/>
      <c r="EGL15" s="114"/>
      <c r="EGM15" s="114"/>
      <c r="EGN15" s="114"/>
      <c r="EGO15" s="114"/>
      <c r="EGP15" s="114"/>
      <c r="EGQ15" s="114"/>
      <c r="EGR15" s="114"/>
      <c r="EGS15" s="114"/>
      <c r="EGT15" s="114"/>
      <c r="EGU15" s="114"/>
      <c r="EGV15" s="114"/>
      <c r="EGW15" s="114"/>
      <c r="EGX15" s="114"/>
      <c r="EGY15" s="114"/>
      <c r="EGZ15" s="114"/>
      <c r="EHA15" s="114"/>
      <c r="EHB15" s="114"/>
      <c r="EHC15" s="114"/>
      <c r="EHD15" s="114"/>
      <c r="EHE15" s="114"/>
      <c r="EHF15" s="114"/>
      <c r="EHG15" s="114"/>
      <c r="EHH15" s="114"/>
      <c r="EHI15" s="114"/>
      <c r="EHJ15" s="114"/>
      <c r="EHK15" s="114"/>
      <c r="EHL15" s="114"/>
      <c r="EHM15" s="114"/>
      <c r="EHN15" s="114"/>
      <c r="EHO15" s="114"/>
      <c r="EHP15" s="114"/>
      <c r="EHQ15" s="114"/>
      <c r="EHR15" s="114"/>
      <c r="EHS15" s="114"/>
      <c r="EHT15" s="114"/>
      <c r="EHU15" s="114"/>
      <c r="EHV15" s="114"/>
      <c r="EHW15" s="114"/>
      <c r="EHX15" s="114"/>
      <c r="EHY15" s="114"/>
      <c r="EHZ15" s="114"/>
      <c r="EIA15" s="114"/>
      <c r="EIB15" s="114"/>
      <c r="EIC15" s="114"/>
      <c r="EID15" s="114"/>
      <c r="EIE15" s="114"/>
      <c r="EIF15" s="114"/>
      <c r="EIG15" s="114"/>
      <c r="EIH15" s="114"/>
      <c r="EII15" s="114"/>
      <c r="EIJ15" s="114"/>
      <c r="EIK15" s="114"/>
      <c r="EIL15" s="114"/>
      <c r="EIM15" s="114"/>
      <c r="EIN15" s="114"/>
      <c r="EIO15" s="114"/>
      <c r="EIP15" s="114"/>
      <c r="EIQ15" s="114"/>
      <c r="EIR15" s="114"/>
      <c r="EIS15" s="114"/>
      <c r="EIT15" s="114"/>
      <c r="EIU15" s="114"/>
      <c r="EIV15" s="114"/>
      <c r="EIW15" s="114"/>
      <c r="EIX15" s="114"/>
      <c r="EIY15" s="114"/>
      <c r="EIZ15" s="114"/>
      <c r="EJA15" s="114"/>
      <c r="EJB15" s="114"/>
      <c r="EJC15" s="114"/>
      <c r="EJD15" s="114"/>
      <c r="EJE15" s="114"/>
      <c r="EJF15" s="114"/>
      <c r="EJG15" s="114"/>
      <c r="EJH15" s="114"/>
      <c r="EJI15" s="114"/>
      <c r="EJJ15" s="114"/>
      <c r="EJK15" s="114"/>
      <c r="EJL15" s="114"/>
      <c r="EJM15" s="114"/>
      <c r="EJN15" s="114"/>
      <c r="EJO15" s="114"/>
      <c r="EJP15" s="114"/>
      <c r="EJQ15" s="114"/>
      <c r="EJR15" s="114"/>
      <c r="EJS15" s="114"/>
      <c r="EJT15" s="114"/>
      <c r="EJU15" s="114"/>
      <c r="EJV15" s="114"/>
      <c r="EJW15" s="114"/>
      <c r="EJX15" s="114"/>
      <c r="EJY15" s="114"/>
      <c r="EJZ15" s="114"/>
      <c r="EKA15" s="114"/>
      <c r="EKB15" s="114"/>
      <c r="EKC15" s="114"/>
      <c r="EKD15" s="114"/>
      <c r="EKE15" s="114"/>
      <c r="EKF15" s="114"/>
      <c r="EKG15" s="114"/>
      <c r="EKH15" s="114"/>
      <c r="EKI15" s="114"/>
      <c r="EKJ15" s="114"/>
      <c r="EKK15" s="114"/>
      <c r="EKL15" s="114"/>
      <c r="EKM15" s="114"/>
      <c r="EKN15" s="114"/>
      <c r="EKO15" s="114"/>
      <c r="EKP15" s="114"/>
      <c r="EKQ15" s="114"/>
      <c r="EKR15" s="114"/>
      <c r="EKS15" s="114"/>
      <c r="EKT15" s="114"/>
      <c r="EKU15" s="114"/>
      <c r="EKV15" s="114"/>
      <c r="EKW15" s="114"/>
      <c r="EKX15" s="114"/>
      <c r="EKY15" s="114"/>
      <c r="EKZ15" s="114"/>
      <c r="ELA15" s="114"/>
      <c r="ELB15" s="114"/>
      <c r="ELC15" s="114"/>
      <c r="ELD15" s="114"/>
      <c r="ELE15" s="114"/>
      <c r="ELF15" s="114"/>
      <c r="ELG15" s="114"/>
      <c r="ELH15" s="114"/>
      <c r="ELI15" s="114"/>
      <c r="ELJ15" s="114"/>
      <c r="ELK15" s="114"/>
      <c r="ELL15" s="114"/>
      <c r="ELM15" s="114"/>
      <c r="ELN15" s="114"/>
      <c r="ELO15" s="114"/>
      <c r="ELP15" s="114"/>
      <c r="ELQ15" s="114"/>
      <c r="ELR15" s="114"/>
      <c r="ELS15" s="114"/>
      <c r="ELT15" s="114"/>
      <c r="ELU15" s="114"/>
      <c r="ELV15" s="114"/>
      <c r="ELW15" s="114"/>
      <c r="ELX15" s="114"/>
      <c r="ELY15" s="114"/>
      <c r="ELZ15" s="114"/>
      <c r="EMA15" s="114"/>
      <c r="EMB15" s="114"/>
      <c r="EMC15" s="114"/>
      <c r="EMD15" s="114"/>
      <c r="EME15" s="114"/>
      <c r="EMF15" s="114"/>
      <c r="EMG15" s="114"/>
      <c r="EMH15" s="114"/>
      <c r="EMI15" s="114"/>
      <c r="EMJ15" s="114"/>
      <c r="EMK15" s="114"/>
      <c r="EML15" s="114"/>
      <c r="EMM15" s="114"/>
      <c r="EMN15" s="114"/>
      <c r="EMO15" s="114"/>
      <c r="EMP15" s="114"/>
      <c r="EMQ15" s="114"/>
      <c r="EMR15" s="114"/>
      <c r="EMS15" s="114"/>
      <c r="EMT15" s="114"/>
      <c r="EMU15" s="114"/>
      <c r="EMV15" s="114"/>
      <c r="EMW15" s="114"/>
      <c r="EMX15" s="114"/>
      <c r="EMY15" s="114"/>
      <c r="EMZ15" s="114"/>
      <c r="ENA15" s="114"/>
      <c r="ENB15" s="114"/>
      <c r="ENC15" s="114"/>
      <c r="END15" s="114"/>
      <c r="ENE15" s="114"/>
      <c r="ENF15" s="114"/>
      <c r="ENG15" s="114"/>
      <c r="ENH15" s="114"/>
      <c r="ENI15" s="114"/>
      <c r="ENJ15" s="114"/>
      <c r="ENK15" s="114"/>
      <c r="ENL15" s="114"/>
      <c r="ENM15" s="114"/>
      <c r="ENN15" s="114"/>
      <c r="ENO15" s="114"/>
      <c r="ENP15" s="114"/>
      <c r="ENQ15" s="114"/>
      <c r="ENR15" s="114"/>
      <c r="ENS15" s="114"/>
      <c r="ENT15" s="114"/>
      <c r="ENU15" s="114"/>
      <c r="ENV15" s="114"/>
      <c r="ENW15" s="114"/>
      <c r="ENX15" s="114"/>
      <c r="ENY15" s="114"/>
      <c r="ENZ15" s="114"/>
      <c r="EOA15" s="114"/>
      <c r="EOB15" s="114"/>
      <c r="EOC15" s="114"/>
      <c r="EOD15" s="114"/>
      <c r="EOE15" s="114"/>
      <c r="EOF15" s="114"/>
      <c r="EOG15" s="114"/>
      <c r="EOH15" s="114"/>
      <c r="EOI15" s="114"/>
      <c r="EOJ15" s="114"/>
      <c r="EOK15" s="114"/>
      <c r="EOL15" s="114"/>
      <c r="EOM15" s="114"/>
      <c r="EON15" s="114"/>
      <c r="EOO15" s="114"/>
      <c r="EOP15" s="114"/>
      <c r="EOQ15" s="114"/>
      <c r="EOR15" s="114"/>
      <c r="EOS15" s="114"/>
      <c r="EOT15" s="114"/>
      <c r="EOU15" s="114"/>
      <c r="EOV15" s="114"/>
      <c r="EOW15" s="114"/>
      <c r="EOX15" s="114"/>
      <c r="EOY15" s="114"/>
      <c r="EOZ15" s="114"/>
      <c r="EPA15" s="114"/>
      <c r="EPB15" s="114"/>
      <c r="EPC15" s="114"/>
      <c r="EPD15" s="114"/>
      <c r="EPE15" s="114"/>
      <c r="EPF15" s="114"/>
      <c r="EPG15" s="114"/>
      <c r="EPH15" s="114"/>
      <c r="EPI15" s="114"/>
      <c r="EPJ15" s="114"/>
      <c r="EPK15" s="114"/>
      <c r="EPL15" s="114"/>
      <c r="EPM15" s="114"/>
      <c r="EPN15" s="114"/>
      <c r="EPO15" s="114"/>
      <c r="EPP15" s="114"/>
      <c r="EPQ15" s="114"/>
      <c r="EPR15" s="114"/>
      <c r="EPS15" s="114"/>
      <c r="EPT15" s="114"/>
      <c r="EPU15" s="114"/>
      <c r="EPV15" s="114"/>
      <c r="EPW15" s="114"/>
      <c r="EPX15" s="114"/>
      <c r="EPY15" s="114"/>
      <c r="EPZ15" s="114"/>
      <c r="EQA15" s="114"/>
      <c r="EQB15" s="114"/>
      <c r="EQC15" s="114"/>
      <c r="EQD15" s="114"/>
      <c r="EQE15" s="114"/>
      <c r="EQF15" s="114"/>
      <c r="EQG15" s="114"/>
      <c r="EQH15" s="114"/>
      <c r="EQI15" s="114"/>
      <c r="EQJ15" s="114"/>
      <c r="EQK15" s="114"/>
      <c r="EQL15" s="114"/>
      <c r="EQM15" s="114"/>
      <c r="EQN15" s="114"/>
      <c r="EQO15" s="114"/>
      <c r="EQP15" s="114"/>
      <c r="EQQ15" s="114"/>
      <c r="EQR15" s="114"/>
      <c r="EQS15" s="114"/>
      <c r="EQT15" s="114"/>
      <c r="EQU15" s="114"/>
      <c r="EQV15" s="114"/>
      <c r="EQW15" s="114"/>
      <c r="EQX15" s="114"/>
      <c r="EQY15" s="114"/>
      <c r="EQZ15" s="114"/>
      <c r="ERA15" s="114"/>
      <c r="ERB15" s="114"/>
      <c r="ERC15" s="114"/>
      <c r="ERD15" s="114"/>
      <c r="ERE15" s="114"/>
      <c r="ERF15" s="114"/>
      <c r="ERG15" s="114"/>
      <c r="ERH15" s="114"/>
      <c r="ERI15" s="114"/>
      <c r="ERJ15" s="114"/>
      <c r="ERK15" s="114"/>
      <c r="ERL15" s="114"/>
      <c r="ERM15" s="114"/>
      <c r="ERN15" s="114"/>
      <c r="ERO15" s="114"/>
      <c r="ERP15" s="114"/>
      <c r="ERQ15" s="114"/>
      <c r="ERR15" s="114"/>
      <c r="ERS15" s="114"/>
      <c r="ERT15" s="114"/>
      <c r="ERU15" s="114"/>
      <c r="ERV15" s="114"/>
      <c r="ERW15" s="114"/>
      <c r="ERX15" s="114"/>
      <c r="ERY15" s="114"/>
      <c r="ERZ15" s="114"/>
      <c r="ESA15" s="114"/>
      <c r="ESB15" s="114"/>
      <c r="ESC15" s="114"/>
      <c r="ESD15" s="114"/>
      <c r="ESE15" s="114"/>
      <c r="ESF15" s="114"/>
      <c r="ESG15" s="114"/>
      <c r="ESH15" s="114"/>
      <c r="ESI15" s="114"/>
      <c r="ESJ15" s="114"/>
      <c r="ESK15" s="114"/>
      <c r="ESL15" s="114"/>
      <c r="ESM15" s="114"/>
      <c r="ESN15" s="114"/>
      <c r="ESO15" s="114"/>
      <c r="ESP15" s="114"/>
      <c r="ESQ15" s="114"/>
      <c r="ESR15" s="114"/>
      <c r="ESS15" s="114"/>
      <c r="EST15" s="114"/>
      <c r="ESU15" s="114"/>
      <c r="ESV15" s="114"/>
      <c r="ESW15" s="114"/>
      <c r="ESX15" s="114"/>
      <c r="ESY15" s="114"/>
      <c r="ESZ15" s="114"/>
      <c r="ETA15" s="114"/>
      <c r="ETB15" s="114"/>
      <c r="ETC15" s="114"/>
      <c r="ETD15" s="114"/>
      <c r="ETE15" s="114"/>
      <c r="ETF15" s="114"/>
      <c r="ETG15" s="114"/>
      <c r="ETH15" s="114"/>
      <c r="ETI15" s="114"/>
      <c r="ETJ15" s="114"/>
      <c r="ETK15" s="114"/>
      <c r="ETL15" s="114"/>
      <c r="ETM15" s="114"/>
      <c r="ETN15" s="114"/>
      <c r="ETO15" s="114"/>
      <c r="ETP15" s="114"/>
      <c r="ETQ15" s="114"/>
      <c r="ETR15" s="114"/>
      <c r="ETS15" s="114"/>
      <c r="ETT15" s="114"/>
      <c r="ETU15" s="114"/>
      <c r="ETV15" s="114"/>
      <c r="ETW15" s="114"/>
      <c r="ETX15" s="114"/>
      <c r="ETY15" s="114"/>
      <c r="ETZ15" s="114"/>
      <c r="EUA15" s="114"/>
      <c r="EUB15" s="114"/>
      <c r="EUC15" s="114"/>
      <c r="EUD15" s="114"/>
      <c r="EUE15" s="114"/>
      <c r="EUF15" s="114"/>
      <c r="EUG15" s="114"/>
      <c r="EUH15" s="114"/>
      <c r="EUI15" s="114"/>
      <c r="EUJ15" s="114"/>
      <c r="EUK15" s="114"/>
      <c r="EUL15" s="114"/>
      <c r="EUM15" s="114"/>
      <c r="EUN15" s="114"/>
      <c r="EUO15" s="114"/>
      <c r="EUP15" s="114"/>
      <c r="EUQ15" s="114"/>
      <c r="EUR15" s="114"/>
      <c r="EUS15" s="114"/>
      <c r="EUT15" s="114"/>
      <c r="EUU15" s="114"/>
      <c r="EUV15" s="114"/>
      <c r="EUW15" s="114"/>
      <c r="EUX15" s="114"/>
      <c r="EUY15" s="114"/>
      <c r="EUZ15" s="114"/>
      <c r="EVA15" s="114"/>
      <c r="EVB15" s="114"/>
      <c r="EVC15" s="114"/>
      <c r="EVD15" s="114"/>
      <c r="EVE15" s="114"/>
      <c r="EVF15" s="114"/>
      <c r="EVG15" s="114"/>
      <c r="EVH15" s="114"/>
      <c r="EVI15" s="114"/>
      <c r="EVJ15" s="114"/>
      <c r="EVK15" s="114"/>
      <c r="EVL15" s="114"/>
      <c r="EVM15" s="114"/>
      <c r="EVN15" s="114"/>
      <c r="EVO15" s="114"/>
      <c r="EVP15" s="114"/>
      <c r="EVQ15" s="114"/>
      <c r="EVR15" s="114"/>
      <c r="EVS15" s="114"/>
      <c r="EVT15" s="114"/>
      <c r="EVU15" s="114"/>
      <c r="EVV15" s="114"/>
      <c r="EVW15" s="114"/>
      <c r="EVX15" s="114"/>
      <c r="EVY15" s="114"/>
      <c r="EVZ15" s="114"/>
      <c r="EWA15" s="114"/>
      <c r="EWB15" s="114"/>
      <c r="EWC15" s="114"/>
      <c r="EWD15" s="114"/>
      <c r="EWE15" s="114"/>
      <c r="EWF15" s="114"/>
      <c r="EWG15" s="114"/>
      <c r="EWH15" s="114"/>
      <c r="EWI15" s="114"/>
      <c r="EWJ15" s="114"/>
      <c r="EWK15" s="114"/>
      <c r="EWL15" s="114"/>
      <c r="EWM15" s="114"/>
      <c r="EWN15" s="114"/>
      <c r="EWO15" s="114"/>
      <c r="EWP15" s="114"/>
      <c r="EWQ15" s="114"/>
      <c r="EWR15" s="114"/>
      <c r="EWS15" s="114"/>
      <c r="EWT15" s="114"/>
      <c r="EWU15" s="114"/>
      <c r="EWV15" s="114"/>
      <c r="EWW15" s="114"/>
      <c r="EWX15" s="114"/>
      <c r="EWY15" s="114"/>
      <c r="EWZ15" s="114"/>
      <c r="EXA15" s="114"/>
      <c r="EXB15" s="114"/>
      <c r="EXC15" s="114"/>
      <c r="EXD15" s="114"/>
      <c r="EXE15" s="114"/>
      <c r="EXF15" s="114"/>
      <c r="EXG15" s="114"/>
      <c r="EXH15" s="114"/>
      <c r="EXI15" s="114"/>
      <c r="EXJ15" s="114"/>
      <c r="EXK15" s="114"/>
      <c r="EXL15" s="114"/>
      <c r="EXM15" s="114"/>
      <c r="EXN15" s="114"/>
      <c r="EXO15" s="114"/>
      <c r="EXP15" s="114"/>
      <c r="EXQ15" s="114"/>
      <c r="EXR15" s="114"/>
      <c r="EXS15" s="114"/>
      <c r="EXT15" s="114"/>
      <c r="EXU15" s="114"/>
      <c r="EXV15" s="114"/>
      <c r="EXW15" s="114"/>
      <c r="EXX15" s="114"/>
      <c r="EXY15" s="114"/>
      <c r="EXZ15" s="114"/>
      <c r="EYA15" s="114"/>
      <c r="EYB15" s="114"/>
      <c r="EYC15" s="114"/>
      <c r="EYD15" s="114"/>
      <c r="EYE15" s="114"/>
      <c r="EYF15" s="114"/>
      <c r="EYG15" s="114"/>
      <c r="EYH15" s="114"/>
      <c r="EYI15" s="114"/>
      <c r="EYJ15" s="114"/>
      <c r="EYK15" s="114"/>
      <c r="EYL15" s="114"/>
      <c r="EYM15" s="114"/>
      <c r="EYN15" s="114"/>
      <c r="EYO15" s="114"/>
      <c r="EYP15" s="114"/>
      <c r="EYQ15" s="114"/>
      <c r="EYR15" s="114"/>
      <c r="EYS15" s="114"/>
      <c r="EYT15" s="114"/>
      <c r="EYU15" s="114"/>
      <c r="EYV15" s="114"/>
      <c r="EYW15" s="114"/>
      <c r="EYX15" s="114"/>
      <c r="EYY15" s="114"/>
      <c r="EYZ15" s="114"/>
      <c r="EZA15" s="114"/>
      <c r="EZB15" s="114"/>
      <c r="EZC15" s="114"/>
      <c r="EZD15" s="114"/>
      <c r="EZE15" s="114"/>
      <c r="EZF15" s="114"/>
      <c r="EZG15" s="114"/>
      <c r="EZH15" s="114"/>
      <c r="EZI15" s="114"/>
      <c r="EZJ15" s="114"/>
      <c r="EZK15" s="114"/>
      <c r="EZL15" s="114"/>
      <c r="EZM15" s="114"/>
      <c r="EZN15" s="114"/>
      <c r="EZO15" s="114"/>
      <c r="EZP15" s="114"/>
      <c r="EZQ15" s="114"/>
      <c r="EZR15" s="114"/>
      <c r="EZS15" s="114"/>
      <c r="EZT15" s="114"/>
      <c r="EZU15" s="114"/>
      <c r="EZV15" s="114"/>
      <c r="EZW15" s="114"/>
      <c r="EZX15" s="114"/>
      <c r="EZY15" s="114"/>
      <c r="EZZ15" s="114"/>
      <c r="FAA15" s="114"/>
      <c r="FAB15" s="114"/>
      <c r="FAC15" s="114"/>
      <c r="FAD15" s="114"/>
      <c r="FAE15" s="114"/>
      <c r="FAF15" s="114"/>
      <c r="FAG15" s="114"/>
      <c r="FAH15" s="114"/>
      <c r="FAI15" s="114"/>
      <c r="FAJ15" s="114"/>
      <c r="FAK15" s="114"/>
      <c r="FAL15" s="114"/>
      <c r="FAM15" s="114"/>
      <c r="FAN15" s="114"/>
      <c r="FAO15" s="114"/>
      <c r="FAP15" s="114"/>
      <c r="FAQ15" s="114"/>
      <c r="FAR15" s="114"/>
      <c r="FAS15" s="114"/>
      <c r="FAT15" s="114"/>
      <c r="FAU15" s="114"/>
      <c r="FAV15" s="114"/>
      <c r="FAW15" s="114"/>
      <c r="FAX15" s="114"/>
      <c r="FAY15" s="114"/>
      <c r="FAZ15" s="114"/>
      <c r="FBA15" s="114"/>
      <c r="FBB15" s="114"/>
      <c r="FBC15" s="114"/>
      <c r="FBD15" s="114"/>
      <c r="FBE15" s="114"/>
      <c r="FBF15" s="114"/>
      <c r="FBG15" s="114"/>
      <c r="FBH15" s="114"/>
      <c r="FBI15" s="114"/>
      <c r="FBJ15" s="114"/>
      <c r="FBK15" s="114"/>
      <c r="FBL15" s="114"/>
      <c r="FBM15" s="114"/>
      <c r="FBN15" s="114"/>
      <c r="FBO15" s="114"/>
      <c r="FBP15" s="114"/>
      <c r="FBQ15" s="114"/>
      <c r="FBR15" s="114"/>
      <c r="FBS15" s="114"/>
      <c r="FBT15" s="114"/>
      <c r="FBU15" s="114"/>
      <c r="FBV15" s="114"/>
      <c r="FBW15" s="114"/>
      <c r="FBX15" s="114"/>
      <c r="FBY15" s="114"/>
      <c r="FBZ15" s="114"/>
      <c r="FCA15" s="114"/>
      <c r="FCB15" s="114"/>
      <c r="FCC15" s="114"/>
      <c r="FCD15" s="114"/>
      <c r="FCE15" s="114"/>
      <c r="FCF15" s="114"/>
      <c r="FCG15" s="114"/>
      <c r="FCH15" s="114"/>
      <c r="FCI15" s="114"/>
      <c r="FCJ15" s="114"/>
      <c r="FCK15" s="114"/>
      <c r="FCL15" s="114"/>
      <c r="FCM15" s="114"/>
      <c r="FCN15" s="114"/>
      <c r="FCO15" s="114"/>
      <c r="FCP15" s="114"/>
      <c r="FCQ15" s="114"/>
      <c r="FCR15" s="114"/>
      <c r="FCS15" s="114"/>
      <c r="FCT15" s="114"/>
      <c r="FCU15" s="114"/>
      <c r="FCV15" s="114"/>
      <c r="FCW15" s="114"/>
      <c r="FCX15" s="114"/>
      <c r="FCY15" s="114"/>
      <c r="FCZ15" s="114"/>
      <c r="FDA15" s="114"/>
      <c r="FDB15" s="114"/>
      <c r="FDC15" s="114"/>
      <c r="FDD15" s="114"/>
      <c r="FDE15" s="114"/>
      <c r="FDF15" s="114"/>
      <c r="FDG15" s="114"/>
      <c r="FDH15" s="114"/>
      <c r="FDI15" s="114"/>
      <c r="FDJ15" s="114"/>
      <c r="FDK15" s="114"/>
      <c r="FDL15" s="114"/>
      <c r="FDM15" s="114"/>
      <c r="FDN15" s="114"/>
      <c r="FDO15" s="114"/>
      <c r="FDP15" s="114"/>
      <c r="FDQ15" s="114"/>
      <c r="FDR15" s="114"/>
      <c r="FDS15" s="114"/>
      <c r="FDT15" s="114"/>
      <c r="FDU15" s="114"/>
      <c r="FDV15" s="114"/>
      <c r="FDW15" s="114"/>
      <c r="FDX15" s="114"/>
      <c r="FDY15" s="114"/>
      <c r="FDZ15" s="114"/>
      <c r="FEA15" s="114"/>
      <c r="FEB15" s="114"/>
      <c r="FEC15" s="114"/>
      <c r="FED15" s="114"/>
      <c r="FEE15" s="114"/>
      <c r="FEF15" s="114"/>
      <c r="FEG15" s="114"/>
      <c r="FEH15" s="114"/>
      <c r="FEI15" s="114"/>
      <c r="FEJ15" s="114"/>
      <c r="FEK15" s="114"/>
      <c r="FEL15" s="114"/>
      <c r="FEM15" s="114"/>
      <c r="FEN15" s="114"/>
      <c r="FEO15" s="114"/>
      <c r="FEP15" s="114"/>
      <c r="FEQ15" s="114"/>
      <c r="FER15" s="114"/>
      <c r="FES15" s="114"/>
      <c r="FET15" s="114"/>
      <c r="FEU15" s="114"/>
      <c r="FEV15" s="114"/>
      <c r="FEW15" s="114"/>
      <c r="FEX15" s="114"/>
      <c r="FEY15" s="114"/>
      <c r="FEZ15" s="114"/>
      <c r="FFA15" s="114"/>
      <c r="FFB15" s="114"/>
      <c r="FFC15" s="114"/>
      <c r="FFD15" s="114"/>
      <c r="FFE15" s="114"/>
      <c r="FFF15" s="114"/>
      <c r="FFG15" s="114"/>
      <c r="FFH15" s="114"/>
      <c r="FFI15" s="114"/>
      <c r="FFJ15" s="114"/>
      <c r="FFK15" s="114"/>
      <c r="FFL15" s="114"/>
      <c r="FFM15" s="114"/>
      <c r="FFN15" s="114"/>
      <c r="FFO15" s="114"/>
      <c r="FFP15" s="114"/>
      <c r="FFQ15" s="114"/>
      <c r="FFR15" s="114"/>
      <c r="FFS15" s="114"/>
      <c r="FFT15" s="114"/>
      <c r="FFU15" s="114"/>
      <c r="FFV15" s="114"/>
      <c r="FFW15" s="114"/>
      <c r="FFX15" s="114"/>
      <c r="FFY15" s="114"/>
      <c r="FFZ15" s="114"/>
      <c r="FGA15" s="114"/>
      <c r="FGB15" s="114"/>
      <c r="FGC15" s="114"/>
      <c r="FGD15" s="114"/>
      <c r="FGE15" s="114"/>
      <c r="FGF15" s="114"/>
      <c r="FGG15" s="114"/>
      <c r="FGH15" s="114"/>
      <c r="FGI15" s="114"/>
      <c r="FGJ15" s="114"/>
      <c r="FGK15" s="114"/>
      <c r="FGL15" s="114"/>
      <c r="FGM15" s="114"/>
      <c r="FGN15" s="114"/>
      <c r="FGO15" s="114"/>
      <c r="FGP15" s="114"/>
      <c r="FGQ15" s="114"/>
      <c r="FGR15" s="114"/>
      <c r="FGS15" s="114"/>
      <c r="FGT15" s="114"/>
      <c r="FGU15" s="114"/>
      <c r="FGV15" s="114"/>
      <c r="FGW15" s="114"/>
      <c r="FGX15" s="114"/>
      <c r="FGY15" s="114"/>
      <c r="FGZ15" s="114"/>
      <c r="FHA15" s="114"/>
      <c r="FHB15" s="114"/>
      <c r="FHC15" s="114"/>
      <c r="FHD15" s="114"/>
      <c r="FHE15" s="114"/>
      <c r="FHF15" s="114"/>
      <c r="FHG15" s="114"/>
      <c r="FHH15" s="114"/>
      <c r="FHI15" s="114"/>
      <c r="FHJ15" s="114"/>
      <c r="FHK15" s="114"/>
      <c r="FHL15" s="114"/>
      <c r="FHM15" s="114"/>
      <c r="FHN15" s="114"/>
      <c r="FHO15" s="114"/>
      <c r="FHP15" s="114"/>
      <c r="FHQ15" s="114"/>
      <c r="FHR15" s="114"/>
      <c r="FHS15" s="114"/>
      <c r="FHT15" s="114"/>
      <c r="FHU15" s="114"/>
      <c r="FHV15" s="114"/>
      <c r="FHW15" s="114"/>
      <c r="FHX15" s="114"/>
      <c r="FHY15" s="114"/>
      <c r="FHZ15" s="114"/>
      <c r="FIA15" s="114"/>
      <c r="FIB15" s="114"/>
      <c r="FIC15" s="114"/>
      <c r="FID15" s="114"/>
      <c r="FIE15" s="114"/>
      <c r="FIF15" s="114"/>
      <c r="FIG15" s="114"/>
      <c r="FIH15" s="114"/>
      <c r="FII15" s="114"/>
      <c r="FIJ15" s="114"/>
      <c r="FIK15" s="114"/>
      <c r="FIL15" s="114"/>
      <c r="FIM15" s="114"/>
      <c r="FIN15" s="114"/>
      <c r="FIO15" s="114"/>
      <c r="FIP15" s="114"/>
      <c r="FIQ15" s="114"/>
      <c r="FIR15" s="114"/>
      <c r="FIS15" s="114"/>
      <c r="FIT15" s="114"/>
      <c r="FIU15" s="114"/>
      <c r="FIV15" s="114"/>
      <c r="FIW15" s="114"/>
      <c r="FIX15" s="114"/>
      <c r="FIY15" s="114"/>
      <c r="FIZ15" s="114"/>
      <c r="FJA15" s="114"/>
      <c r="FJB15" s="114"/>
      <c r="FJC15" s="114"/>
      <c r="FJD15" s="114"/>
      <c r="FJE15" s="114"/>
      <c r="FJF15" s="114"/>
      <c r="FJG15" s="114"/>
      <c r="FJH15" s="114"/>
      <c r="FJI15" s="114"/>
      <c r="FJJ15" s="114"/>
      <c r="FJK15" s="114"/>
      <c r="FJL15" s="114"/>
      <c r="FJM15" s="114"/>
      <c r="FJN15" s="114"/>
      <c r="FJO15" s="114"/>
      <c r="FJP15" s="114"/>
      <c r="FJQ15" s="114"/>
      <c r="FJR15" s="114"/>
      <c r="FJS15" s="114"/>
      <c r="FJT15" s="114"/>
      <c r="FJU15" s="114"/>
      <c r="FJV15" s="114"/>
      <c r="FJW15" s="114"/>
      <c r="FJX15" s="114"/>
      <c r="FJY15" s="114"/>
      <c r="FJZ15" s="114"/>
      <c r="FKA15" s="114"/>
      <c r="FKB15" s="114"/>
      <c r="FKC15" s="114"/>
      <c r="FKD15" s="114"/>
      <c r="FKE15" s="114"/>
      <c r="FKF15" s="114"/>
      <c r="FKG15" s="114"/>
      <c r="FKH15" s="114"/>
      <c r="FKI15" s="114"/>
      <c r="FKJ15" s="114"/>
      <c r="FKK15" s="114"/>
      <c r="FKL15" s="114"/>
      <c r="FKM15" s="114"/>
      <c r="FKN15" s="114"/>
      <c r="FKO15" s="114"/>
      <c r="FKP15" s="114"/>
      <c r="FKQ15" s="114"/>
      <c r="FKR15" s="114"/>
      <c r="FKS15" s="114"/>
      <c r="FKT15" s="114"/>
      <c r="FKU15" s="114"/>
      <c r="FKV15" s="114"/>
      <c r="FKW15" s="114"/>
      <c r="FKX15" s="114"/>
      <c r="FKY15" s="114"/>
      <c r="FKZ15" s="114"/>
      <c r="FLA15" s="114"/>
      <c r="FLB15" s="114"/>
      <c r="FLC15" s="114"/>
      <c r="FLD15" s="114"/>
      <c r="FLE15" s="114"/>
      <c r="FLF15" s="114"/>
      <c r="FLG15" s="114"/>
      <c r="FLH15" s="114"/>
      <c r="FLI15" s="114"/>
      <c r="FLJ15" s="114"/>
      <c r="FLK15" s="114"/>
      <c r="FLL15" s="114"/>
      <c r="FLM15" s="114"/>
      <c r="FLN15" s="114"/>
      <c r="FLO15" s="114"/>
      <c r="FLP15" s="114"/>
      <c r="FLQ15" s="114"/>
      <c r="FLR15" s="114"/>
      <c r="FLS15" s="114"/>
      <c r="FLT15" s="114"/>
      <c r="FLU15" s="114"/>
      <c r="FLV15" s="114"/>
      <c r="FLW15" s="114"/>
      <c r="FLX15" s="114"/>
      <c r="FLY15" s="114"/>
      <c r="FLZ15" s="114"/>
      <c r="FMA15" s="114"/>
      <c r="FMB15" s="114"/>
      <c r="FMC15" s="114"/>
      <c r="FMD15" s="114"/>
      <c r="FME15" s="114"/>
      <c r="FMF15" s="114"/>
      <c r="FMG15" s="114"/>
      <c r="FMH15" s="114"/>
      <c r="FMI15" s="114"/>
      <c r="FMJ15" s="114"/>
      <c r="FMK15" s="114"/>
      <c r="FML15" s="114"/>
      <c r="FMM15" s="114"/>
      <c r="FMN15" s="114"/>
      <c r="FMO15" s="114"/>
      <c r="FMP15" s="114"/>
      <c r="FMQ15" s="114"/>
      <c r="FMR15" s="114"/>
      <c r="FMS15" s="114"/>
      <c r="FMT15" s="114"/>
      <c r="FMU15" s="114"/>
      <c r="FMV15" s="114"/>
      <c r="FMW15" s="114"/>
      <c r="FMX15" s="114"/>
      <c r="FMY15" s="114"/>
      <c r="FMZ15" s="114"/>
      <c r="FNA15" s="114"/>
      <c r="FNB15" s="114"/>
      <c r="FNC15" s="114"/>
      <c r="FND15" s="114"/>
      <c r="FNE15" s="114"/>
      <c r="FNF15" s="114"/>
      <c r="FNG15" s="114"/>
      <c r="FNH15" s="114"/>
      <c r="FNI15" s="114"/>
      <c r="FNJ15" s="114"/>
      <c r="FNK15" s="114"/>
      <c r="FNL15" s="114"/>
      <c r="FNM15" s="114"/>
      <c r="FNN15" s="114"/>
      <c r="FNO15" s="114"/>
      <c r="FNP15" s="114"/>
      <c r="FNQ15" s="114"/>
      <c r="FNR15" s="114"/>
      <c r="FNS15" s="114"/>
      <c r="FNT15" s="114"/>
      <c r="FNU15" s="114"/>
      <c r="FNV15" s="114"/>
      <c r="FNW15" s="114"/>
      <c r="FNX15" s="114"/>
      <c r="FNY15" s="114"/>
      <c r="FNZ15" s="114"/>
      <c r="FOA15" s="114"/>
      <c r="FOB15" s="114"/>
      <c r="FOC15" s="114"/>
      <c r="FOD15" s="114"/>
      <c r="FOE15" s="114"/>
      <c r="FOF15" s="114"/>
      <c r="FOG15" s="114"/>
      <c r="FOH15" s="114"/>
      <c r="FOI15" s="114"/>
      <c r="FOJ15" s="114"/>
      <c r="FOK15" s="114"/>
      <c r="FOL15" s="114"/>
      <c r="FOM15" s="114"/>
      <c r="FON15" s="114"/>
      <c r="FOO15" s="114"/>
      <c r="FOP15" s="114"/>
      <c r="FOQ15" s="114"/>
      <c r="FOR15" s="114"/>
      <c r="FOS15" s="114"/>
      <c r="FOT15" s="114"/>
      <c r="FOU15" s="114"/>
      <c r="FOV15" s="114"/>
      <c r="FOW15" s="114"/>
      <c r="FOX15" s="114"/>
      <c r="FOY15" s="114"/>
      <c r="FOZ15" s="114"/>
      <c r="FPA15" s="114"/>
      <c r="FPB15" s="114"/>
      <c r="FPC15" s="114"/>
      <c r="FPD15" s="114"/>
      <c r="FPE15" s="114"/>
      <c r="FPF15" s="114"/>
      <c r="FPG15" s="114"/>
      <c r="FPH15" s="114"/>
      <c r="FPI15" s="114"/>
      <c r="FPJ15" s="114"/>
      <c r="FPK15" s="114"/>
      <c r="FPL15" s="114"/>
      <c r="FPM15" s="114"/>
      <c r="FPN15" s="114"/>
      <c r="FPO15" s="114"/>
      <c r="FPP15" s="114"/>
      <c r="FPQ15" s="114"/>
      <c r="FPR15" s="114"/>
      <c r="FPS15" s="114"/>
      <c r="FPT15" s="114"/>
      <c r="FPU15" s="114"/>
      <c r="FPV15" s="114"/>
      <c r="FPW15" s="114"/>
      <c r="FPX15" s="114"/>
      <c r="FPY15" s="114"/>
      <c r="FPZ15" s="114"/>
      <c r="FQA15" s="114"/>
      <c r="FQB15" s="114"/>
      <c r="FQC15" s="114"/>
      <c r="FQD15" s="114"/>
      <c r="FQE15" s="114"/>
      <c r="FQF15" s="114"/>
      <c r="FQG15" s="114"/>
      <c r="FQH15" s="114"/>
      <c r="FQI15" s="114"/>
      <c r="FQJ15" s="114"/>
      <c r="FQK15" s="114"/>
      <c r="FQL15" s="114"/>
      <c r="FQM15" s="114"/>
      <c r="FQN15" s="114"/>
      <c r="FQO15" s="114"/>
      <c r="FQP15" s="114"/>
      <c r="FQQ15" s="114"/>
      <c r="FQR15" s="114"/>
      <c r="FQS15" s="114"/>
      <c r="FQT15" s="114"/>
      <c r="FQU15" s="114"/>
      <c r="FQV15" s="114"/>
      <c r="FQW15" s="114"/>
      <c r="FQX15" s="114"/>
      <c r="FQY15" s="114"/>
      <c r="FQZ15" s="114"/>
      <c r="FRA15" s="114"/>
      <c r="FRB15" s="114"/>
      <c r="FRC15" s="114"/>
      <c r="FRD15" s="114"/>
      <c r="FRE15" s="114"/>
      <c r="FRF15" s="114"/>
      <c r="FRG15" s="114"/>
      <c r="FRH15" s="114"/>
      <c r="FRI15" s="114"/>
      <c r="FRJ15" s="114"/>
      <c r="FRK15" s="114"/>
      <c r="FRL15" s="114"/>
      <c r="FRM15" s="114"/>
      <c r="FRN15" s="114"/>
      <c r="FRO15" s="114"/>
      <c r="FRP15" s="114"/>
      <c r="FRQ15" s="114"/>
      <c r="FRR15" s="114"/>
      <c r="FRS15" s="114"/>
      <c r="FRT15" s="114"/>
      <c r="FRU15" s="114"/>
      <c r="FRV15" s="114"/>
      <c r="FRW15" s="114"/>
      <c r="FRX15" s="114"/>
      <c r="FRY15" s="114"/>
      <c r="FRZ15" s="114"/>
      <c r="FSA15" s="114"/>
      <c r="FSB15" s="114"/>
      <c r="FSC15" s="114"/>
      <c r="FSD15" s="114"/>
      <c r="FSE15" s="114"/>
      <c r="FSF15" s="114"/>
      <c r="FSG15" s="114"/>
      <c r="FSH15" s="114"/>
      <c r="FSI15" s="114"/>
      <c r="FSJ15" s="114"/>
      <c r="FSK15" s="114"/>
      <c r="FSL15" s="114"/>
      <c r="FSM15" s="114"/>
      <c r="FSN15" s="114"/>
      <c r="FSO15" s="114"/>
      <c r="FSP15" s="114"/>
      <c r="FSQ15" s="114"/>
      <c r="FSR15" s="114"/>
      <c r="FSS15" s="114"/>
      <c r="FST15" s="114"/>
      <c r="FSU15" s="114"/>
      <c r="FSV15" s="114"/>
      <c r="FSW15" s="114"/>
      <c r="FSX15" s="114"/>
      <c r="FSY15" s="114"/>
      <c r="FSZ15" s="114"/>
      <c r="FTA15" s="114"/>
      <c r="FTB15" s="114"/>
      <c r="FTC15" s="114"/>
      <c r="FTD15" s="114"/>
      <c r="FTE15" s="114"/>
      <c r="FTF15" s="114"/>
      <c r="FTG15" s="114"/>
      <c r="FTH15" s="114"/>
      <c r="FTI15" s="114"/>
      <c r="FTJ15" s="114"/>
      <c r="FTK15" s="114"/>
      <c r="FTL15" s="114"/>
      <c r="FTM15" s="114"/>
      <c r="FTN15" s="114"/>
      <c r="FTO15" s="114"/>
      <c r="FTP15" s="114"/>
      <c r="FTQ15" s="114"/>
      <c r="FTR15" s="114"/>
      <c r="FTS15" s="114"/>
      <c r="FTT15" s="114"/>
      <c r="FTU15" s="114"/>
      <c r="FTV15" s="114"/>
      <c r="FTW15" s="114"/>
      <c r="FTX15" s="114"/>
      <c r="FTY15" s="114"/>
      <c r="FTZ15" s="114"/>
      <c r="FUA15" s="114"/>
      <c r="FUB15" s="114"/>
      <c r="FUC15" s="114"/>
      <c r="FUD15" s="114"/>
      <c r="FUE15" s="114"/>
      <c r="FUF15" s="114"/>
      <c r="FUG15" s="114"/>
      <c r="FUH15" s="114"/>
      <c r="FUI15" s="114"/>
      <c r="FUJ15" s="114"/>
      <c r="FUK15" s="114"/>
      <c r="FUL15" s="114"/>
      <c r="FUM15" s="114"/>
      <c r="FUN15" s="114"/>
      <c r="FUO15" s="114"/>
      <c r="FUP15" s="114"/>
      <c r="FUQ15" s="114"/>
      <c r="FUR15" s="114"/>
      <c r="FUS15" s="114"/>
      <c r="FUT15" s="114"/>
      <c r="FUU15" s="114"/>
      <c r="FUV15" s="114"/>
      <c r="FUW15" s="114"/>
      <c r="FUX15" s="114"/>
      <c r="FUY15" s="114"/>
      <c r="FUZ15" s="114"/>
      <c r="FVA15" s="114"/>
      <c r="FVB15" s="114"/>
      <c r="FVC15" s="114"/>
      <c r="FVD15" s="114"/>
      <c r="FVE15" s="114"/>
      <c r="FVF15" s="114"/>
      <c r="FVG15" s="114"/>
      <c r="FVH15" s="114"/>
      <c r="FVI15" s="114"/>
      <c r="FVJ15" s="114"/>
      <c r="FVK15" s="114"/>
      <c r="FVL15" s="114"/>
      <c r="FVM15" s="114"/>
      <c r="FVN15" s="114"/>
      <c r="FVO15" s="114"/>
      <c r="FVP15" s="114"/>
      <c r="FVQ15" s="114"/>
      <c r="FVR15" s="114"/>
      <c r="FVS15" s="114"/>
      <c r="FVT15" s="114"/>
      <c r="FVU15" s="114"/>
      <c r="FVV15" s="114"/>
      <c r="FVW15" s="114"/>
      <c r="FVX15" s="114"/>
      <c r="FVY15" s="114"/>
      <c r="FVZ15" s="114"/>
      <c r="FWA15" s="114"/>
      <c r="FWB15" s="114"/>
      <c r="FWC15" s="114"/>
      <c r="FWD15" s="114"/>
      <c r="FWE15" s="114"/>
      <c r="FWF15" s="114"/>
      <c r="FWG15" s="114"/>
      <c r="FWH15" s="114"/>
      <c r="FWI15" s="114"/>
      <c r="FWJ15" s="114"/>
      <c r="FWK15" s="114"/>
      <c r="FWL15" s="114"/>
      <c r="FWM15" s="114"/>
      <c r="FWN15" s="114"/>
      <c r="FWO15" s="114"/>
      <c r="FWP15" s="114"/>
      <c r="FWQ15" s="114"/>
      <c r="FWR15" s="114"/>
      <c r="FWS15" s="114"/>
      <c r="FWT15" s="114"/>
      <c r="FWU15" s="114"/>
      <c r="FWV15" s="114"/>
      <c r="FWW15" s="114"/>
      <c r="FWX15" s="114"/>
      <c r="FWY15" s="114"/>
      <c r="FWZ15" s="114"/>
      <c r="FXA15" s="114"/>
      <c r="FXB15" s="114"/>
      <c r="FXC15" s="114"/>
      <c r="FXD15" s="114"/>
      <c r="FXE15" s="114"/>
      <c r="FXF15" s="114"/>
      <c r="FXG15" s="114"/>
      <c r="FXH15" s="114"/>
      <c r="FXI15" s="114"/>
      <c r="FXJ15" s="114"/>
      <c r="FXK15" s="114"/>
      <c r="FXL15" s="114"/>
      <c r="FXM15" s="114"/>
      <c r="FXN15" s="114"/>
      <c r="FXO15" s="114"/>
      <c r="FXP15" s="114"/>
      <c r="FXQ15" s="114"/>
      <c r="FXR15" s="114"/>
      <c r="FXS15" s="114"/>
      <c r="FXT15" s="114"/>
      <c r="FXU15" s="114"/>
      <c r="FXV15" s="114"/>
      <c r="FXW15" s="114"/>
      <c r="FXX15" s="114"/>
      <c r="FXY15" s="114"/>
      <c r="FXZ15" s="114"/>
      <c r="FYA15" s="114"/>
      <c r="FYB15" s="114"/>
      <c r="FYC15" s="114"/>
      <c r="FYD15" s="114"/>
      <c r="FYE15" s="114"/>
      <c r="FYF15" s="114"/>
      <c r="FYG15" s="114"/>
      <c r="FYH15" s="114"/>
      <c r="FYI15" s="114"/>
      <c r="FYJ15" s="114"/>
      <c r="FYK15" s="114"/>
      <c r="FYL15" s="114"/>
      <c r="FYM15" s="114"/>
      <c r="FYN15" s="114"/>
      <c r="FYO15" s="114"/>
      <c r="FYP15" s="114"/>
      <c r="FYQ15" s="114"/>
      <c r="FYR15" s="114"/>
      <c r="FYS15" s="114"/>
      <c r="FYT15" s="114"/>
      <c r="FYU15" s="114"/>
      <c r="FYV15" s="114"/>
      <c r="FYW15" s="114"/>
      <c r="FYX15" s="114"/>
      <c r="FYY15" s="114"/>
      <c r="FYZ15" s="114"/>
      <c r="FZA15" s="114"/>
      <c r="FZB15" s="114"/>
      <c r="FZC15" s="114"/>
      <c r="FZD15" s="114"/>
      <c r="FZE15" s="114"/>
      <c r="FZF15" s="114"/>
      <c r="FZG15" s="114"/>
      <c r="FZH15" s="114"/>
      <c r="FZI15" s="114"/>
      <c r="FZJ15" s="114"/>
      <c r="FZK15" s="114"/>
      <c r="FZL15" s="114"/>
      <c r="FZM15" s="114"/>
      <c r="FZN15" s="114"/>
      <c r="FZO15" s="114"/>
      <c r="FZP15" s="114"/>
      <c r="FZQ15" s="114"/>
      <c r="FZR15" s="114"/>
      <c r="FZS15" s="114"/>
      <c r="FZT15" s="114"/>
      <c r="FZU15" s="114"/>
      <c r="FZV15" s="114"/>
      <c r="FZW15" s="114"/>
      <c r="FZX15" s="114"/>
      <c r="FZY15" s="114"/>
      <c r="FZZ15" s="114"/>
      <c r="GAA15" s="114"/>
      <c r="GAB15" s="114"/>
      <c r="GAC15" s="114"/>
      <c r="GAD15" s="114"/>
      <c r="GAE15" s="114"/>
      <c r="GAF15" s="114"/>
      <c r="GAG15" s="114"/>
      <c r="GAH15" s="114"/>
      <c r="GAI15" s="114"/>
      <c r="GAJ15" s="114"/>
      <c r="GAK15" s="114"/>
      <c r="GAL15" s="114"/>
      <c r="GAM15" s="114"/>
      <c r="GAN15" s="114"/>
      <c r="GAO15" s="114"/>
      <c r="GAP15" s="114"/>
      <c r="GAQ15" s="114"/>
      <c r="GAR15" s="114"/>
      <c r="GAS15" s="114"/>
      <c r="GAT15" s="114"/>
      <c r="GAU15" s="114"/>
      <c r="GAV15" s="114"/>
      <c r="GAW15" s="114"/>
      <c r="GAX15" s="114"/>
      <c r="GAY15" s="114"/>
      <c r="GAZ15" s="114"/>
      <c r="GBA15" s="114"/>
      <c r="GBB15" s="114"/>
      <c r="GBC15" s="114"/>
      <c r="GBD15" s="114"/>
      <c r="GBE15" s="114"/>
      <c r="GBF15" s="114"/>
      <c r="GBG15" s="114"/>
      <c r="GBH15" s="114"/>
      <c r="GBI15" s="114"/>
      <c r="GBJ15" s="114"/>
      <c r="GBK15" s="114"/>
      <c r="GBL15" s="114"/>
      <c r="GBM15" s="114"/>
      <c r="GBN15" s="114"/>
      <c r="GBO15" s="114"/>
      <c r="GBP15" s="114"/>
      <c r="GBQ15" s="114"/>
      <c r="GBR15" s="114"/>
      <c r="GBS15" s="114"/>
      <c r="GBT15" s="114"/>
      <c r="GBU15" s="114"/>
      <c r="GBV15" s="114"/>
      <c r="GBW15" s="114"/>
      <c r="GBX15" s="114"/>
      <c r="GBY15" s="114"/>
      <c r="GBZ15" s="114"/>
      <c r="GCA15" s="114"/>
      <c r="GCB15" s="114"/>
      <c r="GCC15" s="114"/>
      <c r="GCD15" s="114"/>
      <c r="GCE15" s="114"/>
      <c r="GCF15" s="114"/>
      <c r="GCG15" s="114"/>
      <c r="GCH15" s="114"/>
      <c r="GCI15" s="114"/>
      <c r="GCJ15" s="114"/>
      <c r="GCK15" s="114"/>
      <c r="GCL15" s="114"/>
      <c r="GCM15" s="114"/>
      <c r="GCN15" s="114"/>
      <c r="GCO15" s="114"/>
      <c r="GCP15" s="114"/>
      <c r="GCQ15" s="114"/>
      <c r="GCR15" s="114"/>
      <c r="GCS15" s="114"/>
      <c r="GCT15" s="114"/>
      <c r="GCU15" s="114"/>
      <c r="GCV15" s="114"/>
      <c r="GCW15" s="114"/>
      <c r="GCX15" s="114"/>
      <c r="GCY15" s="114"/>
      <c r="GCZ15" s="114"/>
      <c r="GDA15" s="114"/>
      <c r="GDB15" s="114"/>
      <c r="GDC15" s="114"/>
      <c r="GDD15" s="114"/>
      <c r="GDE15" s="114"/>
      <c r="GDF15" s="114"/>
      <c r="GDG15" s="114"/>
      <c r="GDH15" s="114"/>
      <c r="GDI15" s="114"/>
      <c r="GDJ15" s="114"/>
      <c r="GDK15" s="114"/>
      <c r="GDL15" s="114"/>
      <c r="GDM15" s="114"/>
      <c r="GDN15" s="114"/>
      <c r="GDO15" s="114"/>
      <c r="GDP15" s="114"/>
      <c r="GDQ15" s="114"/>
      <c r="GDR15" s="114"/>
      <c r="GDS15" s="114"/>
      <c r="GDT15" s="114"/>
      <c r="GDU15" s="114"/>
      <c r="GDV15" s="114"/>
      <c r="GDW15" s="114"/>
      <c r="GDX15" s="114"/>
      <c r="GDY15" s="114"/>
      <c r="GDZ15" s="114"/>
      <c r="GEA15" s="114"/>
      <c r="GEB15" s="114"/>
      <c r="GEC15" s="114"/>
      <c r="GED15" s="114"/>
      <c r="GEE15" s="114"/>
      <c r="GEF15" s="114"/>
      <c r="GEG15" s="114"/>
      <c r="GEH15" s="114"/>
      <c r="GEI15" s="114"/>
      <c r="GEJ15" s="114"/>
      <c r="GEK15" s="114"/>
      <c r="GEL15" s="114"/>
      <c r="GEM15" s="114"/>
      <c r="GEN15" s="114"/>
      <c r="GEO15" s="114"/>
      <c r="GEP15" s="114"/>
      <c r="GEQ15" s="114"/>
      <c r="GER15" s="114"/>
      <c r="GES15" s="114"/>
      <c r="GET15" s="114"/>
      <c r="GEU15" s="114"/>
      <c r="GEV15" s="114"/>
      <c r="GEW15" s="114"/>
      <c r="GEX15" s="114"/>
      <c r="GEY15" s="114"/>
      <c r="GEZ15" s="114"/>
      <c r="GFA15" s="114"/>
      <c r="GFB15" s="114"/>
      <c r="GFC15" s="114"/>
      <c r="GFD15" s="114"/>
      <c r="GFE15" s="114"/>
      <c r="GFF15" s="114"/>
      <c r="GFG15" s="114"/>
      <c r="GFH15" s="114"/>
      <c r="GFI15" s="114"/>
      <c r="GFJ15" s="114"/>
      <c r="GFK15" s="114"/>
      <c r="GFL15" s="114"/>
      <c r="GFM15" s="114"/>
      <c r="GFN15" s="114"/>
      <c r="GFO15" s="114"/>
      <c r="GFP15" s="114"/>
      <c r="GFQ15" s="114"/>
      <c r="GFR15" s="114"/>
      <c r="GFS15" s="114"/>
      <c r="GFT15" s="114"/>
      <c r="GFU15" s="114"/>
      <c r="GFV15" s="114"/>
      <c r="GFW15" s="114"/>
      <c r="GFX15" s="114"/>
      <c r="GFY15" s="114"/>
      <c r="GFZ15" s="114"/>
      <c r="GGA15" s="114"/>
      <c r="GGB15" s="114"/>
      <c r="GGC15" s="114"/>
      <c r="GGD15" s="114"/>
      <c r="GGE15" s="114"/>
      <c r="GGF15" s="114"/>
      <c r="GGG15" s="114"/>
      <c r="GGH15" s="114"/>
      <c r="GGI15" s="114"/>
      <c r="GGJ15" s="114"/>
      <c r="GGK15" s="114"/>
      <c r="GGL15" s="114"/>
      <c r="GGM15" s="114"/>
      <c r="GGN15" s="114"/>
      <c r="GGO15" s="114"/>
      <c r="GGP15" s="114"/>
      <c r="GGQ15" s="114"/>
      <c r="GGR15" s="114"/>
      <c r="GGS15" s="114"/>
      <c r="GGT15" s="114"/>
      <c r="GGU15" s="114"/>
      <c r="GGV15" s="114"/>
      <c r="GGW15" s="114"/>
      <c r="GGX15" s="114"/>
      <c r="GGY15" s="114"/>
      <c r="GGZ15" s="114"/>
      <c r="GHA15" s="114"/>
      <c r="GHB15" s="114"/>
      <c r="GHC15" s="114"/>
      <c r="GHD15" s="114"/>
      <c r="GHE15" s="114"/>
      <c r="GHF15" s="114"/>
      <c r="GHG15" s="114"/>
      <c r="GHH15" s="114"/>
      <c r="GHI15" s="114"/>
      <c r="GHJ15" s="114"/>
      <c r="GHK15" s="114"/>
      <c r="GHL15" s="114"/>
      <c r="GHM15" s="114"/>
      <c r="GHN15" s="114"/>
      <c r="GHO15" s="114"/>
      <c r="GHP15" s="114"/>
      <c r="GHQ15" s="114"/>
      <c r="GHR15" s="114"/>
      <c r="GHS15" s="114"/>
      <c r="GHT15" s="114"/>
      <c r="GHU15" s="114"/>
      <c r="GHV15" s="114"/>
      <c r="GHW15" s="114"/>
      <c r="GHX15" s="114"/>
      <c r="GHY15" s="114"/>
      <c r="GHZ15" s="114"/>
      <c r="GIA15" s="114"/>
      <c r="GIB15" s="114"/>
      <c r="GIC15" s="114"/>
      <c r="GID15" s="114"/>
      <c r="GIE15" s="114"/>
      <c r="GIF15" s="114"/>
      <c r="GIG15" s="114"/>
      <c r="GIH15" s="114"/>
      <c r="GII15" s="114"/>
      <c r="GIJ15" s="114"/>
      <c r="GIK15" s="114"/>
      <c r="GIL15" s="114"/>
      <c r="GIM15" s="114"/>
      <c r="GIN15" s="114"/>
      <c r="GIO15" s="114"/>
      <c r="GIP15" s="114"/>
      <c r="GIQ15" s="114"/>
      <c r="GIR15" s="114"/>
      <c r="GIS15" s="114"/>
      <c r="GIT15" s="114"/>
      <c r="GIU15" s="114"/>
      <c r="GIV15" s="114"/>
      <c r="GIW15" s="114"/>
      <c r="GIX15" s="114"/>
      <c r="GIY15" s="114"/>
      <c r="GIZ15" s="114"/>
      <c r="GJA15" s="114"/>
      <c r="GJB15" s="114"/>
      <c r="GJC15" s="114"/>
      <c r="GJD15" s="114"/>
      <c r="GJE15" s="114"/>
      <c r="GJF15" s="114"/>
      <c r="GJG15" s="114"/>
      <c r="GJH15" s="114"/>
      <c r="GJI15" s="114"/>
      <c r="GJJ15" s="114"/>
      <c r="GJK15" s="114"/>
      <c r="GJL15" s="114"/>
      <c r="GJM15" s="114"/>
      <c r="GJN15" s="114"/>
      <c r="GJO15" s="114"/>
      <c r="GJP15" s="114"/>
      <c r="GJQ15" s="114"/>
      <c r="GJR15" s="114"/>
      <c r="GJS15" s="114"/>
      <c r="GJT15" s="114"/>
      <c r="GJU15" s="114"/>
      <c r="GJV15" s="114"/>
      <c r="GJW15" s="114"/>
      <c r="GJX15" s="114"/>
      <c r="GJY15" s="114"/>
      <c r="GJZ15" s="114"/>
      <c r="GKA15" s="114"/>
      <c r="GKB15" s="114"/>
      <c r="GKC15" s="114"/>
      <c r="GKD15" s="114"/>
      <c r="GKE15" s="114"/>
      <c r="GKF15" s="114"/>
      <c r="GKG15" s="114"/>
      <c r="GKH15" s="114"/>
      <c r="GKI15" s="114"/>
      <c r="GKJ15" s="114"/>
      <c r="GKK15" s="114"/>
      <c r="GKL15" s="114"/>
      <c r="GKM15" s="114"/>
      <c r="GKN15" s="114"/>
      <c r="GKO15" s="114"/>
      <c r="GKP15" s="114"/>
      <c r="GKQ15" s="114"/>
      <c r="GKR15" s="114"/>
      <c r="GKS15" s="114"/>
      <c r="GKT15" s="114"/>
      <c r="GKU15" s="114"/>
      <c r="GKV15" s="114"/>
      <c r="GKW15" s="114"/>
      <c r="GKX15" s="114"/>
      <c r="GKY15" s="114"/>
      <c r="GKZ15" s="114"/>
      <c r="GLA15" s="114"/>
      <c r="GLB15" s="114"/>
      <c r="GLC15" s="114"/>
      <c r="GLD15" s="114"/>
      <c r="GLE15" s="114"/>
      <c r="GLF15" s="114"/>
      <c r="GLG15" s="114"/>
      <c r="GLH15" s="114"/>
      <c r="GLI15" s="114"/>
      <c r="GLJ15" s="114"/>
      <c r="GLK15" s="114"/>
      <c r="GLL15" s="114"/>
      <c r="GLM15" s="114"/>
      <c r="GLN15" s="114"/>
      <c r="GLO15" s="114"/>
      <c r="GLP15" s="114"/>
      <c r="GLQ15" s="114"/>
      <c r="GLR15" s="114"/>
      <c r="GLS15" s="114"/>
      <c r="GLT15" s="114"/>
      <c r="GLU15" s="114"/>
      <c r="GLV15" s="114"/>
      <c r="GLW15" s="114"/>
      <c r="GLX15" s="114"/>
      <c r="GLY15" s="114"/>
      <c r="GLZ15" s="114"/>
      <c r="GMA15" s="114"/>
      <c r="GMB15" s="114"/>
      <c r="GMC15" s="114"/>
      <c r="GMD15" s="114"/>
      <c r="GME15" s="114"/>
      <c r="GMF15" s="114"/>
      <c r="GMG15" s="114"/>
      <c r="GMH15" s="114"/>
      <c r="GMI15" s="114"/>
      <c r="GMJ15" s="114"/>
      <c r="GMK15" s="114"/>
      <c r="GML15" s="114"/>
      <c r="GMM15" s="114"/>
      <c r="GMN15" s="114"/>
      <c r="GMO15" s="114"/>
      <c r="GMP15" s="114"/>
      <c r="GMQ15" s="114"/>
      <c r="GMR15" s="114"/>
      <c r="GMS15" s="114"/>
      <c r="GMT15" s="114"/>
      <c r="GMU15" s="114"/>
      <c r="GMV15" s="114"/>
      <c r="GMW15" s="114"/>
      <c r="GMX15" s="114"/>
      <c r="GMY15" s="114"/>
      <c r="GMZ15" s="114"/>
      <c r="GNA15" s="114"/>
      <c r="GNB15" s="114"/>
      <c r="GNC15" s="114"/>
      <c r="GND15" s="114"/>
      <c r="GNE15" s="114"/>
      <c r="GNF15" s="114"/>
      <c r="GNG15" s="114"/>
      <c r="GNH15" s="114"/>
      <c r="GNI15" s="114"/>
      <c r="GNJ15" s="114"/>
      <c r="GNK15" s="114"/>
      <c r="GNL15" s="114"/>
      <c r="GNM15" s="114"/>
      <c r="GNN15" s="114"/>
      <c r="GNO15" s="114"/>
      <c r="GNP15" s="114"/>
      <c r="GNQ15" s="114"/>
      <c r="GNR15" s="114"/>
      <c r="GNS15" s="114"/>
      <c r="GNT15" s="114"/>
      <c r="GNU15" s="114"/>
      <c r="GNV15" s="114"/>
      <c r="GNW15" s="114"/>
      <c r="GNX15" s="114"/>
      <c r="GNY15" s="114"/>
      <c r="GNZ15" s="114"/>
      <c r="GOA15" s="114"/>
      <c r="GOB15" s="114"/>
      <c r="GOC15" s="114"/>
      <c r="GOD15" s="114"/>
      <c r="GOE15" s="114"/>
      <c r="GOF15" s="114"/>
      <c r="GOG15" s="114"/>
      <c r="GOH15" s="114"/>
      <c r="GOI15" s="114"/>
      <c r="GOJ15" s="114"/>
      <c r="GOK15" s="114"/>
      <c r="GOL15" s="114"/>
      <c r="GOM15" s="114"/>
      <c r="GON15" s="114"/>
      <c r="GOO15" s="114"/>
      <c r="GOP15" s="114"/>
      <c r="GOQ15" s="114"/>
      <c r="GOR15" s="114"/>
      <c r="GOS15" s="114"/>
      <c r="GOT15" s="114"/>
      <c r="GOU15" s="114"/>
      <c r="GOV15" s="114"/>
      <c r="GOW15" s="114"/>
      <c r="GOX15" s="114"/>
      <c r="GOY15" s="114"/>
      <c r="GOZ15" s="114"/>
      <c r="GPA15" s="114"/>
      <c r="GPB15" s="114"/>
      <c r="GPC15" s="114"/>
      <c r="GPD15" s="114"/>
      <c r="GPE15" s="114"/>
      <c r="GPF15" s="114"/>
      <c r="GPG15" s="114"/>
      <c r="GPH15" s="114"/>
      <c r="GPI15" s="114"/>
      <c r="GPJ15" s="114"/>
      <c r="GPK15" s="114"/>
      <c r="GPL15" s="114"/>
      <c r="GPM15" s="114"/>
      <c r="GPN15" s="114"/>
      <c r="GPO15" s="114"/>
      <c r="GPP15" s="114"/>
      <c r="GPQ15" s="114"/>
      <c r="GPR15" s="114"/>
      <c r="GPS15" s="114"/>
      <c r="GPT15" s="114"/>
      <c r="GPU15" s="114"/>
      <c r="GPV15" s="114"/>
      <c r="GPW15" s="114"/>
      <c r="GPX15" s="114"/>
      <c r="GPY15" s="114"/>
      <c r="GPZ15" s="114"/>
      <c r="GQA15" s="114"/>
      <c r="GQB15" s="114"/>
      <c r="GQC15" s="114"/>
      <c r="GQD15" s="114"/>
      <c r="GQE15" s="114"/>
      <c r="GQF15" s="114"/>
      <c r="GQG15" s="114"/>
      <c r="GQH15" s="114"/>
      <c r="GQI15" s="114"/>
      <c r="GQJ15" s="114"/>
      <c r="GQK15" s="114"/>
      <c r="GQL15" s="114"/>
      <c r="GQM15" s="114"/>
      <c r="GQN15" s="114"/>
      <c r="GQO15" s="114"/>
      <c r="GQP15" s="114"/>
      <c r="GQQ15" s="114"/>
      <c r="GQR15" s="114"/>
      <c r="GQS15" s="114"/>
      <c r="GQT15" s="114"/>
      <c r="GQU15" s="114"/>
      <c r="GQV15" s="114"/>
      <c r="GQW15" s="114"/>
      <c r="GQX15" s="114"/>
      <c r="GQY15" s="114"/>
      <c r="GQZ15" s="114"/>
      <c r="GRA15" s="114"/>
      <c r="GRB15" s="114"/>
      <c r="GRC15" s="114"/>
      <c r="GRD15" s="114"/>
      <c r="GRE15" s="114"/>
      <c r="GRF15" s="114"/>
      <c r="GRG15" s="114"/>
      <c r="GRH15" s="114"/>
      <c r="GRI15" s="114"/>
      <c r="GRJ15" s="114"/>
      <c r="GRK15" s="114"/>
      <c r="GRL15" s="114"/>
      <c r="GRM15" s="114"/>
      <c r="GRN15" s="114"/>
      <c r="GRO15" s="114"/>
      <c r="GRP15" s="114"/>
      <c r="GRQ15" s="114"/>
      <c r="GRR15" s="114"/>
      <c r="GRS15" s="114"/>
      <c r="GRT15" s="114"/>
      <c r="GRU15" s="114"/>
      <c r="GRV15" s="114"/>
      <c r="GRW15" s="114"/>
      <c r="GRX15" s="114"/>
      <c r="GRY15" s="114"/>
      <c r="GRZ15" s="114"/>
      <c r="GSA15" s="114"/>
      <c r="GSB15" s="114"/>
      <c r="GSC15" s="114"/>
      <c r="GSD15" s="114"/>
      <c r="GSE15" s="114"/>
      <c r="GSF15" s="114"/>
      <c r="GSG15" s="114"/>
      <c r="GSH15" s="114"/>
      <c r="GSI15" s="114"/>
      <c r="GSJ15" s="114"/>
      <c r="GSK15" s="114"/>
      <c r="GSL15" s="114"/>
      <c r="GSM15" s="114"/>
      <c r="GSN15" s="114"/>
      <c r="GSO15" s="114"/>
      <c r="GSP15" s="114"/>
      <c r="GSQ15" s="114"/>
      <c r="GSR15" s="114"/>
      <c r="GSS15" s="114"/>
      <c r="GST15" s="114"/>
      <c r="GSU15" s="114"/>
      <c r="GSV15" s="114"/>
      <c r="GSW15" s="114"/>
      <c r="GSX15" s="114"/>
      <c r="GSY15" s="114"/>
      <c r="GSZ15" s="114"/>
      <c r="GTA15" s="114"/>
      <c r="GTB15" s="114"/>
      <c r="GTC15" s="114"/>
      <c r="GTD15" s="114"/>
      <c r="GTE15" s="114"/>
      <c r="GTF15" s="114"/>
      <c r="GTG15" s="114"/>
      <c r="GTH15" s="114"/>
      <c r="GTI15" s="114"/>
      <c r="GTJ15" s="114"/>
      <c r="GTK15" s="114"/>
      <c r="GTL15" s="114"/>
      <c r="GTM15" s="114"/>
      <c r="GTN15" s="114"/>
      <c r="GTO15" s="114"/>
      <c r="GTP15" s="114"/>
      <c r="GTQ15" s="114"/>
      <c r="GTR15" s="114"/>
      <c r="GTS15" s="114"/>
      <c r="GTT15" s="114"/>
      <c r="GTU15" s="114"/>
      <c r="GTV15" s="114"/>
      <c r="GTW15" s="114"/>
      <c r="GTX15" s="114"/>
      <c r="GTY15" s="114"/>
      <c r="GTZ15" s="114"/>
      <c r="GUA15" s="114"/>
      <c r="GUB15" s="114"/>
      <c r="GUC15" s="114"/>
      <c r="GUD15" s="114"/>
      <c r="GUE15" s="114"/>
      <c r="GUF15" s="114"/>
      <c r="GUG15" s="114"/>
      <c r="GUH15" s="114"/>
      <c r="GUI15" s="114"/>
      <c r="GUJ15" s="114"/>
      <c r="GUK15" s="114"/>
      <c r="GUL15" s="114"/>
      <c r="GUM15" s="114"/>
      <c r="GUN15" s="114"/>
      <c r="GUO15" s="114"/>
      <c r="GUP15" s="114"/>
      <c r="GUQ15" s="114"/>
      <c r="GUR15" s="114"/>
      <c r="GUS15" s="114"/>
      <c r="GUT15" s="114"/>
      <c r="GUU15" s="114"/>
      <c r="GUV15" s="114"/>
      <c r="GUW15" s="114"/>
      <c r="GUX15" s="114"/>
      <c r="GUY15" s="114"/>
      <c r="GUZ15" s="114"/>
      <c r="GVA15" s="114"/>
      <c r="GVB15" s="114"/>
      <c r="GVC15" s="114"/>
      <c r="GVD15" s="114"/>
      <c r="GVE15" s="114"/>
      <c r="GVF15" s="114"/>
      <c r="GVG15" s="114"/>
      <c r="GVH15" s="114"/>
      <c r="GVI15" s="114"/>
      <c r="GVJ15" s="114"/>
      <c r="GVK15" s="114"/>
      <c r="GVL15" s="114"/>
      <c r="GVM15" s="114"/>
      <c r="GVN15" s="114"/>
      <c r="GVO15" s="114"/>
      <c r="GVP15" s="114"/>
      <c r="GVQ15" s="114"/>
      <c r="GVR15" s="114"/>
      <c r="GVS15" s="114"/>
      <c r="GVT15" s="114"/>
      <c r="GVU15" s="114"/>
      <c r="GVV15" s="114"/>
      <c r="GVW15" s="114"/>
      <c r="GVX15" s="114"/>
      <c r="GVY15" s="114"/>
      <c r="GVZ15" s="114"/>
      <c r="GWA15" s="114"/>
      <c r="GWB15" s="114"/>
      <c r="GWC15" s="114"/>
      <c r="GWD15" s="114"/>
      <c r="GWE15" s="114"/>
      <c r="GWF15" s="114"/>
      <c r="GWG15" s="114"/>
      <c r="GWH15" s="114"/>
      <c r="GWI15" s="114"/>
      <c r="GWJ15" s="114"/>
      <c r="GWK15" s="114"/>
      <c r="GWL15" s="114"/>
      <c r="GWM15" s="114"/>
      <c r="GWN15" s="114"/>
      <c r="GWO15" s="114"/>
      <c r="GWP15" s="114"/>
      <c r="GWQ15" s="114"/>
      <c r="GWR15" s="114"/>
      <c r="GWS15" s="114"/>
      <c r="GWT15" s="114"/>
      <c r="GWU15" s="114"/>
      <c r="GWV15" s="114"/>
      <c r="GWW15" s="114"/>
      <c r="GWX15" s="114"/>
      <c r="GWY15" s="114"/>
      <c r="GWZ15" s="114"/>
      <c r="GXA15" s="114"/>
      <c r="GXB15" s="114"/>
      <c r="GXC15" s="114"/>
      <c r="GXD15" s="114"/>
      <c r="GXE15" s="114"/>
      <c r="GXF15" s="114"/>
      <c r="GXG15" s="114"/>
      <c r="GXH15" s="114"/>
      <c r="GXI15" s="114"/>
      <c r="GXJ15" s="114"/>
      <c r="GXK15" s="114"/>
      <c r="GXL15" s="114"/>
      <c r="GXM15" s="114"/>
      <c r="GXN15" s="114"/>
      <c r="GXO15" s="114"/>
      <c r="GXP15" s="114"/>
      <c r="GXQ15" s="114"/>
      <c r="GXR15" s="114"/>
      <c r="GXS15" s="114"/>
      <c r="GXT15" s="114"/>
      <c r="GXU15" s="114"/>
      <c r="GXV15" s="114"/>
      <c r="GXW15" s="114"/>
      <c r="GXX15" s="114"/>
      <c r="GXY15" s="114"/>
      <c r="GXZ15" s="114"/>
      <c r="GYA15" s="114"/>
      <c r="GYB15" s="114"/>
      <c r="GYC15" s="114"/>
      <c r="GYD15" s="114"/>
      <c r="GYE15" s="114"/>
      <c r="GYF15" s="114"/>
      <c r="GYG15" s="114"/>
      <c r="GYH15" s="114"/>
      <c r="GYI15" s="114"/>
      <c r="GYJ15" s="114"/>
      <c r="GYK15" s="114"/>
      <c r="GYL15" s="114"/>
      <c r="GYM15" s="114"/>
      <c r="GYN15" s="114"/>
      <c r="GYO15" s="114"/>
      <c r="GYP15" s="114"/>
      <c r="GYQ15" s="114"/>
      <c r="GYR15" s="114"/>
      <c r="GYS15" s="114"/>
      <c r="GYT15" s="114"/>
      <c r="GYU15" s="114"/>
      <c r="GYV15" s="114"/>
      <c r="GYW15" s="114"/>
      <c r="GYX15" s="114"/>
      <c r="GYY15" s="114"/>
      <c r="GYZ15" s="114"/>
      <c r="GZA15" s="114"/>
      <c r="GZB15" s="114"/>
      <c r="GZC15" s="114"/>
      <c r="GZD15" s="114"/>
      <c r="GZE15" s="114"/>
      <c r="GZF15" s="114"/>
      <c r="GZG15" s="114"/>
      <c r="GZH15" s="114"/>
      <c r="GZI15" s="114"/>
      <c r="GZJ15" s="114"/>
      <c r="GZK15" s="114"/>
      <c r="GZL15" s="114"/>
      <c r="GZM15" s="114"/>
      <c r="GZN15" s="114"/>
      <c r="GZO15" s="114"/>
      <c r="GZP15" s="114"/>
      <c r="GZQ15" s="114"/>
      <c r="GZR15" s="114"/>
      <c r="GZS15" s="114"/>
      <c r="GZT15" s="114"/>
      <c r="GZU15" s="114"/>
      <c r="GZV15" s="114"/>
      <c r="GZW15" s="114"/>
      <c r="GZX15" s="114"/>
      <c r="GZY15" s="114"/>
      <c r="GZZ15" s="114"/>
      <c r="HAA15" s="114"/>
      <c r="HAB15" s="114"/>
      <c r="HAC15" s="114"/>
      <c r="HAD15" s="114"/>
      <c r="HAE15" s="114"/>
      <c r="HAF15" s="114"/>
      <c r="HAG15" s="114"/>
      <c r="HAH15" s="114"/>
      <c r="HAI15" s="114"/>
      <c r="HAJ15" s="114"/>
      <c r="HAK15" s="114"/>
      <c r="HAL15" s="114"/>
      <c r="HAM15" s="114"/>
      <c r="HAN15" s="114"/>
      <c r="HAO15" s="114"/>
      <c r="HAP15" s="114"/>
      <c r="HAQ15" s="114"/>
      <c r="HAR15" s="114"/>
      <c r="HAS15" s="114"/>
      <c r="HAT15" s="114"/>
      <c r="HAU15" s="114"/>
      <c r="HAV15" s="114"/>
      <c r="HAW15" s="114"/>
      <c r="HAX15" s="114"/>
      <c r="HAY15" s="114"/>
      <c r="HAZ15" s="114"/>
      <c r="HBA15" s="114"/>
      <c r="HBB15" s="114"/>
      <c r="HBC15" s="114"/>
      <c r="HBD15" s="114"/>
      <c r="HBE15" s="114"/>
      <c r="HBF15" s="114"/>
      <c r="HBG15" s="114"/>
      <c r="HBH15" s="114"/>
      <c r="HBI15" s="114"/>
      <c r="HBJ15" s="114"/>
      <c r="HBK15" s="114"/>
      <c r="HBL15" s="114"/>
      <c r="HBM15" s="114"/>
      <c r="HBN15" s="114"/>
      <c r="HBO15" s="114"/>
      <c r="HBP15" s="114"/>
      <c r="HBQ15" s="114"/>
      <c r="HBR15" s="114"/>
      <c r="HBS15" s="114"/>
      <c r="HBT15" s="114"/>
      <c r="HBU15" s="114"/>
      <c r="HBV15" s="114"/>
      <c r="HBW15" s="114"/>
      <c r="HBX15" s="114"/>
      <c r="HBY15" s="114"/>
      <c r="HBZ15" s="114"/>
      <c r="HCA15" s="114"/>
      <c r="HCB15" s="114"/>
      <c r="HCC15" s="114"/>
      <c r="HCD15" s="114"/>
      <c r="HCE15" s="114"/>
      <c r="HCF15" s="114"/>
      <c r="HCG15" s="114"/>
      <c r="HCH15" s="114"/>
      <c r="HCI15" s="114"/>
      <c r="HCJ15" s="114"/>
      <c r="HCK15" s="114"/>
      <c r="HCL15" s="114"/>
      <c r="HCM15" s="114"/>
      <c r="HCN15" s="114"/>
      <c r="HCO15" s="114"/>
      <c r="HCP15" s="114"/>
      <c r="HCQ15" s="114"/>
      <c r="HCR15" s="114"/>
      <c r="HCS15" s="114"/>
      <c r="HCT15" s="114"/>
      <c r="HCU15" s="114"/>
      <c r="HCV15" s="114"/>
      <c r="HCW15" s="114"/>
      <c r="HCX15" s="114"/>
      <c r="HCY15" s="114"/>
      <c r="HCZ15" s="114"/>
      <c r="HDA15" s="114"/>
      <c r="HDB15" s="114"/>
      <c r="HDC15" s="114"/>
      <c r="HDD15" s="114"/>
      <c r="HDE15" s="114"/>
      <c r="HDF15" s="114"/>
      <c r="HDG15" s="114"/>
      <c r="HDH15" s="114"/>
      <c r="HDI15" s="114"/>
      <c r="HDJ15" s="114"/>
      <c r="HDK15" s="114"/>
      <c r="HDL15" s="114"/>
      <c r="HDM15" s="114"/>
      <c r="HDN15" s="114"/>
      <c r="HDO15" s="114"/>
      <c r="HDP15" s="114"/>
      <c r="HDQ15" s="114"/>
      <c r="HDR15" s="114"/>
      <c r="HDS15" s="114"/>
      <c r="HDT15" s="114"/>
      <c r="HDU15" s="114"/>
      <c r="HDV15" s="114"/>
      <c r="HDW15" s="114"/>
      <c r="HDX15" s="114"/>
      <c r="HDY15" s="114"/>
      <c r="HDZ15" s="114"/>
      <c r="HEA15" s="114"/>
      <c r="HEB15" s="114"/>
      <c r="HEC15" s="114"/>
      <c r="HED15" s="114"/>
      <c r="HEE15" s="114"/>
      <c r="HEF15" s="114"/>
      <c r="HEG15" s="114"/>
      <c r="HEH15" s="114"/>
      <c r="HEI15" s="114"/>
      <c r="HEJ15" s="114"/>
      <c r="HEK15" s="114"/>
      <c r="HEL15" s="114"/>
      <c r="HEM15" s="114"/>
      <c r="HEN15" s="114"/>
      <c r="HEO15" s="114"/>
      <c r="HEP15" s="114"/>
      <c r="HEQ15" s="114"/>
      <c r="HER15" s="114"/>
      <c r="HES15" s="114"/>
      <c r="HET15" s="114"/>
      <c r="HEU15" s="114"/>
      <c r="HEV15" s="114"/>
      <c r="HEW15" s="114"/>
      <c r="HEX15" s="114"/>
      <c r="HEY15" s="114"/>
      <c r="HEZ15" s="114"/>
      <c r="HFA15" s="114"/>
      <c r="HFB15" s="114"/>
      <c r="HFC15" s="114"/>
      <c r="HFD15" s="114"/>
      <c r="HFE15" s="114"/>
      <c r="HFF15" s="114"/>
      <c r="HFG15" s="114"/>
      <c r="HFH15" s="114"/>
      <c r="HFI15" s="114"/>
      <c r="HFJ15" s="114"/>
      <c r="HFK15" s="114"/>
      <c r="HFL15" s="114"/>
      <c r="HFM15" s="114"/>
      <c r="HFN15" s="114"/>
      <c r="HFO15" s="114"/>
      <c r="HFP15" s="114"/>
      <c r="HFQ15" s="114"/>
      <c r="HFR15" s="114"/>
      <c r="HFS15" s="114"/>
      <c r="HFT15" s="114"/>
      <c r="HFU15" s="114"/>
      <c r="HFV15" s="114"/>
      <c r="HFW15" s="114"/>
      <c r="HFX15" s="114"/>
      <c r="HFY15" s="114"/>
      <c r="HFZ15" s="114"/>
      <c r="HGA15" s="114"/>
      <c r="HGB15" s="114"/>
      <c r="HGC15" s="114"/>
      <c r="HGD15" s="114"/>
      <c r="HGE15" s="114"/>
      <c r="HGF15" s="114"/>
      <c r="HGG15" s="114"/>
      <c r="HGH15" s="114"/>
      <c r="HGI15" s="114"/>
      <c r="HGJ15" s="114"/>
      <c r="HGK15" s="114"/>
      <c r="HGL15" s="114"/>
      <c r="HGM15" s="114"/>
      <c r="HGN15" s="114"/>
      <c r="HGO15" s="114"/>
      <c r="HGP15" s="114"/>
      <c r="HGQ15" s="114"/>
      <c r="HGR15" s="114"/>
      <c r="HGS15" s="114"/>
      <c r="HGT15" s="114"/>
      <c r="HGU15" s="114"/>
      <c r="HGV15" s="114"/>
      <c r="HGW15" s="114"/>
      <c r="HGX15" s="114"/>
      <c r="HGY15" s="114"/>
      <c r="HGZ15" s="114"/>
      <c r="HHA15" s="114"/>
      <c r="HHB15" s="114"/>
      <c r="HHC15" s="114"/>
      <c r="HHD15" s="114"/>
      <c r="HHE15" s="114"/>
      <c r="HHF15" s="114"/>
      <c r="HHG15" s="114"/>
      <c r="HHH15" s="114"/>
      <c r="HHI15" s="114"/>
      <c r="HHJ15" s="114"/>
      <c r="HHK15" s="114"/>
      <c r="HHL15" s="114"/>
      <c r="HHM15" s="114"/>
      <c r="HHN15" s="114"/>
      <c r="HHO15" s="114"/>
      <c r="HHP15" s="114"/>
      <c r="HHQ15" s="114"/>
      <c r="HHR15" s="114"/>
      <c r="HHS15" s="114"/>
      <c r="HHT15" s="114"/>
      <c r="HHU15" s="114"/>
      <c r="HHV15" s="114"/>
      <c r="HHW15" s="114"/>
      <c r="HHX15" s="114"/>
      <c r="HHY15" s="114"/>
      <c r="HHZ15" s="114"/>
      <c r="HIA15" s="114"/>
      <c r="HIB15" s="114"/>
      <c r="HIC15" s="114"/>
      <c r="HID15" s="114"/>
      <c r="HIE15" s="114"/>
      <c r="HIF15" s="114"/>
      <c r="HIG15" s="114"/>
      <c r="HIH15" s="114"/>
      <c r="HII15" s="114"/>
      <c r="HIJ15" s="114"/>
      <c r="HIK15" s="114"/>
      <c r="HIL15" s="114"/>
      <c r="HIM15" s="114"/>
      <c r="HIN15" s="114"/>
      <c r="HIO15" s="114"/>
      <c r="HIP15" s="114"/>
      <c r="HIQ15" s="114"/>
      <c r="HIR15" s="114"/>
      <c r="HIS15" s="114"/>
      <c r="HIT15" s="114"/>
      <c r="HIU15" s="114"/>
      <c r="HIV15" s="114"/>
      <c r="HIW15" s="114"/>
      <c r="HIX15" s="114"/>
      <c r="HIY15" s="114"/>
      <c r="HIZ15" s="114"/>
      <c r="HJA15" s="114"/>
      <c r="HJB15" s="114"/>
      <c r="HJC15" s="114"/>
      <c r="HJD15" s="114"/>
      <c r="HJE15" s="114"/>
      <c r="HJF15" s="114"/>
      <c r="HJG15" s="114"/>
      <c r="HJH15" s="114"/>
      <c r="HJI15" s="114"/>
      <c r="HJJ15" s="114"/>
      <c r="HJK15" s="114"/>
      <c r="HJL15" s="114"/>
      <c r="HJM15" s="114"/>
      <c r="HJN15" s="114"/>
      <c r="HJO15" s="114"/>
      <c r="HJP15" s="114"/>
      <c r="HJQ15" s="114"/>
      <c r="HJR15" s="114"/>
      <c r="HJS15" s="114"/>
      <c r="HJT15" s="114"/>
      <c r="HJU15" s="114"/>
      <c r="HJV15" s="114"/>
      <c r="HJW15" s="114"/>
      <c r="HJX15" s="114"/>
      <c r="HJY15" s="114"/>
      <c r="HJZ15" s="114"/>
      <c r="HKA15" s="114"/>
      <c r="HKB15" s="114"/>
      <c r="HKC15" s="114"/>
      <c r="HKD15" s="114"/>
      <c r="HKE15" s="114"/>
      <c r="HKF15" s="114"/>
      <c r="HKG15" s="114"/>
      <c r="HKH15" s="114"/>
      <c r="HKI15" s="114"/>
      <c r="HKJ15" s="114"/>
      <c r="HKK15" s="114"/>
      <c r="HKL15" s="114"/>
      <c r="HKM15" s="114"/>
      <c r="HKN15" s="114"/>
      <c r="HKO15" s="114"/>
      <c r="HKP15" s="114"/>
      <c r="HKQ15" s="114"/>
      <c r="HKR15" s="114"/>
      <c r="HKS15" s="114"/>
      <c r="HKT15" s="114"/>
      <c r="HKU15" s="114"/>
      <c r="HKV15" s="114"/>
      <c r="HKW15" s="114"/>
      <c r="HKX15" s="114"/>
      <c r="HKY15" s="114"/>
      <c r="HKZ15" s="114"/>
      <c r="HLA15" s="114"/>
      <c r="HLB15" s="114"/>
      <c r="HLC15" s="114"/>
      <c r="HLD15" s="114"/>
      <c r="HLE15" s="114"/>
      <c r="HLF15" s="114"/>
      <c r="HLG15" s="114"/>
      <c r="HLH15" s="114"/>
      <c r="HLI15" s="114"/>
      <c r="HLJ15" s="114"/>
      <c r="HLK15" s="114"/>
      <c r="HLL15" s="114"/>
      <c r="HLM15" s="114"/>
      <c r="HLN15" s="114"/>
      <c r="HLO15" s="114"/>
      <c r="HLP15" s="114"/>
      <c r="HLQ15" s="114"/>
      <c r="HLR15" s="114"/>
      <c r="HLS15" s="114"/>
      <c r="HLT15" s="114"/>
      <c r="HLU15" s="114"/>
      <c r="HLV15" s="114"/>
      <c r="HLW15" s="114"/>
      <c r="HLX15" s="114"/>
      <c r="HLY15" s="114"/>
      <c r="HLZ15" s="114"/>
      <c r="HMA15" s="114"/>
      <c r="HMB15" s="114"/>
      <c r="HMC15" s="114"/>
      <c r="HMD15" s="114"/>
      <c r="HME15" s="114"/>
      <c r="HMF15" s="114"/>
      <c r="HMG15" s="114"/>
      <c r="HMH15" s="114"/>
      <c r="HMI15" s="114"/>
      <c r="HMJ15" s="114"/>
      <c r="HMK15" s="114"/>
      <c r="HML15" s="114"/>
      <c r="HMM15" s="114"/>
      <c r="HMN15" s="114"/>
      <c r="HMO15" s="114"/>
      <c r="HMP15" s="114"/>
      <c r="HMQ15" s="114"/>
      <c r="HMR15" s="114"/>
      <c r="HMS15" s="114"/>
      <c r="HMT15" s="114"/>
      <c r="HMU15" s="114"/>
      <c r="HMV15" s="114"/>
      <c r="HMW15" s="114"/>
      <c r="HMX15" s="114"/>
      <c r="HMY15" s="114"/>
      <c r="HMZ15" s="114"/>
      <c r="HNA15" s="114"/>
      <c r="HNB15" s="114"/>
      <c r="HNC15" s="114"/>
      <c r="HND15" s="114"/>
      <c r="HNE15" s="114"/>
      <c r="HNF15" s="114"/>
      <c r="HNG15" s="114"/>
      <c r="HNH15" s="114"/>
      <c r="HNI15" s="114"/>
      <c r="HNJ15" s="114"/>
      <c r="HNK15" s="114"/>
      <c r="HNL15" s="114"/>
      <c r="HNM15" s="114"/>
      <c r="HNN15" s="114"/>
      <c r="HNO15" s="114"/>
      <c r="HNP15" s="114"/>
      <c r="HNQ15" s="114"/>
      <c r="HNR15" s="114"/>
      <c r="HNS15" s="114"/>
      <c r="HNT15" s="114"/>
      <c r="HNU15" s="114"/>
      <c r="HNV15" s="114"/>
      <c r="HNW15" s="114"/>
      <c r="HNX15" s="114"/>
      <c r="HNY15" s="114"/>
      <c r="HNZ15" s="114"/>
      <c r="HOA15" s="114"/>
      <c r="HOB15" s="114"/>
      <c r="HOC15" s="114"/>
      <c r="HOD15" s="114"/>
      <c r="HOE15" s="114"/>
      <c r="HOF15" s="114"/>
      <c r="HOG15" s="114"/>
      <c r="HOH15" s="114"/>
      <c r="HOI15" s="114"/>
      <c r="HOJ15" s="114"/>
      <c r="HOK15" s="114"/>
      <c r="HOL15" s="114"/>
      <c r="HOM15" s="114"/>
      <c r="HON15" s="114"/>
      <c r="HOO15" s="114"/>
      <c r="HOP15" s="114"/>
      <c r="HOQ15" s="114"/>
      <c r="HOR15" s="114"/>
      <c r="HOS15" s="114"/>
      <c r="HOT15" s="114"/>
      <c r="HOU15" s="114"/>
      <c r="HOV15" s="114"/>
      <c r="HOW15" s="114"/>
      <c r="HOX15" s="114"/>
      <c r="HOY15" s="114"/>
      <c r="HOZ15" s="114"/>
      <c r="HPA15" s="114"/>
      <c r="HPB15" s="114"/>
      <c r="HPC15" s="114"/>
      <c r="HPD15" s="114"/>
      <c r="HPE15" s="114"/>
      <c r="HPF15" s="114"/>
      <c r="HPG15" s="114"/>
      <c r="HPH15" s="114"/>
      <c r="HPI15" s="114"/>
      <c r="HPJ15" s="114"/>
      <c r="HPK15" s="114"/>
      <c r="HPL15" s="114"/>
      <c r="HPM15" s="114"/>
      <c r="HPN15" s="114"/>
      <c r="HPO15" s="114"/>
      <c r="HPP15" s="114"/>
      <c r="HPQ15" s="114"/>
      <c r="HPR15" s="114"/>
      <c r="HPS15" s="114"/>
      <c r="HPT15" s="114"/>
      <c r="HPU15" s="114"/>
      <c r="HPV15" s="114"/>
      <c r="HPW15" s="114"/>
      <c r="HPX15" s="114"/>
      <c r="HPY15" s="114"/>
      <c r="HPZ15" s="114"/>
      <c r="HQA15" s="114"/>
      <c r="HQB15" s="114"/>
      <c r="HQC15" s="114"/>
      <c r="HQD15" s="114"/>
      <c r="HQE15" s="114"/>
      <c r="HQF15" s="114"/>
      <c r="HQG15" s="114"/>
      <c r="HQH15" s="114"/>
      <c r="HQI15" s="114"/>
      <c r="HQJ15" s="114"/>
      <c r="HQK15" s="114"/>
      <c r="HQL15" s="114"/>
      <c r="HQM15" s="114"/>
      <c r="HQN15" s="114"/>
      <c r="HQO15" s="114"/>
      <c r="HQP15" s="114"/>
      <c r="HQQ15" s="114"/>
      <c r="HQR15" s="114"/>
      <c r="HQS15" s="114"/>
      <c r="HQT15" s="114"/>
      <c r="HQU15" s="114"/>
      <c r="HQV15" s="114"/>
      <c r="HQW15" s="114"/>
      <c r="HQX15" s="114"/>
      <c r="HQY15" s="114"/>
      <c r="HQZ15" s="114"/>
      <c r="HRA15" s="114"/>
      <c r="HRB15" s="114"/>
      <c r="HRC15" s="114"/>
      <c r="HRD15" s="114"/>
      <c r="HRE15" s="114"/>
      <c r="HRF15" s="114"/>
      <c r="HRG15" s="114"/>
      <c r="HRH15" s="114"/>
      <c r="HRI15" s="114"/>
      <c r="HRJ15" s="114"/>
      <c r="HRK15" s="114"/>
      <c r="HRL15" s="114"/>
      <c r="HRM15" s="114"/>
      <c r="HRN15" s="114"/>
      <c r="HRO15" s="114"/>
      <c r="HRP15" s="114"/>
      <c r="HRQ15" s="114"/>
      <c r="HRR15" s="114"/>
      <c r="HRS15" s="114"/>
      <c r="HRT15" s="114"/>
      <c r="HRU15" s="114"/>
      <c r="HRV15" s="114"/>
      <c r="HRW15" s="114"/>
      <c r="HRX15" s="114"/>
      <c r="HRY15" s="114"/>
      <c r="HRZ15" s="114"/>
      <c r="HSA15" s="114"/>
      <c r="HSB15" s="114"/>
      <c r="HSC15" s="114"/>
      <c r="HSD15" s="114"/>
      <c r="HSE15" s="114"/>
      <c r="HSF15" s="114"/>
      <c r="HSG15" s="114"/>
      <c r="HSH15" s="114"/>
      <c r="HSI15" s="114"/>
      <c r="HSJ15" s="114"/>
      <c r="HSK15" s="114"/>
      <c r="HSL15" s="114"/>
      <c r="HSM15" s="114"/>
      <c r="HSN15" s="114"/>
      <c r="HSO15" s="114"/>
      <c r="HSP15" s="114"/>
      <c r="HSQ15" s="114"/>
      <c r="HSR15" s="114"/>
      <c r="HSS15" s="114"/>
      <c r="HST15" s="114"/>
      <c r="HSU15" s="114"/>
      <c r="HSV15" s="114"/>
      <c r="HSW15" s="114"/>
      <c r="HSX15" s="114"/>
      <c r="HSY15" s="114"/>
      <c r="HSZ15" s="114"/>
      <c r="HTA15" s="114"/>
      <c r="HTB15" s="114"/>
      <c r="HTC15" s="114"/>
      <c r="HTD15" s="114"/>
      <c r="HTE15" s="114"/>
      <c r="HTF15" s="114"/>
      <c r="HTG15" s="114"/>
      <c r="HTH15" s="114"/>
      <c r="HTI15" s="114"/>
      <c r="HTJ15" s="114"/>
      <c r="HTK15" s="114"/>
      <c r="HTL15" s="114"/>
      <c r="HTM15" s="114"/>
      <c r="HTN15" s="114"/>
      <c r="HTO15" s="114"/>
      <c r="HTP15" s="114"/>
      <c r="HTQ15" s="114"/>
      <c r="HTR15" s="114"/>
      <c r="HTS15" s="114"/>
      <c r="HTT15" s="114"/>
      <c r="HTU15" s="114"/>
      <c r="HTV15" s="114"/>
      <c r="HTW15" s="114"/>
      <c r="HTX15" s="114"/>
      <c r="HTY15" s="114"/>
      <c r="HTZ15" s="114"/>
      <c r="HUA15" s="114"/>
      <c r="HUB15" s="114"/>
      <c r="HUC15" s="114"/>
      <c r="HUD15" s="114"/>
      <c r="HUE15" s="114"/>
      <c r="HUF15" s="114"/>
      <c r="HUG15" s="114"/>
      <c r="HUH15" s="114"/>
      <c r="HUI15" s="114"/>
      <c r="HUJ15" s="114"/>
      <c r="HUK15" s="114"/>
      <c r="HUL15" s="114"/>
      <c r="HUM15" s="114"/>
      <c r="HUN15" s="114"/>
      <c r="HUO15" s="114"/>
      <c r="HUP15" s="114"/>
      <c r="HUQ15" s="114"/>
      <c r="HUR15" s="114"/>
      <c r="HUS15" s="114"/>
      <c r="HUT15" s="114"/>
      <c r="HUU15" s="114"/>
      <c r="HUV15" s="114"/>
      <c r="HUW15" s="114"/>
      <c r="HUX15" s="114"/>
      <c r="HUY15" s="114"/>
      <c r="HUZ15" s="114"/>
      <c r="HVA15" s="114"/>
      <c r="HVB15" s="114"/>
      <c r="HVC15" s="114"/>
      <c r="HVD15" s="114"/>
      <c r="HVE15" s="114"/>
      <c r="HVF15" s="114"/>
      <c r="HVG15" s="114"/>
      <c r="HVH15" s="114"/>
      <c r="HVI15" s="114"/>
      <c r="HVJ15" s="114"/>
      <c r="HVK15" s="114"/>
      <c r="HVL15" s="114"/>
      <c r="HVM15" s="114"/>
      <c r="HVN15" s="114"/>
      <c r="HVO15" s="114"/>
      <c r="HVP15" s="114"/>
      <c r="HVQ15" s="114"/>
      <c r="HVR15" s="114"/>
      <c r="HVS15" s="114"/>
      <c r="HVT15" s="114"/>
      <c r="HVU15" s="114"/>
      <c r="HVV15" s="114"/>
      <c r="HVW15" s="114"/>
      <c r="HVX15" s="114"/>
      <c r="HVY15" s="114"/>
      <c r="HVZ15" s="114"/>
      <c r="HWA15" s="114"/>
      <c r="HWB15" s="114"/>
      <c r="HWC15" s="114"/>
      <c r="HWD15" s="114"/>
      <c r="HWE15" s="114"/>
      <c r="HWF15" s="114"/>
      <c r="HWG15" s="114"/>
      <c r="HWH15" s="114"/>
      <c r="HWI15" s="114"/>
      <c r="HWJ15" s="114"/>
      <c r="HWK15" s="114"/>
      <c r="HWL15" s="114"/>
      <c r="HWM15" s="114"/>
      <c r="HWN15" s="114"/>
      <c r="HWO15" s="114"/>
      <c r="HWP15" s="114"/>
      <c r="HWQ15" s="114"/>
      <c r="HWR15" s="114"/>
      <c r="HWS15" s="114"/>
      <c r="HWT15" s="114"/>
      <c r="HWU15" s="114"/>
      <c r="HWV15" s="114"/>
      <c r="HWW15" s="114"/>
      <c r="HWX15" s="114"/>
      <c r="HWY15" s="114"/>
      <c r="HWZ15" s="114"/>
      <c r="HXA15" s="114"/>
      <c r="HXB15" s="114"/>
      <c r="HXC15" s="114"/>
      <c r="HXD15" s="114"/>
      <c r="HXE15" s="114"/>
      <c r="HXF15" s="114"/>
      <c r="HXG15" s="114"/>
      <c r="HXH15" s="114"/>
      <c r="HXI15" s="114"/>
      <c r="HXJ15" s="114"/>
      <c r="HXK15" s="114"/>
      <c r="HXL15" s="114"/>
      <c r="HXM15" s="114"/>
      <c r="HXN15" s="114"/>
      <c r="HXO15" s="114"/>
      <c r="HXP15" s="114"/>
      <c r="HXQ15" s="114"/>
      <c r="HXR15" s="114"/>
      <c r="HXS15" s="114"/>
      <c r="HXT15" s="114"/>
      <c r="HXU15" s="114"/>
      <c r="HXV15" s="114"/>
      <c r="HXW15" s="114"/>
      <c r="HXX15" s="114"/>
      <c r="HXY15" s="114"/>
      <c r="HXZ15" s="114"/>
      <c r="HYA15" s="114"/>
      <c r="HYB15" s="114"/>
      <c r="HYC15" s="114"/>
      <c r="HYD15" s="114"/>
      <c r="HYE15" s="114"/>
      <c r="HYF15" s="114"/>
      <c r="HYG15" s="114"/>
      <c r="HYH15" s="114"/>
      <c r="HYI15" s="114"/>
      <c r="HYJ15" s="114"/>
      <c r="HYK15" s="114"/>
      <c r="HYL15" s="114"/>
      <c r="HYM15" s="114"/>
      <c r="HYN15" s="114"/>
      <c r="HYO15" s="114"/>
      <c r="HYP15" s="114"/>
      <c r="HYQ15" s="114"/>
      <c r="HYR15" s="114"/>
      <c r="HYS15" s="114"/>
      <c r="HYT15" s="114"/>
      <c r="HYU15" s="114"/>
      <c r="HYV15" s="114"/>
      <c r="HYW15" s="114"/>
      <c r="HYX15" s="114"/>
      <c r="HYY15" s="114"/>
      <c r="HYZ15" s="114"/>
      <c r="HZA15" s="114"/>
      <c r="HZB15" s="114"/>
      <c r="HZC15" s="114"/>
      <c r="HZD15" s="114"/>
      <c r="HZE15" s="114"/>
      <c r="HZF15" s="114"/>
      <c r="HZG15" s="114"/>
      <c r="HZH15" s="114"/>
      <c r="HZI15" s="114"/>
      <c r="HZJ15" s="114"/>
      <c r="HZK15" s="114"/>
      <c r="HZL15" s="114"/>
      <c r="HZM15" s="114"/>
      <c r="HZN15" s="114"/>
      <c r="HZO15" s="114"/>
      <c r="HZP15" s="114"/>
      <c r="HZQ15" s="114"/>
      <c r="HZR15" s="114"/>
      <c r="HZS15" s="114"/>
      <c r="HZT15" s="114"/>
      <c r="HZU15" s="114"/>
      <c r="HZV15" s="114"/>
      <c r="HZW15" s="114"/>
      <c r="HZX15" s="114"/>
      <c r="HZY15" s="114"/>
      <c r="HZZ15" s="114"/>
      <c r="IAA15" s="114"/>
      <c r="IAB15" s="114"/>
      <c r="IAC15" s="114"/>
      <c r="IAD15" s="114"/>
      <c r="IAE15" s="114"/>
      <c r="IAF15" s="114"/>
      <c r="IAG15" s="114"/>
      <c r="IAH15" s="114"/>
      <c r="IAI15" s="114"/>
      <c r="IAJ15" s="114"/>
      <c r="IAK15" s="114"/>
      <c r="IAL15" s="114"/>
      <c r="IAM15" s="114"/>
      <c r="IAN15" s="114"/>
      <c r="IAO15" s="114"/>
      <c r="IAP15" s="114"/>
      <c r="IAQ15" s="114"/>
      <c r="IAR15" s="114"/>
      <c r="IAS15" s="114"/>
      <c r="IAT15" s="114"/>
      <c r="IAU15" s="114"/>
      <c r="IAV15" s="114"/>
      <c r="IAW15" s="114"/>
      <c r="IAX15" s="114"/>
      <c r="IAY15" s="114"/>
      <c r="IAZ15" s="114"/>
      <c r="IBA15" s="114"/>
      <c r="IBB15" s="114"/>
      <c r="IBC15" s="114"/>
      <c r="IBD15" s="114"/>
      <c r="IBE15" s="114"/>
      <c r="IBF15" s="114"/>
      <c r="IBG15" s="114"/>
      <c r="IBH15" s="114"/>
      <c r="IBI15" s="114"/>
      <c r="IBJ15" s="114"/>
      <c r="IBK15" s="114"/>
      <c r="IBL15" s="114"/>
      <c r="IBM15" s="114"/>
      <c r="IBN15" s="114"/>
      <c r="IBO15" s="114"/>
      <c r="IBP15" s="114"/>
      <c r="IBQ15" s="114"/>
      <c r="IBR15" s="114"/>
      <c r="IBS15" s="114"/>
      <c r="IBT15" s="114"/>
      <c r="IBU15" s="114"/>
      <c r="IBV15" s="114"/>
      <c r="IBW15" s="114"/>
      <c r="IBX15" s="114"/>
      <c r="IBY15" s="114"/>
      <c r="IBZ15" s="114"/>
      <c r="ICA15" s="114"/>
      <c r="ICB15" s="114"/>
      <c r="ICC15" s="114"/>
      <c r="ICD15" s="114"/>
      <c r="ICE15" s="114"/>
      <c r="ICF15" s="114"/>
      <c r="ICG15" s="114"/>
      <c r="ICH15" s="114"/>
      <c r="ICI15" s="114"/>
      <c r="ICJ15" s="114"/>
      <c r="ICK15" s="114"/>
      <c r="ICL15" s="114"/>
      <c r="ICM15" s="114"/>
      <c r="ICN15" s="114"/>
      <c r="ICO15" s="114"/>
      <c r="ICP15" s="114"/>
      <c r="ICQ15" s="114"/>
      <c r="ICR15" s="114"/>
      <c r="ICS15" s="114"/>
      <c r="ICT15" s="114"/>
      <c r="ICU15" s="114"/>
      <c r="ICV15" s="114"/>
      <c r="ICW15" s="114"/>
      <c r="ICX15" s="114"/>
      <c r="ICY15" s="114"/>
      <c r="ICZ15" s="114"/>
      <c r="IDA15" s="114"/>
      <c r="IDB15" s="114"/>
      <c r="IDC15" s="114"/>
      <c r="IDD15" s="114"/>
      <c r="IDE15" s="114"/>
      <c r="IDF15" s="114"/>
      <c r="IDG15" s="114"/>
      <c r="IDH15" s="114"/>
      <c r="IDI15" s="114"/>
      <c r="IDJ15" s="114"/>
      <c r="IDK15" s="114"/>
      <c r="IDL15" s="114"/>
      <c r="IDM15" s="114"/>
      <c r="IDN15" s="114"/>
      <c r="IDO15" s="114"/>
      <c r="IDP15" s="114"/>
      <c r="IDQ15" s="114"/>
      <c r="IDR15" s="114"/>
      <c r="IDS15" s="114"/>
      <c r="IDT15" s="114"/>
      <c r="IDU15" s="114"/>
      <c r="IDV15" s="114"/>
      <c r="IDW15" s="114"/>
      <c r="IDX15" s="114"/>
      <c r="IDY15" s="114"/>
      <c r="IDZ15" s="114"/>
      <c r="IEA15" s="114"/>
      <c r="IEB15" s="114"/>
      <c r="IEC15" s="114"/>
      <c r="IED15" s="114"/>
      <c r="IEE15" s="114"/>
      <c r="IEF15" s="114"/>
      <c r="IEG15" s="114"/>
      <c r="IEH15" s="114"/>
      <c r="IEI15" s="114"/>
      <c r="IEJ15" s="114"/>
      <c r="IEK15" s="114"/>
      <c r="IEL15" s="114"/>
      <c r="IEM15" s="114"/>
      <c r="IEN15" s="114"/>
      <c r="IEO15" s="114"/>
      <c r="IEP15" s="114"/>
      <c r="IEQ15" s="114"/>
      <c r="IER15" s="114"/>
      <c r="IES15" s="114"/>
      <c r="IET15" s="114"/>
      <c r="IEU15" s="114"/>
      <c r="IEV15" s="114"/>
      <c r="IEW15" s="114"/>
      <c r="IEX15" s="114"/>
      <c r="IEY15" s="114"/>
      <c r="IEZ15" s="114"/>
      <c r="IFA15" s="114"/>
      <c r="IFB15" s="114"/>
      <c r="IFC15" s="114"/>
      <c r="IFD15" s="114"/>
      <c r="IFE15" s="114"/>
      <c r="IFF15" s="114"/>
      <c r="IFG15" s="114"/>
      <c r="IFH15" s="114"/>
      <c r="IFI15" s="114"/>
      <c r="IFJ15" s="114"/>
      <c r="IFK15" s="114"/>
      <c r="IFL15" s="114"/>
      <c r="IFM15" s="114"/>
      <c r="IFN15" s="114"/>
      <c r="IFO15" s="114"/>
      <c r="IFP15" s="114"/>
      <c r="IFQ15" s="114"/>
      <c r="IFR15" s="114"/>
      <c r="IFS15" s="114"/>
      <c r="IFT15" s="114"/>
      <c r="IFU15" s="114"/>
      <c r="IFV15" s="114"/>
      <c r="IFW15" s="114"/>
      <c r="IFX15" s="114"/>
      <c r="IFY15" s="114"/>
      <c r="IFZ15" s="114"/>
      <c r="IGA15" s="114"/>
      <c r="IGB15" s="114"/>
      <c r="IGC15" s="114"/>
      <c r="IGD15" s="114"/>
      <c r="IGE15" s="114"/>
      <c r="IGF15" s="114"/>
      <c r="IGG15" s="114"/>
      <c r="IGH15" s="114"/>
      <c r="IGI15" s="114"/>
      <c r="IGJ15" s="114"/>
      <c r="IGK15" s="114"/>
      <c r="IGL15" s="114"/>
      <c r="IGM15" s="114"/>
      <c r="IGN15" s="114"/>
      <c r="IGO15" s="114"/>
      <c r="IGP15" s="114"/>
      <c r="IGQ15" s="114"/>
      <c r="IGR15" s="114"/>
      <c r="IGS15" s="114"/>
      <c r="IGT15" s="114"/>
      <c r="IGU15" s="114"/>
      <c r="IGV15" s="114"/>
      <c r="IGW15" s="114"/>
      <c r="IGX15" s="114"/>
      <c r="IGY15" s="114"/>
      <c r="IGZ15" s="114"/>
      <c r="IHA15" s="114"/>
      <c r="IHB15" s="114"/>
      <c r="IHC15" s="114"/>
      <c r="IHD15" s="114"/>
      <c r="IHE15" s="114"/>
      <c r="IHF15" s="114"/>
      <c r="IHG15" s="114"/>
      <c r="IHH15" s="114"/>
      <c r="IHI15" s="114"/>
      <c r="IHJ15" s="114"/>
      <c r="IHK15" s="114"/>
      <c r="IHL15" s="114"/>
      <c r="IHM15" s="114"/>
      <c r="IHN15" s="114"/>
      <c r="IHO15" s="114"/>
      <c r="IHP15" s="114"/>
      <c r="IHQ15" s="114"/>
      <c r="IHR15" s="114"/>
      <c r="IHS15" s="114"/>
      <c r="IHT15" s="114"/>
      <c r="IHU15" s="114"/>
      <c r="IHV15" s="114"/>
      <c r="IHW15" s="114"/>
      <c r="IHX15" s="114"/>
      <c r="IHY15" s="114"/>
      <c r="IHZ15" s="114"/>
      <c r="IIA15" s="114"/>
      <c r="IIB15" s="114"/>
      <c r="IIC15" s="114"/>
      <c r="IID15" s="114"/>
      <c r="IIE15" s="114"/>
      <c r="IIF15" s="114"/>
      <c r="IIG15" s="114"/>
      <c r="IIH15" s="114"/>
      <c r="III15" s="114"/>
      <c r="IIJ15" s="114"/>
      <c r="IIK15" s="114"/>
      <c r="IIL15" s="114"/>
      <c r="IIM15" s="114"/>
      <c r="IIN15" s="114"/>
      <c r="IIO15" s="114"/>
      <c r="IIP15" s="114"/>
      <c r="IIQ15" s="114"/>
      <c r="IIR15" s="114"/>
      <c r="IIS15" s="114"/>
      <c r="IIT15" s="114"/>
      <c r="IIU15" s="114"/>
      <c r="IIV15" s="114"/>
      <c r="IIW15" s="114"/>
      <c r="IIX15" s="114"/>
      <c r="IIY15" s="114"/>
      <c r="IIZ15" s="114"/>
      <c r="IJA15" s="114"/>
      <c r="IJB15" s="114"/>
      <c r="IJC15" s="114"/>
      <c r="IJD15" s="114"/>
      <c r="IJE15" s="114"/>
      <c r="IJF15" s="114"/>
      <c r="IJG15" s="114"/>
      <c r="IJH15" s="114"/>
      <c r="IJI15" s="114"/>
      <c r="IJJ15" s="114"/>
      <c r="IJK15" s="114"/>
      <c r="IJL15" s="114"/>
      <c r="IJM15" s="114"/>
      <c r="IJN15" s="114"/>
      <c r="IJO15" s="114"/>
      <c r="IJP15" s="114"/>
      <c r="IJQ15" s="114"/>
      <c r="IJR15" s="114"/>
      <c r="IJS15" s="114"/>
      <c r="IJT15" s="114"/>
      <c r="IJU15" s="114"/>
      <c r="IJV15" s="114"/>
      <c r="IJW15" s="114"/>
      <c r="IJX15" s="114"/>
      <c r="IJY15" s="114"/>
      <c r="IJZ15" s="114"/>
      <c r="IKA15" s="114"/>
      <c r="IKB15" s="114"/>
      <c r="IKC15" s="114"/>
      <c r="IKD15" s="114"/>
      <c r="IKE15" s="114"/>
      <c r="IKF15" s="114"/>
      <c r="IKG15" s="114"/>
      <c r="IKH15" s="114"/>
      <c r="IKI15" s="114"/>
      <c r="IKJ15" s="114"/>
      <c r="IKK15" s="114"/>
      <c r="IKL15" s="114"/>
      <c r="IKM15" s="114"/>
      <c r="IKN15" s="114"/>
      <c r="IKO15" s="114"/>
      <c r="IKP15" s="114"/>
      <c r="IKQ15" s="114"/>
      <c r="IKR15" s="114"/>
      <c r="IKS15" s="114"/>
      <c r="IKT15" s="114"/>
      <c r="IKU15" s="114"/>
      <c r="IKV15" s="114"/>
      <c r="IKW15" s="114"/>
      <c r="IKX15" s="114"/>
      <c r="IKY15" s="114"/>
      <c r="IKZ15" s="114"/>
      <c r="ILA15" s="114"/>
      <c r="ILB15" s="114"/>
      <c r="ILC15" s="114"/>
      <c r="ILD15" s="114"/>
      <c r="ILE15" s="114"/>
      <c r="ILF15" s="114"/>
      <c r="ILG15" s="114"/>
      <c r="ILH15" s="114"/>
      <c r="ILI15" s="114"/>
      <c r="ILJ15" s="114"/>
      <c r="ILK15" s="114"/>
      <c r="ILL15" s="114"/>
      <c r="ILM15" s="114"/>
      <c r="ILN15" s="114"/>
      <c r="ILO15" s="114"/>
      <c r="ILP15" s="114"/>
      <c r="ILQ15" s="114"/>
      <c r="ILR15" s="114"/>
      <c r="ILS15" s="114"/>
      <c r="ILT15" s="114"/>
      <c r="ILU15" s="114"/>
      <c r="ILV15" s="114"/>
      <c r="ILW15" s="114"/>
      <c r="ILX15" s="114"/>
      <c r="ILY15" s="114"/>
      <c r="ILZ15" s="114"/>
      <c r="IMA15" s="114"/>
      <c r="IMB15" s="114"/>
      <c r="IMC15" s="114"/>
      <c r="IMD15" s="114"/>
      <c r="IME15" s="114"/>
      <c r="IMF15" s="114"/>
      <c r="IMG15" s="114"/>
      <c r="IMH15" s="114"/>
      <c r="IMI15" s="114"/>
      <c r="IMJ15" s="114"/>
      <c r="IMK15" s="114"/>
      <c r="IML15" s="114"/>
      <c r="IMM15" s="114"/>
      <c r="IMN15" s="114"/>
      <c r="IMO15" s="114"/>
      <c r="IMP15" s="114"/>
      <c r="IMQ15" s="114"/>
      <c r="IMR15" s="114"/>
      <c r="IMS15" s="114"/>
      <c r="IMT15" s="114"/>
      <c r="IMU15" s="114"/>
      <c r="IMV15" s="114"/>
      <c r="IMW15" s="114"/>
      <c r="IMX15" s="114"/>
      <c r="IMY15" s="114"/>
      <c r="IMZ15" s="114"/>
      <c r="INA15" s="114"/>
      <c r="INB15" s="114"/>
      <c r="INC15" s="114"/>
      <c r="IND15" s="114"/>
      <c r="INE15" s="114"/>
      <c r="INF15" s="114"/>
      <c r="ING15" s="114"/>
      <c r="INH15" s="114"/>
      <c r="INI15" s="114"/>
      <c r="INJ15" s="114"/>
      <c r="INK15" s="114"/>
      <c r="INL15" s="114"/>
      <c r="INM15" s="114"/>
      <c r="INN15" s="114"/>
      <c r="INO15" s="114"/>
      <c r="INP15" s="114"/>
      <c r="INQ15" s="114"/>
      <c r="INR15" s="114"/>
      <c r="INS15" s="114"/>
      <c r="INT15" s="114"/>
      <c r="INU15" s="114"/>
      <c r="INV15" s="114"/>
      <c r="INW15" s="114"/>
      <c r="INX15" s="114"/>
      <c r="INY15" s="114"/>
      <c r="INZ15" s="114"/>
      <c r="IOA15" s="114"/>
      <c r="IOB15" s="114"/>
      <c r="IOC15" s="114"/>
      <c r="IOD15" s="114"/>
      <c r="IOE15" s="114"/>
      <c r="IOF15" s="114"/>
      <c r="IOG15" s="114"/>
      <c r="IOH15" s="114"/>
      <c r="IOI15" s="114"/>
      <c r="IOJ15" s="114"/>
      <c r="IOK15" s="114"/>
      <c r="IOL15" s="114"/>
      <c r="IOM15" s="114"/>
      <c r="ION15" s="114"/>
      <c r="IOO15" s="114"/>
      <c r="IOP15" s="114"/>
      <c r="IOQ15" s="114"/>
      <c r="IOR15" s="114"/>
      <c r="IOS15" s="114"/>
      <c r="IOT15" s="114"/>
      <c r="IOU15" s="114"/>
      <c r="IOV15" s="114"/>
      <c r="IOW15" s="114"/>
      <c r="IOX15" s="114"/>
      <c r="IOY15" s="114"/>
      <c r="IOZ15" s="114"/>
      <c r="IPA15" s="114"/>
      <c r="IPB15" s="114"/>
      <c r="IPC15" s="114"/>
      <c r="IPD15" s="114"/>
      <c r="IPE15" s="114"/>
      <c r="IPF15" s="114"/>
      <c r="IPG15" s="114"/>
      <c r="IPH15" s="114"/>
      <c r="IPI15" s="114"/>
      <c r="IPJ15" s="114"/>
      <c r="IPK15" s="114"/>
      <c r="IPL15" s="114"/>
      <c r="IPM15" s="114"/>
      <c r="IPN15" s="114"/>
      <c r="IPO15" s="114"/>
      <c r="IPP15" s="114"/>
      <c r="IPQ15" s="114"/>
      <c r="IPR15" s="114"/>
      <c r="IPS15" s="114"/>
      <c r="IPT15" s="114"/>
      <c r="IPU15" s="114"/>
      <c r="IPV15" s="114"/>
      <c r="IPW15" s="114"/>
      <c r="IPX15" s="114"/>
      <c r="IPY15" s="114"/>
      <c r="IPZ15" s="114"/>
      <c r="IQA15" s="114"/>
      <c r="IQB15" s="114"/>
      <c r="IQC15" s="114"/>
      <c r="IQD15" s="114"/>
      <c r="IQE15" s="114"/>
      <c r="IQF15" s="114"/>
      <c r="IQG15" s="114"/>
      <c r="IQH15" s="114"/>
      <c r="IQI15" s="114"/>
      <c r="IQJ15" s="114"/>
      <c r="IQK15" s="114"/>
      <c r="IQL15" s="114"/>
      <c r="IQM15" s="114"/>
      <c r="IQN15" s="114"/>
      <c r="IQO15" s="114"/>
      <c r="IQP15" s="114"/>
      <c r="IQQ15" s="114"/>
      <c r="IQR15" s="114"/>
      <c r="IQS15" s="114"/>
      <c r="IQT15" s="114"/>
      <c r="IQU15" s="114"/>
      <c r="IQV15" s="114"/>
      <c r="IQW15" s="114"/>
      <c r="IQX15" s="114"/>
      <c r="IQY15" s="114"/>
      <c r="IQZ15" s="114"/>
      <c r="IRA15" s="114"/>
      <c r="IRB15" s="114"/>
      <c r="IRC15" s="114"/>
      <c r="IRD15" s="114"/>
      <c r="IRE15" s="114"/>
      <c r="IRF15" s="114"/>
      <c r="IRG15" s="114"/>
      <c r="IRH15" s="114"/>
      <c r="IRI15" s="114"/>
      <c r="IRJ15" s="114"/>
      <c r="IRK15" s="114"/>
      <c r="IRL15" s="114"/>
      <c r="IRM15" s="114"/>
      <c r="IRN15" s="114"/>
      <c r="IRO15" s="114"/>
      <c r="IRP15" s="114"/>
      <c r="IRQ15" s="114"/>
      <c r="IRR15" s="114"/>
      <c r="IRS15" s="114"/>
      <c r="IRT15" s="114"/>
      <c r="IRU15" s="114"/>
      <c r="IRV15" s="114"/>
      <c r="IRW15" s="114"/>
      <c r="IRX15" s="114"/>
      <c r="IRY15" s="114"/>
      <c r="IRZ15" s="114"/>
      <c r="ISA15" s="114"/>
      <c r="ISB15" s="114"/>
      <c r="ISC15" s="114"/>
      <c r="ISD15" s="114"/>
      <c r="ISE15" s="114"/>
      <c r="ISF15" s="114"/>
      <c r="ISG15" s="114"/>
      <c r="ISH15" s="114"/>
      <c r="ISI15" s="114"/>
      <c r="ISJ15" s="114"/>
      <c r="ISK15" s="114"/>
      <c r="ISL15" s="114"/>
      <c r="ISM15" s="114"/>
      <c r="ISN15" s="114"/>
      <c r="ISO15" s="114"/>
      <c r="ISP15" s="114"/>
      <c r="ISQ15" s="114"/>
      <c r="ISR15" s="114"/>
      <c r="ISS15" s="114"/>
      <c r="IST15" s="114"/>
      <c r="ISU15" s="114"/>
      <c r="ISV15" s="114"/>
      <c r="ISW15" s="114"/>
      <c r="ISX15" s="114"/>
      <c r="ISY15" s="114"/>
      <c r="ISZ15" s="114"/>
      <c r="ITA15" s="114"/>
      <c r="ITB15" s="114"/>
      <c r="ITC15" s="114"/>
      <c r="ITD15" s="114"/>
      <c r="ITE15" s="114"/>
      <c r="ITF15" s="114"/>
      <c r="ITG15" s="114"/>
      <c r="ITH15" s="114"/>
      <c r="ITI15" s="114"/>
      <c r="ITJ15" s="114"/>
      <c r="ITK15" s="114"/>
      <c r="ITL15" s="114"/>
      <c r="ITM15" s="114"/>
      <c r="ITN15" s="114"/>
      <c r="ITO15" s="114"/>
      <c r="ITP15" s="114"/>
      <c r="ITQ15" s="114"/>
      <c r="ITR15" s="114"/>
      <c r="ITS15" s="114"/>
      <c r="ITT15" s="114"/>
      <c r="ITU15" s="114"/>
      <c r="ITV15" s="114"/>
      <c r="ITW15" s="114"/>
      <c r="ITX15" s="114"/>
      <c r="ITY15" s="114"/>
      <c r="ITZ15" s="114"/>
      <c r="IUA15" s="114"/>
      <c r="IUB15" s="114"/>
      <c r="IUC15" s="114"/>
      <c r="IUD15" s="114"/>
      <c r="IUE15" s="114"/>
      <c r="IUF15" s="114"/>
      <c r="IUG15" s="114"/>
      <c r="IUH15" s="114"/>
      <c r="IUI15" s="114"/>
      <c r="IUJ15" s="114"/>
      <c r="IUK15" s="114"/>
      <c r="IUL15" s="114"/>
      <c r="IUM15" s="114"/>
      <c r="IUN15" s="114"/>
      <c r="IUO15" s="114"/>
      <c r="IUP15" s="114"/>
      <c r="IUQ15" s="114"/>
      <c r="IUR15" s="114"/>
      <c r="IUS15" s="114"/>
      <c r="IUT15" s="114"/>
      <c r="IUU15" s="114"/>
      <c r="IUV15" s="114"/>
      <c r="IUW15" s="114"/>
      <c r="IUX15" s="114"/>
      <c r="IUY15" s="114"/>
      <c r="IUZ15" s="114"/>
      <c r="IVA15" s="114"/>
      <c r="IVB15" s="114"/>
      <c r="IVC15" s="114"/>
      <c r="IVD15" s="114"/>
      <c r="IVE15" s="114"/>
      <c r="IVF15" s="114"/>
      <c r="IVG15" s="114"/>
      <c r="IVH15" s="114"/>
      <c r="IVI15" s="114"/>
      <c r="IVJ15" s="114"/>
      <c r="IVK15" s="114"/>
      <c r="IVL15" s="114"/>
      <c r="IVM15" s="114"/>
      <c r="IVN15" s="114"/>
      <c r="IVO15" s="114"/>
      <c r="IVP15" s="114"/>
      <c r="IVQ15" s="114"/>
      <c r="IVR15" s="114"/>
      <c r="IVS15" s="114"/>
      <c r="IVT15" s="114"/>
      <c r="IVU15" s="114"/>
      <c r="IVV15" s="114"/>
      <c r="IVW15" s="114"/>
      <c r="IVX15" s="114"/>
      <c r="IVY15" s="114"/>
      <c r="IVZ15" s="114"/>
      <c r="IWA15" s="114"/>
      <c r="IWB15" s="114"/>
      <c r="IWC15" s="114"/>
      <c r="IWD15" s="114"/>
      <c r="IWE15" s="114"/>
      <c r="IWF15" s="114"/>
      <c r="IWG15" s="114"/>
      <c r="IWH15" s="114"/>
      <c r="IWI15" s="114"/>
      <c r="IWJ15" s="114"/>
      <c r="IWK15" s="114"/>
      <c r="IWL15" s="114"/>
      <c r="IWM15" s="114"/>
      <c r="IWN15" s="114"/>
      <c r="IWO15" s="114"/>
      <c r="IWP15" s="114"/>
      <c r="IWQ15" s="114"/>
      <c r="IWR15" s="114"/>
      <c r="IWS15" s="114"/>
      <c r="IWT15" s="114"/>
      <c r="IWU15" s="114"/>
      <c r="IWV15" s="114"/>
      <c r="IWW15" s="114"/>
      <c r="IWX15" s="114"/>
      <c r="IWY15" s="114"/>
      <c r="IWZ15" s="114"/>
      <c r="IXA15" s="114"/>
      <c r="IXB15" s="114"/>
      <c r="IXC15" s="114"/>
      <c r="IXD15" s="114"/>
      <c r="IXE15" s="114"/>
      <c r="IXF15" s="114"/>
      <c r="IXG15" s="114"/>
      <c r="IXH15" s="114"/>
      <c r="IXI15" s="114"/>
      <c r="IXJ15" s="114"/>
      <c r="IXK15" s="114"/>
      <c r="IXL15" s="114"/>
      <c r="IXM15" s="114"/>
      <c r="IXN15" s="114"/>
      <c r="IXO15" s="114"/>
      <c r="IXP15" s="114"/>
      <c r="IXQ15" s="114"/>
      <c r="IXR15" s="114"/>
      <c r="IXS15" s="114"/>
      <c r="IXT15" s="114"/>
      <c r="IXU15" s="114"/>
      <c r="IXV15" s="114"/>
      <c r="IXW15" s="114"/>
      <c r="IXX15" s="114"/>
      <c r="IXY15" s="114"/>
      <c r="IXZ15" s="114"/>
      <c r="IYA15" s="114"/>
      <c r="IYB15" s="114"/>
      <c r="IYC15" s="114"/>
      <c r="IYD15" s="114"/>
      <c r="IYE15" s="114"/>
      <c r="IYF15" s="114"/>
      <c r="IYG15" s="114"/>
      <c r="IYH15" s="114"/>
      <c r="IYI15" s="114"/>
      <c r="IYJ15" s="114"/>
      <c r="IYK15" s="114"/>
      <c r="IYL15" s="114"/>
      <c r="IYM15" s="114"/>
      <c r="IYN15" s="114"/>
      <c r="IYO15" s="114"/>
      <c r="IYP15" s="114"/>
      <c r="IYQ15" s="114"/>
      <c r="IYR15" s="114"/>
      <c r="IYS15" s="114"/>
      <c r="IYT15" s="114"/>
      <c r="IYU15" s="114"/>
      <c r="IYV15" s="114"/>
      <c r="IYW15" s="114"/>
      <c r="IYX15" s="114"/>
      <c r="IYY15" s="114"/>
      <c r="IYZ15" s="114"/>
      <c r="IZA15" s="114"/>
      <c r="IZB15" s="114"/>
      <c r="IZC15" s="114"/>
      <c r="IZD15" s="114"/>
      <c r="IZE15" s="114"/>
      <c r="IZF15" s="114"/>
      <c r="IZG15" s="114"/>
      <c r="IZH15" s="114"/>
      <c r="IZI15" s="114"/>
      <c r="IZJ15" s="114"/>
      <c r="IZK15" s="114"/>
      <c r="IZL15" s="114"/>
      <c r="IZM15" s="114"/>
      <c r="IZN15" s="114"/>
      <c r="IZO15" s="114"/>
      <c r="IZP15" s="114"/>
      <c r="IZQ15" s="114"/>
      <c r="IZR15" s="114"/>
      <c r="IZS15" s="114"/>
      <c r="IZT15" s="114"/>
      <c r="IZU15" s="114"/>
      <c r="IZV15" s="114"/>
      <c r="IZW15" s="114"/>
      <c r="IZX15" s="114"/>
      <c r="IZY15" s="114"/>
      <c r="IZZ15" s="114"/>
      <c r="JAA15" s="114"/>
      <c r="JAB15" s="114"/>
      <c r="JAC15" s="114"/>
      <c r="JAD15" s="114"/>
      <c r="JAE15" s="114"/>
      <c r="JAF15" s="114"/>
      <c r="JAG15" s="114"/>
      <c r="JAH15" s="114"/>
      <c r="JAI15" s="114"/>
      <c r="JAJ15" s="114"/>
      <c r="JAK15" s="114"/>
      <c r="JAL15" s="114"/>
      <c r="JAM15" s="114"/>
      <c r="JAN15" s="114"/>
      <c r="JAO15" s="114"/>
      <c r="JAP15" s="114"/>
      <c r="JAQ15" s="114"/>
      <c r="JAR15" s="114"/>
      <c r="JAS15" s="114"/>
      <c r="JAT15" s="114"/>
      <c r="JAU15" s="114"/>
      <c r="JAV15" s="114"/>
      <c r="JAW15" s="114"/>
      <c r="JAX15" s="114"/>
      <c r="JAY15" s="114"/>
      <c r="JAZ15" s="114"/>
      <c r="JBA15" s="114"/>
      <c r="JBB15" s="114"/>
      <c r="JBC15" s="114"/>
      <c r="JBD15" s="114"/>
      <c r="JBE15" s="114"/>
      <c r="JBF15" s="114"/>
      <c r="JBG15" s="114"/>
      <c r="JBH15" s="114"/>
      <c r="JBI15" s="114"/>
      <c r="JBJ15" s="114"/>
      <c r="JBK15" s="114"/>
      <c r="JBL15" s="114"/>
      <c r="JBM15" s="114"/>
      <c r="JBN15" s="114"/>
      <c r="JBO15" s="114"/>
      <c r="JBP15" s="114"/>
      <c r="JBQ15" s="114"/>
      <c r="JBR15" s="114"/>
      <c r="JBS15" s="114"/>
      <c r="JBT15" s="114"/>
      <c r="JBU15" s="114"/>
      <c r="JBV15" s="114"/>
      <c r="JBW15" s="114"/>
      <c r="JBX15" s="114"/>
      <c r="JBY15" s="114"/>
      <c r="JBZ15" s="114"/>
      <c r="JCA15" s="114"/>
      <c r="JCB15" s="114"/>
      <c r="JCC15" s="114"/>
      <c r="JCD15" s="114"/>
      <c r="JCE15" s="114"/>
      <c r="JCF15" s="114"/>
      <c r="JCG15" s="114"/>
      <c r="JCH15" s="114"/>
      <c r="JCI15" s="114"/>
      <c r="JCJ15" s="114"/>
      <c r="JCK15" s="114"/>
      <c r="JCL15" s="114"/>
      <c r="JCM15" s="114"/>
      <c r="JCN15" s="114"/>
      <c r="JCO15" s="114"/>
      <c r="JCP15" s="114"/>
      <c r="JCQ15" s="114"/>
      <c r="JCR15" s="114"/>
      <c r="JCS15" s="114"/>
      <c r="JCT15" s="114"/>
      <c r="JCU15" s="114"/>
      <c r="JCV15" s="114"/>
      <c r="JCW15" s="114"/>
      <c r="JCX15" s="114"/>
      <c r="JCY15" s="114"/>
      <c r="JCZ15" s="114"/>
      <c r="JDA15" s="114"/>
      <c r="JDB15" s="114"/>
      <c r="JDC15" s="114"/>
      <c r="JDD15" s="114"/>
      <c r="JDE15" s="114"/>
      <c r="JDF15" s="114"/>
      <c r="JDG15" s="114"/>
      <c r="JDH15" s="114"/>
      <c r="JDI15" s="114"/>
      <c r="JDJ15" s="114"/>
      <c r="JDK15" s="114"/>
      <c r="JDL15" s="114"/>
      <c r="JDM15" s="114"/>
      <c r="JDN15" s="114"/>
      <c r="JDO15" s="114"/>
      <c r="JDP15" s="114"/>
      <c r="JDQ15" s="114"/>
      <c r="JDR15" s="114"/>
      <c r="JDS15" s="114"/>
      <c r="JDT15" s="114"/>
      <c r="JDU15" s="114"/>
      <c r="JDV15" s="114"/>
      <c r="JDW15" s="114"/>
      <c r="JDX15" s="114"/>
      <c r="JDY15" s="114"/>
      <c r="JDZ15" s="114"/>
      <c r="JEA15" s="114"/>
      <c r="JEB15" s="114"/>
      <c r="JEC15" s="114"/>
      <c r="JED15" s="114"/>
      <c r="JEE15" s="114"/>
      <c r="JEF15" s="114"/>
      <c r="JEG15" s="114"/>
      <c r="JEH15" s="114"/>
      <c r="JEI15" s="114"/>
      <c r="JEJ15" s="114"/>
      <c r="JEK15" s="114"/>
      <c r="JEL15" s="114"/>
      <c r="JEM15" s="114"/>
      <c r="JEN15" s="114"/>
      <c r="JEO15" s="114"/>
      <c r="JEP15" s="114"/>
      <c r="JEQ15" s="114"/>
      <c r="JER15" s="114"/>
      <c r="JES15" s="114"/>
      <c r="JET15" s="114"/>
      <c r="JEU15" s="114"/>
      <c r="JEV15" s="114"/>
      <c r="JEW15" s="114"/>
      <c r="JEX15" s="114"/>
      <c r="JEY15" s="114"/>
      <c r="JEZ15" s="114"/>
      <c r="JFA15" s="114"/>
      <c r="JFB15" s="114"/>
      <c r="JFC15" s="114"/>
      <c r="JFD15" s="114"/>
      <c r="JFE15" s="114"/>
      <c r="JFF15" s="114"/>
      <c r="JFG15" s="114"/>
      <c r="JFH15" s="114"/>
      <c r="JFI15" s="114"/>
      <c r="JFJ15" s="114"/>
      <c r="JFK15" s="114"/>
      <c r="JFL15" s="114"/>
      <c r="JFM15" s="114"/>
      <c r="JFN15" s="114"/>
      <c r="JFO15" s="114"/>
      <c r="JFP15" s="114"/>
      <c r="JFQ15" s="114"/>
      <c r="JFR15" s="114"/>
      <c r="JFS15" s="114"/>
      <c r="JFT15" s="114"/>
      <c r="JFU15" s="114"/>
      <c r="JFV15" s="114"/>
      <c r="JFW15" s="114"/>
      <c r="JFX15" s="114"/>
      <c r="JFY15" s="114"/>
      <c r="JFZ15" s="114"/>
      <c r="JGA15" s="114"/>
      <c r="JGB15" s="114"/>
      <c r="JGC15" s="114"/>
      <c r="JGD15" s="114"/>
      <c r="JGE15" s="114"/>
      <c r="JGF15" s="114"/>
      <c r="JGG15" s="114"/>
      <c r="JGH15" s="114"/>
      <c r="JGI15" s="114"/>
      <c r="JGJ15" s="114"/>
      <c r="JGK15" s="114"/>
      <c r="JGL15" s="114"/>
      <c r="JGM15" s="114"/>
      <c r="JGN15" s="114"/>
      <c r="JGO15" s="114"/>
      <c r="JGP15" s="114"/>
      <c r="JGQ15" s="114"/>
      <c r="JGR15" s="114"/>
      <c r="JGS15" s="114"/>
      <c r="JGT15" s="114"/>
      <c r="JGU15" s="114"/>
      <c r="JGV15" s="114"/>
      <c r="JGW15" s="114"/>
      <c r="JGX15" s="114"/>
      <c r="JGY15" s="114"/>
      <c r="JGZ15" s="114"/>
      <c r="JHA15" s="114"/>
      <c r="JHB15" s="114"/>
      <c r="JHC15" s="114"/>
      <c r="JHD15" s="114"/>
      <c r="JHE15" s="114"/>
      <c r="JHF15" s="114"/>
      <c r="JHG15" s="114"/>
      <c r="JHH15" s="114"/>
      <c r="JHI15" s="114"/>
      <c r="JHJ15" s="114"/>
      <c r="JHK15" s="114"/>
      <c r="JHL15" s="114"/>
      <c r="JHM15" s="114"/>
      <c r="JHN15" s="114"/>
      <c r="JHO15" s="114"/>
      <c r="JHP15" s="114"/>
      <c r="JHQ15" s="114"/>
      <c r="JHR15" s="114"/>
      <c r="JHS15" s="114"/>
      <c r="JHT15" s="114"/>
      <c r="JHU15" s="114"/>
      <c r="JHV15" s="114"/>
      <c r="JHW15" s="114"/>
      <c r="JHX15" s="114"/>
      <c r="JHY15" s="114"/>
      <c r="JHZ15" s="114"/>
      <c r="JIA15" s="114"/>
      <c r="JIB15" s="114"/>
      <c r="JIC15" s="114"/>
      <c r="JID15" s="114"/>
      <c r="JIE15" s="114"/>
      <c r="JIF15" s="114"/>
      <c r="JIG15" s="114"/>
      <c r="JIH15" s="114"/>
      <c r="JII15" s="114"/>
      <c r="JIJ15" s="114"/>
      <c r="JIK15" s="114"/>
      <c r="JIL15" s="114"/>
      <c r="JIM15" s="114"/>
      <c r="JIN15" s="114"/>
      <c r="JIO15" s="114"/>
      <c r="JIP15" s="114"/>
      <c r="JIQ15" s="114"/>
      <c r="JIR15" s="114"/>
      <c r="JIS15" s="114"/>
      <c r="JIT15" s="114"/>
      <c r="JIU15" s="114"/>
      <c r="JIV15" s="114"/>
      <c r="JIW15" s="114"/>
      <c r="JIX15" s="114"/>
      <c r="JIY15" s="114"/>
      <c r="JIZ15" s="114"/>
      <c r="JJA15" s="114"/>
      <c r="JJB15" s="114"/>
      <c r="JJC15" s="114"/>
      <c r="JJD15" s="114"/>
      <c r="JJE15" s="114"/>
      <c r="JJF15" s="114"/>
      <c r="JJG15" s="114"/>
      <c r="JJH15" s="114"/>
      <c r="JJI15" s="114"/>
      <c r="JJJ15" s="114"/>
      <c r="JJK15" s="114"/>
      <c r="JJL15" s="114"/>
      <c r="JJM15" s="114"/>
      <c r="JJN15" s="114"/>
      <c r="JJO15" s="114"/>
      <c r="JJP15" s="114"/>
      <c r="JJQ15" s="114"/>
      <c r="JJR15" s="114"/>
      <c r="JJS15" s="114"/>
      <c r="JJT15" s="114"/>
      <c r="JJU15" s="114"/>
      <c r="JJV15" s="114"/>
      <c r="JJW15" s="114"/>
      <c r="JJX15" s="114"/>
      <c r="JJY15" s="114"/>
      <c r="JJZ15" s="114"/>
      <c r="JKA15" s="114"/>
      <c r="JKB15" s="114"/>
      <c r="JKC15" s="114"/>
      <c r="JKD15" s="114"/>
      <c r="JKE15" s="114"/>
      <c r="JKF15" s="114"/>
      <c r="JKG15" s="114"/>
      <c r="JKH15" s="114"/>
      <c r="JKI15" s="114"/>
      <c r="JKJ15" s="114"/>
      <c r="JKK15" s="114"/>
      <c r="JKL15" s="114"/>
      <c r="JKM15" s="114"/>
      <c r="JKN15" s="114"/>
      <c r="JKO15" s="114"/>
      <c r="JKP15" s="114"/>
      <c r="JKQ15" s="114"/>
      <c r="JKR15" s="114"/>
      <c r="JKS15" s="114"/>
      <c r="JKT15" s="114"/>
      <c r="JKU15" s="114"/>
      <c r="JKV15" s="114"/>
      <c r="JKW15" s="114"/>
      <c r="JKX15" s="114"/>
      <c r="JKY15" s="114"/>
      <c r="JKZ15" s="114"/>
      <c r="JLA15" s="114"/>
      <c r="JLB15" s="114"/>
      <c r="JLC15" s="114"/>
      <c r="JLD15" s="114"/>
      <c r="JLE15" s="114"/>
      <c r="JLF15" s="114"/>
      <c r="JLG15" s="114"/>
      <c r="JLH15" s="114"/>
      <c r="JLI15" s="114"/>
      <c r="JLJ15" s="114"/>
      <c r="JLK15" s="114"/>
      <c r="JLL15" s="114"/>
      <c r="JLM15" s="114"/>
      <c r="JLN15" s="114"/>
      <c r="JLO15" s="114"/>
      <c r="JLP15" s="114"/>
      <c r="JLQ15" s="114"/>
      <c r="JLR15" s="114"/>
      <c r="JLS15" s="114"/>
      <c r="JLT15" s="114"/>
      <c r="JLU15" s="114"/>
      <c r="JLV15" s="114"/>
      <c r="JLW15" s="114"/>
      <c r="JLX15" s="114"/>
      <c r="JLY15" s="114"/>
      <c r="JLZ15" s="114"/>
      <c r="JMA15" s="114"/>
      <c r="JMB15" s="114"/>
      <c r="JMC15" s="114"/>
      <c r="JMD15" s="114"/>
      <c r="JME15" s="114"/>
      <c r="JMF15" s="114"/>
      <c r="JMG15" s="114"/>
      <c r="JMH15" s="114"/>
      <c r="JMI15" s="114"/>
      <c r="JMJ15" s="114"/>
      <c r="JMK15" s="114"/>
      <c r="JML15" s="114"/>
      <c r="JMM15" s="114"/>
      <c r="JMN15" s="114"/>
      <c r="JMO15" s="114"/>
      <c r="JMP15" s="114"/>
      <c r="JMQ15" s="114"/>
      <c r="JMR15" s="114"/>
      <c r="JMS15" s="114"/>
      <c r="JMT15" s="114"/>
      <c r="JMU15" s="114"/>
      <c r="JMV15" s="114"/>
      <c r="JMW15" s="114"/>
      <c r="JMX15" s="114"/>
      <c r="JMY15" s="114"/>
      <c r="JMZ15" s="114"/>
      <c r="JNA15" s="114"/>
      <c r="JNB15" s="114"/>
      <c r="JNC15" s="114"/>
      <c r="JND15" s="114"/>
      <c r="JNE15" s="114"/>
      <c r="JNF15" s="114"/>
      <c r="JNG15" s="114"/>
      <c r="JNH15" s="114"/>
      <c r="JNI15" s="114"/>
      <c r="JNJ15" s="114"/>
      <c r="JNK15" s="114"/>
      <c r="JNL15" s="114"/>
      <c r="JNM15" s="114"/>
      <c r="JNN15" s="114"/>
      <c r="JNO15" s="114"/>
      <c r="JNP15" s="114"/>
      <c r="JNQ15" s="114"/>
      <c r="JNR15" s="114"/>
      <c r="JNS15" s="114"/>
      <c r="JNT15" s="114"/>
      <c r="JNU15" s="114"/>
      <c r="JNV15" s="114"/>
      <c r="JNW15" s="114"/>
      <c r="JNX15" s="114"/>
      <c r="JNY15" s="114"/>
      <c r="JNZ15" s="114"/>
      <c r="JOA15" s="114"/>
      <c r="JOB15" s="114"/>
      <c r="JOC15" s="114"/>
      <c r="JOD15" s="114"/>
      <c r="JOE15" s="114"/>
      <c r="JOF15" s="114"/>
      <c r="JOG15" s="114"/>
      <c r="JOH15" s="114"/>
      <c r="JOI15" s="114"/>
      <c r="JOJ15" s="114"/>
      <c r="JOK15" s="114"/>
      <c r="JOL15" s="114"/>
      <c r="JOM15" s="114"/>
      <c r="JON15" s="114"/>
      <c r="JOO15" s="114"/>
      <c r="JOP15" s="114"/>
      <c r="JOQ15" s="114"/>
      <c r="JOR15" s="114"/>
      <c r="JOS15" s="114"/>
      <c r="JOT15" s="114"/>
      <c r="JOU15" s="114"/>
      <c r="JOV15" s="114"/>
      <c r="JOW15" s="114"/>
      <c r="JOX15" s="114"/>
      <c r="JOY15" s="114"/>
      <c r="JOZ15" s="114"/>
      <c r="JPA15" s="114"/>
      <c r="JPB15" s="114"/>
      <c r="JPC15" s="114"/>
      <c r="JPD15" s="114"/>
      <c r="JPE15" s="114"/>
      <c r="JPF15" s="114"/>
      <c r="JPG15" s="114"/>
      <c r="JPH15" s="114"/>
      <c r="JPI15" s="114"/>
      <c r="JPJ15" s="114"/>
      <c r="JPK15" s="114"/>
      <c r="JPL15" s="114"/>
      <c r="JPM15" s="114"/>
      <c r="JPN15" s="114"/>
      <c r="JPO15" s="114"/>
      <c r="JPP15" s="114"/>
      <c r="JPQ15" s="114"/>
      <c r="JPR15" s="114"/>
      <c r="JPS15" s="114"/>
      <c r="JPT15" s="114"/>
      <c r="JPU15" s="114"/>
      <c r="JPV15" s="114"/>
      <c r="JPW15" s="114"/>
      <c r="JPX15" s="114"/>
      <c r="JPY15" s="114"/>
      <c r="JPZ15" s="114"/>
      <c r="JQA15" s="114"/>
      <c r="JQB15" s="114"/>
      <c r="JQC15" s="114"/>
      <c r="JQD15" s="114"/>
      <c r="JQE15" s="114"/>
      <c r="JQF15" s="114"/>
      <c r="JQG15" s="114"/>
      <c r="JQH15" s="114"/>
      <c r="JQI15" s="114"/>
      <c r="JQJ15" s="114"/>
      <c r="JQK15" s="114"/>
      <c r="JQL15" s="114"/>
      <c r="JQM15" s="114"/>
      <c r="JQN15" s="114"/>
      <c r="JQO15" s="114"/>
      <c r="JQP15" s="114"/>
      <c r="JQQ15" s="114"/>
      <c r="JQR15" s="114"/>
      <c r="JQS15" s="114"/>
      <c r="JQT15" s="114"/>
      <c r="JQU15" s="114"/>
      <c r="JQV15" s="114"/>
      <c r="JQW15" s="114"/>
      <c r="JQX15" s="114"/>
      <c r="JQY15" s="114"/>
      <c r="JQZ15" s="114"/>
      <c r="JRA15" s="114"/>
      <c r="JRB15" s="114"/>
      <c r="JRC15" s="114"/>
      <c r="JRD15" s="114"/>
      <c r="JRE15" s="114"/>
      <c r="JRF15" s="114"/>
      <c r="JRG15" s="114"/>
      <c r="JRH15" s="114"/>
      <c r="JRI15" s="114"/>
      <c r="JRJ15" s="114"/>
      <c r="JRK15" s="114"/>
      <c r="JRL15" s="114"/>
      <c r="JRM15" s="114"/>
      <c r="JRN15" s="114"/>
      <c r="JRO15" s="114"/>
      <c r="JRP15" s="114"/>
      <c r="JRQ15" s="114"/>
      <c r="JRR15" s="114"/>
      <c r="JRS15" s="114"/>
      <c r="JRT15" s="114"/>
      <c r="JRU15" s="114"/>
      <c r="JRV15" s="114"/>
      <c r="JRW15" s="114"/>
      <c r="JRX15" s="114"/>
      <c r="JRY15" s="114"/>
      <c r="JRZ15" s="114"/>
      <c r="JSA15" s="114"/>
      <c r="JSB15" s="114"/>
      <c r="JSC15" s="114"/>
      <c r="JSD15" s="114"/>
      <c r="JSE15" s="114"/>
      <c r="JSF15" s="114"/>
      <c r="JSG15" s="114"/>
      <c r="JSH15" s="114"/>
      <c r="JSI15" s="114"/>
      <c r="JSJ15" s="114"/>
      <c r="JSK15" s="114"/>
      <c r="JSL15" s="114"/>
      <c r="JSM15" s="114"/>
      <c r="JSN15" s="114"/>
      <c r="JSO15" s="114"/>
      <c r="JSP15" s="114"/>
      <c r="JSQ15" s="114"/>
      <c r="JSR15" s="114"/>
      <c r="JSS15" s="114"/>
      <c r="JST15" s="114"/>
      <c r="JSU15" s="114"/>
      <c r="JSV15" s="114"/>
      <c r="JSW15" s="114"/>
      <c r="JSX15" s="114"/>
      <c r="JSY15" s="114"/>
      <c r="JSZ15" s="114"/>
      <c r="JTA15" s="114"/>
      <c r="JTB15" s="114"/>
      <c r="JTC15" s="114"/>
      <c r="JTD15" s="114"/>
      <c r="JTE15" s="114"/>
      <c r="JTF15" s="114"/>
      <c r="JTG15" s="114"/>
      <c r="JTH15" s="114"/>
      <c r="JTI15" s="114"/>
      <c r="JTJ15" s="114"/>
      <c r="JTK15" s="114"/>
      <c r="JTL15" s="114"/>
      <c r="JTM15" s="114"/>
      <c r="JTN15" s="114"/>
      <c r="JTO15" s="114"/>
      <c r="JTP15" s="114"/>
      <c r="JTQ15" s="114"/>
      <c r="JTR15" s="114"/>
      <c r="JTS15" s="114"/>
      <c r="JTT15" s="114"/>
      <c r="JTU15" s="114"/>
      <c r="JTV15" s="114"/>
      <c r="JTW15" s="114"/>
      <c r="JTX15" s="114"/>
      <c r="JTY15" s="114"/>
      <c r="JTZ15" s="114"/>
      <c r="JUA15" s="114"/>
      <c r="JUB15" s="114"/>
      <c r="JUC15" s="114"/>
      <c r="JUD15" s="114"/>
      <c r="JUE15" s="114"/>
      <c r="JUF15" s="114"/>
      <c r="JUG15" s="114"/>
      <c r="JUH15" s="114"/>
      <c r="JUI15" s="114"/>
      <c r="JUJ15" s="114"/>
      <c r="JUK15" s="114"/>
      <c r="JUL15" s="114"/>
      <c r="JUM15" s="114"/>
      <c r="JUN15" s="114"/>
      <c r="JUO15" s="114"/>
      <c r="JUP15" s="114"/>
      <c r="JUQ15" s="114"/>
      <c r="JUR15" s="114"/>
      <c r="JUS15" s="114"/>
      <c r="JUT15" s="114"/>
      <c r="JUU15" s="114"/>
      <c r="JUV15" s="114"/>
      <c r="JUW15" s="114"/>
      <c r="JUX15" s="114"/>
      <c r="JUY15" s="114"/>
      <c r="JUZ15" s="114"/>
      <c r="JVA15" s="114"/>
      <c r="JVB15" s="114"/>
      <c r="JVC15" s="114"/>
      <c r="JVD15" s="114"/>
      <c r="JVE15" s="114"/>
      <c r="JVF15" s="114"/>
      <c r="JVG15" s="114"/>
      <c r="JVH15" s="114"/>
      <c r="JVI15" s="114"/>
      <c r="JVJ15" s="114"/>
      <c r="JVK15" s="114"/>
      <c r="JVL15" s="114"/>
      <c r="JVM15" s="114"/>
      <c r="JVN15" s="114"/>
      <c r="JVO15" s="114"/>
      <c r="JVP15" s="114"/>
      <c r="JVQ15" s="114"/>
      <c r="JVR15" s="114"/>
      <c r="JVS15" s="114"/>
      <c r="JVT15" s="114"/>
      <c r="JVU15" s="114"/>
      <c r="JVV15" s="114"/>
      <c r="JVW15" s="114"/>
      <c r="JVX15" s="114"/>
      <c r="JVY15" s="114"/>
      <c r="JVZ15" s="114"/>
      <c r="JWA15" s="114"/>
      <c r="JWB15" s="114"/>
      <c r="JWC15" s="114"/>
      <c r="JWD15" s="114"/>
      <c r="JWE15" s="114"/>
      <c r="JWF15" s="114"/>
      <c r="JWG15" s="114"/>
      <c r="JWH15" s="114"/>
      <c r="JWI15" s="114"/>
      <c r="JWJ15" s="114"/>
      <c r="JWK15" s="114"/>
      <c r="JWL15" s="114"/>
      <c r="JWM15" s="114"/>
      <c r="JWN15" s="114"/>
      <c r="JWO15" s="114"/>
      <c r="JWP15" s="114"/>
      <c r="JWQ15" s="114"/>
      <c r="JWR15" s="114"/>
      <c r="JWS15" s="114"/>
      <c r="JWT15" s="114"/>
      <c r="JWU15" s="114"/>
      <c r="JWV15" s="114"/>
      <c r="JWW15" s="114"/>
      <c r="JWX15" s="114"/>
      <c r="JWY15" s="114"/>
      <c r="JWZ15" s="114"/>
      <c r="JXA15" s="114"/>
      <c r="JXB15" s="114"/>
      <c r="JXC15" s="114"/>
      <c r="JXD15" s="114"/>
      <c r="JXE15" s="114"/>
      <c r="JXF15" s="114"/>
      <c r="JXG15" s="114"/>
      <c r="JXH15" s="114"/>
      <c r="JXI15" s="114"/>
      <c r="JXJ15" s="114"/>
      <c r="JXK15" s="114"/>
      <c r="JXL15" s="114"/>
      <c r="JXM15" s="114"/>
      <c r="JXN15" s="114"/>
      <c r="JXO15" s="114"/>
      <c r="JXP15" s="114"/>
      <c r="JXQ15" s="114"/>
      <c r="JXR15" s="114"/>
      <c r="JXS15" s="114"/>
      <c r="JXT15" s="114"/>
      <c r="JXU15" s="114"/>
      <c r="JXV15" s="114"/>
      <c r="JXW15" s="114"/>
      <c r="JXX15" s="114"/>
      <c r="JXY15" s="114"/>
      <c r="JXZ15" s="114"/>
      <c r="JYA15" s="114"/>
      <c r="JYB15" s="114"/>
      <c r="JYC15" s="114"/>
      <c r="JYD15" s="114"/>
      <c r="JYE15" s="114"/>
      <c r="JYF15" s="114"/>
      <c r="JYG15" s="114"/>
      <c r="JYH15" s="114"/>
      <c r="JYI15" s="114"/>
      <c r="JYJ15" s="114"/>
      <c r="JYK15" s="114"/>
      <c r="JYL15" s="114"/>
      <c r="JYM15" s="114"/>
      <c r="JYN15" s="114"/>
      <c r="JYO15" s="114"/>
      <c r="JYP15" s="114"/>
      <c r="JYQ15" s="114"/>
      <c r="JYR15" s="114"/>
      <c r="JYS15" s="114"/>
      <c r="JYT15" s="114"/>
      <c r="JYU15" s="114"/>
      <c r="JYV15" s="114"/>
      <c r="JYW15" s="114"/>
      <c r="JYX15" s="114"/>
      <c r="JYY15" s="114"/>
      <c r="JYZ15" s="114"/>
      <c r="JZA15" s="114"/>
      <c r="JZB15" s="114"/>
      <c r="JZC15" s="114"/>
      <c r="JZD15" s="114"/>
      <c r="JZE15" s="114"/>
      <c r="JZF15" s="114"/>
      <c r="JZG15" s="114"/>
      <c r="JZH15" s="114"/>
      <c r="JZI15" s="114"/>
      <c r="JZJ15" s="114"/>
      <c r="JZK15" s="114"/>
      <c r="JZL15" s="114"/>
      <c r="JZM15" s="114"/>
      <c r="JZN15" s="114"/>
      <c r="JZO15" s="114"/>
      <c r="JZP15" s="114"/>
      <c r="JZQ15" s="114"/>
      <c r="JZR15" s="114"/>
      <c r="JZS15" s="114"/>
      <c r="JZT15" s="114"/>
      <c r="JZU15" s="114"/>
      <c r="JZV15" s="114"/>
      <c r="JZW15" s="114"/>
      <c r="JZX15" s="114"/>
      <c r="JZY15" s="114"/>
      <c r="JZZ15" s="114"/>
      <c r="KAA15" s="114"/>
      <c r="KAB15" s="114"/>
      <c r="KAC15" s="114"/>
      <c r="KAD15" s="114"/>
      <c r="KAE15" s="114"/>
      <c r="KAF15" s="114"/>
      <c r="KAG15" s="114"/>
      <c r="KAH15" s="114"/>
      <c r="KAI15" s="114"/>
      <c r="KAJ15" s="114"/>
      <c r="KAK15" s="114"/>
      <c r="KAL15" s="114"/>
      <c r="KAM15" s="114"/>
      <c r="KAN15" s="114"/>
      <c r="KAO15" s="114"/>
      <c r="KAP15" s="114"/>
      <c r="KAQ15" s="114"/>
      <c r="KAR15" s="114"/>
      <c r="KAS15" s="114"/>
      <c r="KAT15" s="114"/>
      <c r="KAU15" s="114"/>
      <c r="KAV15" s="114"/>
      <c r="KAW15" s="114"/>
      <c r="KAX15" s="114"/>
      <c r="KAY15" s="114"/>
      <c r="KAZ15" s="114"/>
      <c r="KBA15" s="114"/>
      <c r="KBB15" s="114"/>
      <c r="KBC15" s="114"/>
      <c r="KBD15" s="114"/>
      <c r="KBE15" s="114"/>
      <c r="KBF15" s="114"/>
      <c r="KBG15" s="114"/>
      <c r="KBH15" s="114"/>
      <c r="KBI15" s="114"/>
      <c r="KBJ15" s="114"/>
      <c r="KBK15" s="114"/>
      <c r="KBL15" s="114"/>
      <c r="KBM15" s="114"/>
      <c r="KBN15" s="114"/>
      <c r="KBO15" s="114"/>
      <c r="KBP15" s="114"/>
      <c r="KBQ15" s="114"/>
      <c r="KBR15" s="114"/>
      <c r="KBS15" s="114"/>
      <c r="KBT15" s="114"/>
      <c r="KBU15" s="114"/>
      <c r="KBV15" s="114"/>
      <c r="KBW15" s="114"/>
      <c r="KBX15" s="114"/>
      <c r="KBY15" s="114"/>
      <c r="KBZ15" s="114"/>
      <c r="KCA15" s="114"/>
      <c r="KCB15" s="114"/>
      <c r="KCC15" s="114"/>
      <c r="KCD15" s="114"/>
      <c r="KCE15" s="114"/>
      <c r="KCF15" s="114"/>
      <c r="KCG15" s="114"/>
      <c r="KCH15" s="114"/>
      <c r="KCI15" s="114"/>
      <c r="KCJ15" s="114"/>
      <c r="KCK15" s="114"/>
      <c r="KCL15" s="114"/>
      <c r="KCM15" s="114"/>
      <c r="KCN15" s="114"/>
      <c r="KCO15" s="114"/>
      <c r="KCP15" s="114"/>
      <c r="KCQ15" s="114"/>
      <c r="KCR15" s="114"/>
      <c r="KCS15" s="114"/>
      <c r="KCT15" s="114"/>
      <c r="KCU15" s="114"/>
      <c r="KCV15" s="114"/>
      <c r="KCW15" s="114"/>
      <c r="KCX15" s="114"/>
      <c r="KCY15" s="114"/>
      <c r="KCZ15" s="114"/>
      <c r="KDA15" s="114"/>
      <c r="KDB15" s="114"/>
      <c r="KDC15" s="114"/>
      <c r="KDD15" s="114"/>
      <c r="KDE15" s="114"/>
      <c r="KDF15" s="114"/>
      <c r="KDG15" s="114"/>
      <c r="KDH15" s="114"/>
      <c r="KDI15" s="114"/>
      <c r="KDJ15" s="114"/>
      <c r="KDK15" s="114"/>
      <c r="KDL15" s="114"/>
      <c r="KDM15" s="114"/>
      <c r="KDN15" s="114"/>
      <c r="KDO15" s="114"/>
      <c r="KDP15" s="114"/>
      <c r="KDQ15" s="114"/>
      <c r="KDR15" s="114"/>
      <c r="KDS15" s="114"/>
      <c r="KDT15" s="114"/>
      <c r="KDU15" s="114"/>
      <c r="KDV15" s="114"/>
      <c r="KDW15" s="114"/>
      <c r="KDX15" s="114"/>
      <c r="KDY15" s="114"/>
      <c r="KDZ15" s="114"/>
      <c r="KEA15" s="114"/>
      <c r="KEB15" s="114"/>
      <c r="KEC15" s="114"/>
      <c r="KED15" s="114"/>
      <c r="KEE15" s="114"/>
      <c r="KEF15" s="114"/>
      <c r="KEG15" s="114"/>
      <c r="KEH15" s="114"/>
      <c r="KEI15" s="114"/>
      <c r="KEJ15" s="114"/>
      <c r="KEK15" s="114"/>
      <c r="KEL15" s="114"/>
      <c r="KEM15" s="114"/>
      <c r="KEN15" s="114"/>
      <c r="KEO15" s="114"/>
      <c r="KEP15" s="114"/>
      <c r="KEQ15" s="114"/>
      <c r="KER15" s="114"/>
      <c r="KES15" s="114"/>
      <c r="KET15" s="114"/>
      <c r="KEU15" s="114"/>
      <c r="KEV15" s="114"/>
      <c r="KEW15" s="114"/>
      <c r="KEX15" s="114"/>
      <c r="KEY15" s="114"/>
      <c r="KEZ15" s="114"/>
      <c r="KFA15" s="114"/>
      <c r="KFB15" s="114"/>
      <c r="KFC15" s="114"/>
      <c r="KFD15" s="114"/>
      <c r="KFE15" s="114"/>
      <c r="KFF15" s="114"/>
      <c r="KFG15" s="114"/>
      <c r="KFH15" s="114"/>
      <c r="KFI15" s="114"/>
      <c r="KFJ15" s="114"/>
      <c r="KFK15" s="114"/>
      <c r="KFL15" s="114"/>
      <c r="KFM15" s="114"/>
      <c r="KFN15" s="114"/>
      <c r="KFO15" s="114"/>
      <c r="KFP15" s="114"/>
      <c r="KFQ15" s="114"/>
      <c r="KFR15" s="114"/>
      <c r="KFS15" s="114"/>
      <c r="KFT15" s="114"/>
      <c r="KFU15" s="114"/>
      <c r="KFV15" s="114"/>
      <c r="KFW15" s="114"/>
      <c r="KFX15" s="114"/>
      <c r="KFY15" s="114"/>
      <c r="KFZ15" s="114"/>
      <c r="KGA15" s="114"/>
      <c r="KGB15" s="114"/>
      <c r="KGC15" s="114"/>
      <c r="KGD15" s="114"/>
      <c r="KGE15" s="114"/>
      <c r="KGF15" s="114"/>
      <c r="KGG15" s="114"/>
      <c r="KGH15" s="114"/>
      <c r="KGI15" s="114"/>
      <c r="KGJ15" s="114"/>
      <c r="KGK15" s="114"/>
      <c r="KGL15" s="114"/>
      <c r="KGM15" s="114"/>
      <c r="KGN15" s="114"/>
      <c r="KGO15" s="114"/>
      <c r="KGP15" s="114"/>
      <c r="KGQ15" s="114"/>
      <c r="KGR15" s="114"/>
      <c r="KGS15" s="114"/>
      <c r="KGT15" s="114"/>
      <c r="KGU15" s="114"/>
      <c r="KGV15" s="114"/>
      <c r="KGW15" s="114"/>
      <c r="KGX15" s="114"/>
      <c r="KGY15" s="114"/>
      <c r="KGZ15" s="114"/>
      <c r="KHA15" s="114"/>
      <c r="KHB15" s="114"/>
      <c r="KHC15" s="114"/>
      <c r="KHD15" s="114"/>
      <c r="KHE15" s="114"/>
      <c r="KHF15" s="114"/>
      <c r="KHG15" s="114"/>
      <c r="KHH15" s="114"/>
      <c r="KHI15" s="114"/>
      <c r="KHJ15" s="114"/>
      <c r="KHK15" s="114"/>
      <c r="KHL15" s="114"/>
      <c r="KHM15" s="114"/>
      <c r="KHN15" s="114"/>
      <c r="KHO15" s="114"/>
      <c r="KHP15" s="114"/>
      <c r="KHQ15" s="114"/>
      <c r="KHR15" s="114"/>
      <c r="KHS15" s="114"/>
      <c r="KHT15" s="114"/>
      <c r="KHU15" s="114"/>
      <c r="KHV15" s="114"/>
      <c r="KHW15" s="114"/>
      <c r="KHX15" s="114"/>
      <c r="KHY15" s="114"/>
      <c r="KHZ15" s="114"/>
      <c r="KIA15" s="114"/>
      <c r="KIB15" s="114"/>
      <c r="KIC15" s="114"/>
      <c r="KID15" s="114"/>
      <c r="KIE15" s="114"/>
      <c r="KIF15" s="114"/>
      <c r="KIG15" s="114"/>
      <c r="KIH15" s="114"/>
      <c r="KII15" s="114"/>
      <c r="KIJ15" s="114"/>
      <c r="KIK15" s="114"/>
      <c r="KIL15" s="114"/>
      <c r="KIM15" s="114"/>
      <c r="KIN15" s="114"/>
      <c r="KIO15" s="114"/>
      <c r="KIP15" s="114"/>
      <c r="KIQ15" s="114"/>
      <c r="KIR15" s="114"/>
      <c r="KIS15" s="114"/>
      <c r="KIT15" s="114"/>
      <c r="KIU15" s="114"/>
      <c r="KIV15" s="114"/>
      <c r="KIW15" s="114"/>
      <c r="KIX15" s="114"/>
      <c r="KIY15" s="114"/>
      <c r="KIZ15" s="114"/>
      <c r="KJA15" s="114"/>
      <c r="KJB15" s="114"/>
      <c r="KJC15" s="114"/>
      <c r="KJD15" s="114"/>
      <c r="KJE15" s="114"/>
      <c r="KJF15" s="114"/>
      <c r="KJG15" s="114"/>
      <c r="KJH15" s="114"/>
      <c r="KJI15" s="114"/>
      <c r="KJJ15" s="114"/>
      <c r="KJK15" s="114"/>
      <c r="KJL15" s="114"/>
      <c r="KJM15" s="114"/>
      <c r="KJN15" s="114"/>
      <c r="KJO15" s="114"/>
      <c r="KJP15" s="114"/>
      <c r="KJQ15" s="114"/>
      <c r="KJR15" s="114"/>
      <c r="KJS15" s="114"/>
      <c r="KJT15" s="114"/>
      <c r="KJU15" s="114"/>
      <c r="KJV15" s="114"/>
      <c r="KJW15" s="114"/>
      <c r="KJX15" s="114"/>
      <c r="KJY15" s="114"/>
      <c r="KJZ15" s="114"/>
      <c r="KKA15" s="114"/>
      <c r="KKB15" s="114"/>
      <c r="KKC15" s="114"/>
      <c r="KKD15" s="114"/>
      <c r="KKE15" s="114"/>
      <c r="KKF15" s="114"/>
      <c r="KKG15" s="114"/>
      <c r="KKH15" s="114"/>
      <c r="KKI15" s="114"/>
      <c r="KKJ15" s="114"/>
      <c r="KKK15" s="114"/>
      <c r="KKL15" s="114"/>
      <c r="KKM15" s="114"/>
      <c r="KKN15" s="114"/>
      <c r="KKO15" s="114"/>
      <c r="KKP15" s="114"/>
      <c r="KKQ15" s="114"/>
      <c r="KKR15" s="114"/>
      <c r="KKS15" s="114"/>
      <c r="KKT15" s="114"/>
      <c r="KKU15" s="114"/>
      <c r="KKV15" s="114"/>
      <c r="KKW15" s="114"/>
      <c r="KKX15" s="114"/>
      <c r="KKY15" s="114"/>
      <c r="KKZ15" s="114"/>
      <c r="KLA15" s="114"/>
      <c r="KLB15" s="114"/>
      <c r="KLC15" s="114"/>
      <c r="KLD15" s="114"/>
      <c r="KLE15" s="114"/>
      <c r="KLF15" s="114"/>
      <c r="KLG15" s="114"/>
      <c r="KLH15" s="114"/>
      <c r="KLI15" s="114"/>
      <c r="KLJ15" s="114"/>
      <c r="KLK15" s="114"/>
      <c r="KLL15" s="114"/>
      <c r="KLM15" s="114"/>
      <c r="KLN15" s="114"/>
      <c r="KLO15" s="114"/>
      <c r="KLP15" s="114"/>
      <c r="KLQ15" s="114"/>
      <c r="KLR15" s="114"/>
      <c r="KLS15" s="114"/>
      <c r="KLT15" s="114"/>
      <c r="KLU15" s="114"/>
      <c r="KLV15" s="114"/>
      <c r="KLW15" s="114"/>
      <c r="KLX15" s="114"/>
      <c r="KLY15" s="114"/>
      <c r="KLZ15" s="114"/>
      <c r="KMA15" s="114"/>
      <c r="KMB15" s="114"/>
      <c r="KMC15" s="114"/>
      <c r="KMD15" s="114"/>
      <c r="KME15" s="114"/>
      <c r="KMF15" s="114"/>
      <c r="KMG15" s="114"/>
      <c r="KMH15" s="114"/>
      <c r="KMI15" s="114"/>
      <c r="KMJ15" s="114"/>
      <c r="KMK15" s="114"/>
      <c r="KML15" s="114"/>
      <c r="KMM15" s="114"/>
      <c r="KMN15" s="114"/>
      <c r="KMO15" s="114"/>
      <c r="KMP15" s="114"/>
      <c r="KMQ15" s="114"/>
      <c r="KMR15" s="114"/>
      <c r="KMS15" s="114"/>
      <c r="KMT15" s="114"/>
      <c r="KMU15" s="114"/>
      <c r="KMV15" s="114"/>
      <c r="KMW15" s="114"/>
      <c r="KMX15" s="114"/>
      <c r="KMY15" s="114"/>
      <c r="KMZ15" s="114"/>
      <c r="KNA15" s="114"/>
      <c r="KNB15" s="114"/>
      <c r="KNC15" s="114"/>
      <c r="KND15" s="114"/>
      <c r="KNE15" s="114"/>
      <c r="KNF15" s="114"/>
      <c r="KNG15" s="114"/>
      <c r="KNH15" s="114"/>
      <c r="KNI15" s="114"/>
      <c r="KNJ15" s="114"/>
      <c r="KNK15" s="114"/>
      <c r="KNL15" s="114"/>
      <c r="KNM15" s="114"/>
      <c r="KNN15" s="114"/>
      <c r="KNO15" s="114"/>
      <c r="KNP15" s="114"/>
      <c r="KNQ15" s="114"/>
      <c r="KNR15" s="114"/>
      <c r="KNS15" s="114"/>
      <c r="KNT15" s="114"/>
      <c r="KNU15" s="114"/>
      <c r="KNV15" s="114"/>
      <c r="KNW15" s="114"/>
      <c r="KNX15" s="114"/>
      <c r="KNY15" s="114"/>
      <c r="KNZ15" s="114"/>
      <c r="KOA15" s="114"/>
      <c r="KOB15" s="114"/>
      <c r="KOC15" s="114"/>
      <c r="KOD15" s="114"/>
      <c r="KOE15" s="114"/>
      <c r="KOF15" s="114"/>
      <c r="KOG15" s="114"/>
      <c r="KOH15" s="114"/>
      <c r="KOI15" s="114"/>
      <c r="KOJ15" s="114"/>
      <c r="KOK15" s="114"/>
      <c r="KOL15" s="114"/>
      <c r="KOM15" s="114"/>
      <c r="KON15" s="114"/>
      <c r="KOO15" s="114"/>
      <c r="KOP15" s="114"/>
      <c r="KOQ15" s="114"/>
      <c r="KOR15" s="114"/>
      <c r="KOS15" s="114"/>
      <c r="KOT15" s="114"/>
      <c r="KOU15" s="114"/>
      <c r="KOV15" s="114"/>
      <c r="KOW15" s="114"/>
      <c r="KOX15" s="114"/>
      <c r="KOY15" s="114"/>
      <c r="KOZ15" s="114"/>
      <c r="KPA15" s="114"/>
      <c r="KPB15" s="114"/>
      <c r="KPC15" s="114"/>
      <c r="KPD15" s="114"/>
      <c r="KPE15" s="114"/>
      <c r="KPF15" s="114"/>
      <c r="KPG15" s="114"/>
      <c r="KPH15" s="114"/>
      <c r="KPI15" s="114"/>
      <c r="KPJ15" s="114"/>
      <c r="KPK15" s="114"/>
      <c r="KPL15" s="114"/>
      <c r="KPM15" s="114"/>
      <c r="KPN15" s="114"/>
      <c r="KPO15" s="114"/>
      <c r="KPP15" s="114"/>
      <c r="KPQ15" s="114"/>
      <c r="KPR15" s="114"/>
      <c r="KPS15" s="114"/>
      <c r="KPT15" s="114"/>
      <c r="KPU15" s="114"/>
      <c r="KPV15" s="114"/>
      <c r="KPW15" s="114"/>
      <c r="KPX15" s="114"/>
      <c r="KPY15" s="114"/>
      <c r="KPZ15" s="114"/>
      <c r="KQA15" s="114"/>
      <c r="KQB15" s="114"/>
      <c r="KQC15" s="114"/>
      <c r="KQD15" s="114"/>
      <c r="KQE15" s="114"/>
      <c r="KQF15" s="114"/>
      <c r="KQG15" s="114"/>
      <c r="KQH15" s="114"/>
      <c r="KQI15" s="114"/>
      <c r="KQJ15" s="114"/>
      <c r="KQK15" s="114"/>
      <c r="KQL15" s="114"/>
      <c r="KQM15" s="114"/>
      <c r="KQN15" s="114"/>
      <c r="KQO15" s="114"/>
      <c r="KQP15" s="114"/>
      <c r="KQQ15" s="114"/>
      <c r="KQR15" s="114"/>
      <c r="KQS15" s="114"/>
      <c r="KQT15" s="114"/>
      <c r="KQU15" s="114"/>
      <c r="KQV15" s="114"/>
      <c r="KQW15" s="114"/>
      <c r="KQX15" s="114"/>
      <c r="KQY15" s="114"/>
      <c r="KQZ15" s="114"/>
      <c r="KRA15" s="114"/>
      <c r="KRB15" s="114"/>
      <c r="KRC15" s="114"/>
      <c r="KRD15" s="114"/>
      <c r="KRE15" s="114"/>
      <c r="KRF15" s="114"/>
      <c r="KRG15" s="114"/>
      <c r="KRH15" s="114"/>
      <c r="KRI15" s="114"/>
      <c r="KRJ15" s="114"/>
      <c r="KRK15" s="114"/>
      <c r="KRL15" s="114"/>
      <c r="KRM15" s="114"/>
      <c r="KRN15" s="114"/>
      <c r="KRO15" s="114"/>
      <c r="KRP15" s="114"/>
      <c r="KRQ15" s="114"/>
      <c r="KRR15" s="114"/>
      <c r="KRS15" s="114"/>
      <c r="KRT15" s="114"/>
      <c r="KRU15" s="114"/>
      <c r="KRV15" s="114"/>
      <c r="KRW15" s="114"/>
      <c r="KRX15" s="114"/>
      <c r="KRY15" s="114"/>
      <c r="KRZ15" s="114"/>
      <c r="KSA15" s="114"/>
      <c r="KSB15" s="114"/>
      <c r="KSC15" s="114"/>
      <c r="KSD15" s="114"/>
      <c r="KSE15" s="114"/>
      <c r="KSF15" s="114"/>
      <c r="KSG15" s="114"/>
      <c r="KSH15" s="114"/>
      <c r="KSI15" s="114"/>
      <c r="KSJ15" s="114"/>
      <c r="KSK15" s="114"/>
      <c r="KSL15" s="114"/>
      <c r="KSM15" s="114"/>
      <c r="KSN15" s="114"/>
      <c r="KSO15" s="114"/>
      <c r="KSP15" s="114"/>
      <c r="KSQ15" s="114"/>
      <c r="KSR15" s="114"/>
      <c r="KSS15" s="114"/>
      <c r="KST15" s="114"/>
      <c r="KSU15" s="114"/>
      <c r="KSV15" s="114"/>
      <c r="KSW15" s="114"/>
      <c r="KSX15" s="114"/>
      <c r="KSY15" s="114"/>
      <c r="KSZ15" s="114"/>
      <c r="KTA15" s="114"/>
      <c r="KTB15" s="114"/>
      <c r="KTC15" s="114"/>
      <c r="KTD15" s="114"/>
      <c r="KTE15" s="114"/>
      <c r="KTF15" s="114"/>
      <c r="KTG15" s="114"/>
      <c r="KTH15" s="114"/>
      <c r="KTI15" s="114"/>
      <c r="KTJ15" s="114"/>
      <c r="KTK15" s="114"/>
      <c r="KTL15" s="114"/>
      <c r="KTM15" s="114"/>
      <c r="KTN15" s="114"/>
      <c r="KTO15" s="114"/>
      <c r="KTP15" s="114"/>
      <c r="KTQ15" s="114"/>
      <c r="KTR15" s="114"/>
      <c r="KTS15" s="114"/>
      <c r="KTT15" s="114"/>
      <c r="KTU15" s="114"/>
      <c r="KTV15" s="114"/>
      <c r="KTW15" s="114"/>
      <c r="KTX15" s="114"/>
      <c r="KTY15" s="114"/>
      <c r="KTZ15" s="114"/>
      <c r="KUA15" s="114"/>
      <c r="KUB15" s="114"/>
      <c r="KUC15" s="114"/>
      <c r="KUD15" s="114"/>
      <c r="KUE15" s="114"/>
      <c r="KUF15" s="114"/>
      <c r="KUG15" s="114"/>
      <c r="KUH15" s="114"/>
      <c r="KUI15" s="114"/>
      <c r="KUJ15" s="114"/>
      <c r="KUK15" s="114"/>
      <c r="KUL15" s="114"/>
      <c r="KUM15" s="114"/>
      <c r="KUN15" s="114"/>
      <c r="KUO15" s="114"/>
      <c r="KUP15" s="114"/>
      <c r="KUQ15" s="114"/>
      <c r="KUR15" s="114"/>
      <c r="KUS15" s="114"/>
      <c r="KUT15" s="114"/>
      <c r="KUU15" s="114"/>
      <c r="KUV15" s="114"/>
      <c r="KUW15" s="114"/>
      <c r="KUX15" s="114"/>
      <c r="KUY15" s="114"/>
      <c r="KUZ15" s="114"/>
      <c r="KVA15" s="114"/>
      <c r="KVB15" s="114"/>
      <c r="KVC15" s="114"/>
      <c r="KVD15" s="114"/>
      <c r="KVE15" s="114"/>
      <c r="KVF15" s="114"/>
      <c r="KVG15" s="114"/>
      <c r="KVH15" s="114"/>
      <c r="KVI15" s="114"/>
      <c r="KVJ15" s="114"/>
      <c r="KVK15" s="114"/>
      <c r="KVL15" s="114"/>
      <c r="KVM15" s="114"/>
      <c r="KVN15" s="114"/>
      <c r="KVO15" s="114"/>
      <c r="KVP15" s="114"/>
      <c r="KVQ15" s="114"/>
      <c r="KVR15" s="114"/>
      <c r="KVS15" s="114"/>
      <c r="KVT15" s="114"/>
      <c r="KVU15" s="114"/>
      <c r="KVV15" s="114"/>
      <c r="KVW15" s="114"/>
      <c r="KVX15" s="114"/>
      <c r="KVY15" s="114"/>
      <c r="KVZ15" s="114"/>
      <c r="KWA15" s="114"/>
      <c r="KWB15" s="114"/>
      <c r="KWC15" s="114"/>
      <c r="KWD15" s="114"/>
      <c r="KWE15" s="114"/>
      <c r="KWF15" s="114"/>
      <c r="KWG15" s="114"/>
      <c r="KWH15" s="114"/>
      <c r="KWI15" s="114"/>
      <c r="KWJ15" s="114"/>
      <c r="KWK15" s="114"/>
      <c r="KWL15" s="114"/>
      <c r="KWM15" s="114"/>
      <c r="KWN15" s="114"/>
      <c r="KWO15" s="114"/>
      <c r="KWP15" s="114"/>
      <c r="KWQ15" s="114"/>
      <c r="KWR15" s="114"/>
      <c r="KWS15" s="114"/>
      <c r="KWT15" s="114"/>
      <c r="KWU15" s="114"/>
      <c r="KWV15" s="114"/>
      <c r="KWW15" s="114"/>
      <c r="KWX15" s="114"/>
      <c r="KWY15" s="114"/>
      <c r="KWZ15" s="114"/>
      <c r="KXA15" s="114"/>
      <c r="KXB15" s="114"/>
      <c r="KXC15" s="114"/>
      <c r="KXD15" s="114"/>
      <c r="KXE15" s="114"/>
      <c r="KXF15" s="114"/>
      <c r="KXG15" s="114"/>
      <c r="KXH15" s="114"/>
      <c r="KXI15" s="114"/>
      <c r="KXJ15" s="114"/>
      <c r="KXK15" s="114"/>
      <c r="KXL15" s="114"/>
      <c r="KXM15" s="114"/>
      <c r="KXN15" s="114"/>
      <c r="KXO15" s="114"/>
      <c r="KXP15" s="114"/>
      <c r="KXQ15" s="114"/>
      <c r="KXR15" s="114"/>
      <c r="KXS15" s="114"/>
      <c r="KXT15" s="114"/>
      <c r="KXU15" s="114"/>
      <c r="KXV15" s="114"/>
      <c r="KXW15" s="114"/>
      <c r="KXX15" s="114"/>
      <c r="KXY15" s="114"/>
      <c r="KXZ15" s="114"/>
      <c r="KYA15" s="114"/>
      <c r="KYB15" s="114"/>
      <c r="KYC15" s="114"/>
      <c r="KYD15" s="114"/>
      <c r="KYE15" s="114"/>
      <c r="KYF15" s="114"/>
      <c r="KYG15" s="114"/>
      <c r="KYH15" s="114"/>
      <c r="KYI15" s="114"/>
      <c r="KYJ15" s="114"/>
      <c r="KYK15" s="114"/>
      <c r="KYL15" s="114"/>
      <c r="KYM15" s="114"/>
      <c r="KYN15" s="114"/>
      <c r="KYO15" s="114"/>
      <c r="KYP15" s="114"/>
      <c r="KYQ15" s="114"/>
      <c r="KYR15" s="114"/>
      <c r="KYS15" s="114"/>
      <c r="KYT15" s="114"/>
      <c r="KYU15" s="114"/>
      <c r="KYV15" s="114"/>
      <c r="KYW15" s="114"/>
      <c r="KYX15" s="114"/>
      <c r="KYY15" s="114"/>
      <c r="KYZ15" s="114"/>
      <c r="KZA15" s="114"/>
      <c r="KZB15" s="114"/>
      <c r="KZC15" s="114"/>
      <c r="KZD15" s="114"/>
      <c r="KZE15" s="114"/>
      <c r="KZF15" s="114"/>
      <c r="KZG15" s="114"/>
      <c r="KZH15" s="114"/>
      <c r="KZI15" s="114"/>
      <c r="KZJ15" s="114"/>
      <c r="KZK15" s="114"/>
      <c r="KZL15" s="114"/>
      <c r="KZM15" s="114"/>
      <c r="KZN15" s="114"/>
      <c r="KZO15" s="114"/>
      <c r="KZP15" s="114"/>
      <c r="KZQ15" s="114"/>
      <c r="KZR15" s="114"/>
      <c r="KZS15" s="114"/>
      <c r="KZT15" s="114"/>
      <c r="KZU15" s="114"/>
      <c r="KZV15" s="114"/>
      <c r="KZW15" s="114"/>
      <c r="KZX15" s="114"/>
      <c r="KZY15" s="114"/>
      <c r="KZZ15" s="114"/>
      <c r="LAA15" s="114"/>
      <c r="LAB15" s="114"/>
      <c r="LAC15" s="114"/>
      <c r="LAD15" s="114"/>
      <c r="LAE15" s="114"/>
      <c r="LAF15" s="114"/>
      <c r="LAG15" s="114"/>
      <c r="LAH15" s="114"/>
      <c r="LAI15" s="114"/>
      <c r="LAJ15" s="114"/>
      <c r="LAK15" s="114"/>
      <c r="LAL15" s="114"/>
      <c r="LAM15" s="114"/>
      <c r="LAN15" s="114"/>
      <c r="LAO15" s="114"/>
      <c r="LAP15" s="114"/>
      <c r="LAQ15" s="114"/>
      <c r="LAR15" s="114"/>
      <c r="LAS15" s="114"/>
      <c r="LAT15" s="114"/>
      <c r="LAU15" s="114"/>
      <c r="LAV15" s="114"/>
      <c r="LAW15" s="114"/>
      <c r="LAX15" s="114"/>
      <c r="LAY15" s="114"/>
      <c r="LAZ15" s="114"/>
      <c r="LBA15" s="114"/>
      <c r="LBB15" s="114"/>
      <c r="LBC15" s="114"/>
      <c r="LBD15" s="114"/>
      <c r="LBE15" s="114"/>
      <c r="LBF15" s="114"/>
      <c r="LBG15" s="114"/>
      <c r="LBH15" s="114"/>
      <c r="LBI15" s="114"/>
      <c r="LBJ15" s="114"/>
      <c r="LBK15" s="114"/>
      <c r="LBL15" s="114"/>
      <c r="LBM15" s="114"/>
      <c r="LBN15" s="114"/>
      <c r="LBO15" s="114"/>
      <c r="LBP15" s="114"/>
      <c r="LBQ15" s="114"/>
      <c r="LBR15" s="114"/>
      <c r="LBS15" s="114"/>
      <c r="LBT15" s="114"/>
      <c r="LBU15" s="114"/>
      <c r="LBV15" s="114"/>
      <c r="LBW15" s="114"/>
      <c r="LBX15" s="114"/>
      <c r="LBY15" s="114"/>
      <c r="LBZ15" s="114"/>
      <c r="LCA15" s="114"/>
      <c r="LCB15" s="114"/>
      <c r="LCC15" s="114"/>
      <c r="LCD15" s="114"/>
      <c r="LCE15" s="114"/>
      <c r="LCF15" s="114"/>
      <c r="LCG15" s="114"/>
      <c r="LCH15" s="114"/>
      <c r="LCI15" s="114"/>
      <c r="LCJ15" s="114"/>
      <c r="LCK15" s="114"/>
      <c r="LCL15" s="114"/>
      <c r="LCM15" s="114"/>
      <c r="LCN15" s="114"/>
      <c r="LCO15" s="114"/>
      <c r="LCP15" s="114"/>
      <c r="LCQ15" s="114"/>
      <c r="LCR15" s="114"/>
      <c r="LCS15" s="114"/>
      <c r="LCT15" s="114"/>
      <c r="LCU15" s="114"/>
      <c r="LCV15" s="114"/>
      <c r="LCW15" s="114"/>
      <c r="LCX15" s="114"/>
      <c r="LCY15" s="114"/>
      <c r="LCZ15" s="114"/>
      <c r="LDA15" s="114"/>
      <c r="LDB15" s="114"/>
      <c r="LDC15" s="114"/>
      <c r="LDD15" s="114"/>
      <c r="LDE15" s="114"/>
      <c r="LDF15" s="114"/>
      <c r="LDG15" s="114"/>
      <c r="LDH15" s="114"/>
      <c r="LDI15" s="114"/>
      <c r="LDJ15" s="114"/>
      <c r="LDK15" s="114"/>
      <c r="LDL15" s="114"/>
      <c r="LDM15" s="114"/>
      <c r="LDN15" s="114"/>
      <c r="LDO15" s="114"/>
      <c r="LDP15" s="114"/>
      <c r="LDQ15" s="114"/>
      <c r="LDR15" s="114"/>
      <c r="LDS15" s="114"/>
      <c r="LDT15" s="114"/>
      <c r="LDU15" s="114"/>
      <c r="LDV15" s="114"/>
      <c r="LDW15" s="114"/>
      <c r="LDX15" s="114"/>
      <c r="LDY15" s="114"/>
      <c r="LDZ15" s="114"/>
      <c r="LEA15" s="114"/>
      <c r="LEB15" s="114"/>
      <c r="LEC15" s="114"/>
      <c r="LED15" s="114"/>
      <c r="LEE15" s="114"/>
      <c r="LEF15" s="114"/>
      <c r="LEG15" s="114"/>
      <c r="LEH15" s="114"/>
      <c r="LEI15" s="114"/>
      <c r="LEJ15" s="114"/>
      <c r="LEK15" s="114"/>
      <c r="LEL15" s="114"/>
      <c r="LEM15" s="114"/>
      <c r="LEN15" s="114"/>
      <c r="LEO15" s="114"/>
      <c r="LEP15" s="114"/>
      <c r="LEQ15" s="114"/>
      <c r="LER15" s="114"/>
      <c r="LES15" s="114"/>
      <c r="LET15" s="114"/>
      <c r="LEU15" s="114"/>
      <c r="LEV15" s="114"/>
      <c r="LEW15" s="114"/>
      <c r="LEX15" s="114"/>
      <c r="LEY15" s="114"/>
      <c r="LEZ15" s="114"/>
      <c r="LFA15" s="114"/>
      <c r="LFB15" s="114"/>
      <c r="LFC15" s="114"/>
      <c r="LFD15" s="114"/>
      <c r="LFE15" s="114"/>
      <c r="LFF15" s="114"/>
      <c r="LFG15" s="114"/>
      <c r="LFH15" s="114"/>
      <c r="LFI15" s="114"/>
      <c r="LFJ15" s="114"/>
      <c r="LFK15" s="114"/>
      <c r="LFL15" s="114"/>
      <c r="LFM15" s="114"/>
      <c r="LFN15" s="114"/>
      <c r="LFO15" s="114"/>
      <c r="LFP15" s="114"/>
      <c r="LFQ15" s="114"/>
      <c r="LFR15" s="114"/>
      <c r="LFS15" s="114"/>
      <c r="LFT15" s="114"/>
      <c r="LFU15" s="114"/>
      <c r="LFV15" s="114"/>
      <c r="LFW15" s="114"/>
      <c r="LFX15" s="114"/>
      <c r="LFY15" s="114"/>
      <c r="LFZ15" s="114"/>
      <c r="LGA15" s="114"/>
      <c r="LGB15" s="114"/>
      <c r="LGC15" s="114"/>
      <c r="LGD15" s="114"/>
      <c r="LGE15" s="114"/>
      <c r="LGF15" s="114"/>
      <c r="LGG15" s="114"/>
      <c r="LGH15" s="114"/>
      <c r="LGI15" s="114"/>
      <c r="LGJ15" s="114"/>
      <c r="LGK15" s="114"/>
      <c r="LGL15" s="114"/>
      <c r="LGM15" s="114"/>
      <c r="LGN15" s="114"/>
      <c r="LGO15" s="114"/>
      <c r="LGP15" s="114"/>
      <c r="LGQ15" s="114"/>
      <c r="LGR15" s="114"/>
      <c r="LGS15" s="114"/>
      <c r="LGT15" s="114"/>
      <c r="LGU15" s="114"/>
      <c r="LGV15" s="114"/>
      <c r="LGW15" s="114"/>
      <c r="LGX15" s="114"/>
      <c r="LGY15" s="114"/>
      <c r="LGZ15" s="114"/>
      <c r="LHA15" s="114"/>
      <c r="LHB15" s="114"/>
      <c r="LHC15" s="114"/>
      <c r="LHD15" s="114"/>
      <c r="LHE15" s="114"/>
      <c r="LHF15" s="114"/>
      <c r="LHG15" s="114"/>
      <c r="LHH15" s="114"/>
      <c r="LHI15" s="114"/>
      <c r="LHJ15" s="114"/>
      <c r="LHK15" s="114"/>
      <c r="LHL15" s="114"/>
      <c r="LHM15" s="114"/>
      <c r="LHN15" s="114"/>
      <c r="LHO15" s="114"/>
      <c r="LHP15" s="114"/>
      <c r="LHQ15" s="114"/>
      <c r="LHR15" s="114"/>
      <c r="LHS15" s="114"/>
      <c r="LHT15" s="114"/>
      <c r="LHU15" s="114"/>
      <c r="LHV15" s="114"/>
      <c r="LHW15" s="114"/>
      <c r="LHX15" s="114"/>
      <c r="LHY15" s="114"/>
      <c r="LHZ15" s="114"/>
      <c r="LIA15" s="114"/>
      <c r="LIB15" s="114"/>
      <c r="LIC15" s="114"/>
      <c r="LID15" s="114"/>
      <c r="LIE15" s="114"/>
      <c r="LIF15" s="114"/>
      <c r="LIG15" s="114"/>
      <c r="LIH15" s="114"/>
      <c r="LII15" s="114"/>
      <c r="LIJ15" s="114"/>
      <c r="LIK15" s="114"/>
      <c r="LIL15" s="114"/>
      <c r="LIM15" s="114"/>
      <c r="LIN15" s="114"/>
      <c r="LIO15" s="114"/>
      <c r="LIP15" s="114"/>
      <c r="LIQ15" s="114"/>
      <c r="LIR15" s="114"/>
      <c r="LIS15" s="114"/>
      <c r="LIT15" s="114"/>
      <c r="LIU15" s="114"/>
      <c r="LIV15" s="114"/>
      <c r="LIW15" s="114"/>
      <c r="LIX15" s="114"/>
      <c r="LIY15" s="114"/>
      <c r="LIZ15" s="114"/>
      <c r="LJA15" s="114"/>
      <c r="LJB15" s="114"/>
      <c r="LJC15" s="114"/>
      <c r="LJD15" s="114"/>
      <c r="LJE15" s="114"/>
      <c r="LJF15" s="114"/>
      <c r="LJG15" s="114"/>
      <c r="LJH15" s="114"/>
      <c r="LJI15" s="114"/>
      <c r="LJJ15" s="114"/>
      <c r="LJK15" s="114"/>
      <c r="LJL15" s="114"/>
      <c r="LJM15" s="114"/>
      <c r="LJN15" s="114"/>
      <c r="LJO15" s="114"/>
      <c r="LJP15" s="114"/>
      <c r="LJQ15" s="114"/>
      <c r="LJR15" s="114"/>
      <c r="LJS15" s="114"/>
      <c r="LJT15" s="114"/>
      <c r="LJU15" s="114"/>
      <c r="LJV15" s="114"/>
      <c r="LJW15" s="114"/>
      <c r="LJX15" s="114"/>
      <c r="LJY15" s="114"/>
      <c r="LJZ15" s="114"/>
      <c r="LKA15" s="114"/>
      <c r="LKB15" s="114"/>
      <c r="LKC15" s="114"/>
      <c r="LKD15" s="114"/>
      <c r="LKE15" s="114"/>
      <c r="LKF15" s="114"/>
      <c r="LKG15" s="114"/>
      <c r="LKH15" s="114"/>
      <c r="LKI15" s="114"/>
      <c r="LKJ15" s="114"/>
      <c r="LKK15" s="114"/>
      <c r="LKL15" s="114"/>
      <c r="LKM15" s="114"/>
      <c r="LKN15" s="114"/>
      <c r="LKO15" s="114"/>
      <c r="LKP15" s="114"/>
      <c r="LKQ15" s="114"/>
      <c r="LKR15" s="114"/>
      <c r="LKS15" s="114"/>
      <c r="LKT15" s="114"/>
      <c r="LKU15" s="114"/>
      <c r="LKV15" s="114"/>
      <c r="LKW15" s="114"/>
      <c r="LKX15" s="114"/>
      <c r="LKY15" s="114"/>
      <c r="LKZ15" s="114"/>
      <c r="LLA15" s="114"/>
      <c r="LLB15" s="114"/>
      <c r="LLC15" s="114"/>
      <c r="LLD15" s="114"/>
      <c r="LLE15" s="114"/>
      <c r="LLF15" s="114"/>
      <c r="LLG15" s="114"/>
      <c r="LLH15" s="114"/>
      <c r="LLI15" s="114"/>
      <c r="LLJ15" s="114"/>
      <c r="LLK15" s="114"/>
      <c r="LLL15" s="114"/>
      <c r="LLM15" s="114"/>
      <c r="LLN15" s="114"/>
      <c r="LLO15" s="114"/>
      <c r="LLP15" s="114"/>
      <c r="LLQ15" s="114"/>
      <c r="LLR15" s="114"/>
      <c r="LLS15" s="114"/>
      <c r="LLT15" s="114"/>
      <c r="LLU15" s="114"/>
      <c r="LLV15" s="114"/>
      <c r="LLW15" s="114"/>
      <c r="LLX15" s="114"/>
      <c r="LLY15" s="114"/>
      <c r="LLZ15" s="114"/>
      <c r="LMA15" s="114"/>
      <c r="LMB15" s="114"/>
      <c r="LMC15" s="114"/>
      <c r="LMD15" s="114"/>
      <c r="LME15" s="114"/>
      <c r="LMF15" s="114"/>
      <c r="LMG15" s="114"/>
      <c r="LMH15" s="114"/>
      <c r="LMI15" s="114"/>
      <c r="LMJ15" s="114"/>
      <c r="LMK15" s="114"/>
      <c r="LML15" s="114"/>
      <c r="LMM15" s="114"/>
      <c r="LMN15" s="114"/>
      <c r="LMO15" s="114"/>
      <c r="LMP15" s="114"/>
      <c r="LMQ15" s="114"/>
      <c r="LMR15" s="114"/>
      <c r="LMS15" s="114"/>
      <c r="LMT15" s="114"/>
      <c r="LMU15" s="114"/>
      <c r="LMV15" s="114"/>
      <c r="LMW15" s="114"/>
      <c r="LMX15" s="114"/>
      <c r="LMY15" s="114"/>
      <c r="LMZ15" s="114"/>
      <c r="LNA15" s="114"/>
      <c r="LNB15" s="114"/>
      <c r="LNC15" s="114"/>
      <c r="LND15" s="114"/>
      <c r="LNE15" s="114"/>
      <c r="LNF15" s="114"/>
      <c r="LNG15" s="114"/>
      <c r="LNH15" s="114"/>
      <c r="LNI15" s="114"/>
      <c r="LNJ15" s="114"/>
      <c r="LNK15" s="114"/>
      <c r="LNL15" s="114"/>
      <c r="LNM15" s="114"/>
      <c r="LNN15" s="114"/>
      <c r="LNO15" s="114"/>
      <c r="LNP15" s="114"/>
      <c r="LNQ15" s="114"/>
      <c r="LNR15" s="114"/>
      <c r="LNS15" s="114"/>
      <c r="LNT15" s="114"/>
      <c r="LNU15" s="114"/>
      <c r="LNV15" s="114"/>
      <c r="LNW15" s="114"/>
      <c r="LNX15" s="114"/>
      <c r="LNY15" s="114"/>
      <c r="LNZ15" s="114"/>
      <c r="LOA15" s="114"/>
      <c r="LOB15" s="114"/>
      <c r="LOC15" s="114"/>
      <c r="LOD15" s="114"/>
      <c r="LOE15" s="114"/>
      <c r="LOF15" s="114"/>
      <c r="LOG15" s="114"/>
      <c r="LOH15" s="114"/>
      <c r="LOI15" s="114"/>
      <c r="LOJ15" s="114"/>
      <c r="LOK15" s="114"/>
      <c r="LOL15" s="114"/>
      <c r="LOM15" s="114"/>
      <c r="LON15" s="114"/>
      <c r="LOO15" s="114"/>
      <c r="LOP15" s="114"/>
      <c r="LOQ15" s="114"/>
      <c r="LOR15" s="114"/>
      <c r="LOS15" s="114"/>
      <c r="LOT15" s="114"/>
      <c r="LOU15" s="114"/>
      <c r="LOV15" s="114"/>
      <c r="LOW15" s="114"/>
      <c r="LOX15" s="114"/>
      <c r="LOY15" s="114"/>
      <c r="LOZ15" s="114"/>
      <c r="LPA15" s="114"/>
      <c r="LPB15" s="114"/>
      <c r="LPC15" s="114"/>
      <c r="LPD15" s="114"/>
      <c r="LPE15" s="114"/>
      <c r="LPF15" s="114"/>
      <c r="LPG15" s="114"/>
      <c r="LPH15" s="114"/>
      <c r="LPI15" s="114"/>
      <c r="LPJ15" s="114"/>
      <c r="LPK15" s="114"/>
      <c r="LPL15" s="114"/>
      <c r="LPM15" s="114"/>
      <c r="LPN15" s="114"/>
      <c r="LPO15" s="114"/>
      <c r="LPP15" s="114"/>
      <c r="LPQ15" s="114"/>
      <c r="LPR15" s="114"/>
      <c r="LPS15" s="114"/>
      <c r="LPT15" s="114"/>
      <c r="LPU15" s="114"/>
      <c r="LPV15" s="114"/>
      <c r="LPW15" s="114"/>
      <c r="LPX15" s="114"/>
      <c r="LPY15" s="114"/>
      <c r="LPZ15" s="114"/>
      <c r="LQA15" s="114"/>
      <c r="LQB15" s="114"/>
      <c r="LQC15" s="114"/>
      <c r="LQD15" s="114"/>
      <c r="LQE15" s="114"/>
      <c r="LQF15" s="114"/>
      <c r="LQG15" s="114"/>
      <c r="LQH15" s="114"/>
      <c r="LQI15" s="114"/>
      <c r="LQJ15" s="114"/>
      <c r="LQK15" s="114"/>
      <c r="LQL15" s="114"/>
      <c r="LQM15" s="114"/>
      <c r="LQN15" s="114"/>
      <c r="LQO15" s="114"/>
      <c r="LQP15" s="114"/>
      <c r="LQQ15" s="114"/>
      <c r="LQR15" s="114"/>
      <c r="LQS15" s="114"/>
      <c r="LQT15" s="114"/>
      <c r="LQU15" s="114"/>
      <c r="LQV15" s="114"/>
      <c r="LQW15" s="114"/>
      <c r="LQX15" s="114"/>
      <c r="LQY15" s="114"/>
      <c r="LQZ15" s="114"/>
      <c r="LRA15" s="114"/>
      <c r="LRB15" s="114"/>
      <c r="LRC15" s="114"/>
      <c r="LRD15" s="114"/>
      <c r="LRE15" s="114"/>
      <c r="LRF15" s="114"/>
      <c r="LRG15" s="114"/>
      <c r="LRH15" s="114"/>
      <c r="LRI15" s="114"/>
      <c r="LRJ15" s="114"/>
      <c r="LRK15" s="114"/>
      <c r="LRL15" s="114"/>
      <c r="LRM15" s="114"/>
      <c r="LRN15" s="114"/>
      <c r="LRO15" s="114"/>
      <c r="LRP15" s="114"/>
      <c r="LRQ15" s="114"/>
      <c r="LRR15" s="114"/>
      <c r="LRS15" s="114"/>
      <c r="LRT15" s="114"/>
      <c r="LRU15" s="114"/>
      <c r="LRV15" s="114"/>
      <c r="LRW15" s="114"/>
      <c r="LRX15" s="114"/>
      <c r="LRY15" s="114"/>
      <c r="LRZ15" s="114"/>
      <c r="LSA15" s="114"/>
      <c r="LSB15" s="114"/>
      <c r="LSC15" s="114"/>
      <c r="LSD15" s="114"/>
      <c r="LSE15" s="114"/>
      <c r="LSF15" s="114"/>
      <c r="LSG15" s="114"/>
      <c r="LSH15" s="114"/>
      <c r="LSI15" s="114"/>
      <c r="LSJ15" s="114"/>
      <c r="LSK15" s="114"/>
      <c r="LSL15" s="114"/>
      <c r="LSM15" s="114"/>
      <c r="LSN15" s="114"/>
      <c r="LSO15" s="114"/>
      <c r="LSP15" s="114"/>
      <c r="LSQ15" s="114"/>
      <c r="LSR15" s="114"/>
      <c r="LSS15" s="114"/>
      <c r="LST15" s="114"/>
      <c r="LSU15" s="114"/>
      <c r="LSV15" s="114"/>
      <c r="LSW15" s="114"/>
      <c r="LSX15" s="114"/>
      <c r="LSY15" s="114"/>
      <c r="LSZ15" s="114"/>
      <c r="LTA15" s="114"/>
      <c r="LTB15" s="114"/>
      <c r="LTC15" s="114"/>
      <c r="LTD15" s="114"/>
      <c r="LTE15" s="114"/>
      <c r="LTF15" s="114"/>
      <c r="LTG15" s="114"/>
      <c r="LTH15" s="114"/>
      <c r="LTI15" s="114"/>
      <c r="LTJ15" s="114"/>
      <c r="LTK15" s="114"/>
      <c r="LTL15" s="114"/>
      <c r="LTM15" s="114"/>
      <c r="LTN15" s="114"/>
      <c r="LTO15" s="114"/>
      <c r="LTP15" s="114"/>
      <c r="LTQ15" s="114"/>
      <c r="LTR15" s="114"/>
      <c r="LTS15" s="114"/>
      <c r="LTT15" s="114"/>
      <c r="LTU15" s="114"/>
      <c r="LTV15" s="114"/>
      <c r="LTW15" s="114"/>
      <c r="LTX15" s="114"/>
      <c r="LTY15" s="114"/>
      <c r="LTZ15" s="114"/>
      <c r="LUA15" s="114"/>
      <c r="LUB15" s="114"/>
      <c r="LUC15" s="114"/>
      <c r="LUD15" s="114"/>
      <c r="LUE15" s="114"/>
      <c r="LUF15" s="114"/>
      <c r="LUG15" s="114"/>
      <c r="LUH15" s="114"/>
      <c r="LUI15" s="114"/>
      <c r="LUJ15" s="114"/>
      <c r="LUK15" s="114"/>
      <c r="LUL15" s="114"/>
      <c r="LUM15" s="114"/>
      <c r="LUN15" s="114"/>
      <c r="LUO15" s="114"/>
      <c r="LUP15" s="114"/>
      <c r="LUQ15" s="114"/>
      <c r="LUR15" s="114"/>
      <c r="LUS15" s="114"/>
      <c r="LUT15" s="114"/>
      <c r="LUU15" s="114"/>
      <c r="LUV15" s="114"/>
      <c r="LUW15" s="114"/>
      <c r="LUX15" s="114"/>
      <c r="LUY15" s="114"/>
      <c r="LUZ15" s="114"/>
      <c r="LVA15" s="114"/>
      <c r="LVB15" s="114"/>
      <c r="LVC15" s="114"/>
      <c r="LVD15" s="114"/>
      <c r="LVE15" s="114"/>
      <c r="LVF15" s="114"/>
      <c r="LVG15" s="114"/>
      <c r="LVH15" s="114"/>
      <c r="LVI15" s="114"/>
      <c r="LVJ15" s="114"/>
      <c r="LVK15" s="114"/>
      <c r="LVL15" s="114"/>
      <c r="LVM15" s="114"/>
      <c r="LVN15" s="114"/>
      <c r="LVO15" s="114"/>
      <c r="LVP15" s="114"/>
      <c r="LVQ15" s="114"/>
      <c r="LVR15" s="114"/>
      <c r="LVS15" s="114"/>
      <c r="LVT15" s="114"/>
      <c r="LVU15" s="114"/>
      <c r="LVV15" s="114"/>
      <c r="LVW15" s="114"/>
      <c r="LVX15" s="114"/>
      <c r="LVY15" s="114"/>
      <c r="LVZ15" s="114"/>
      <c r="LWA15" s="114"/>
      <c r="LWB15" s="114"/>
      <c r="LWC15" s="114"/>
      <c r="LWD15" s="114"/>
      <c r="LWE15" s="114"/>
      <c r="LWF15" s="114"/>
      <c r="LWG15" s="114"/>
      <c r="LWH15" s="114"/>
      <c r="LWI15" s="114"/>
      <c r="LWJ15" s="114"/>
      <c r="LWK15" s="114"/>
      <c r="LWL15" s="114"/>
      <c r="LWM15" s="114"/>
      <c r="LWN15" s="114"/>
      <c r="LWO15" s="114"/>
      <c r="LWP15" s="114"/>
      <c r="LWQ15" s="114"/>
      <c r="LWR15" s="114"/>
      <c r="LWS15" s="114"/>
      <c r="LWT15" s="114"/>
      <c r="LWU15" s="114"/>
      <c r="LWV15" s="114"/>
      <c r="LWW15" s="114"/>
      <c r="LWX15" s="114"/>
      <c r="LWY15" s="114"/>
      <c r="LWZ15" s="114"/>
      <c r="LXA15" s="114"/>
      <c r="LXB15" s="114"/>
      <c r="LXC15" s="114"/>
      <c r="LXD15" s="114"/>
      <c r="LXE15" s="114"/>
      <c r="LXF15" s="114"/>
      <c r="LXG15" s="114"/>
      <c r="LXH15" s="114"/>
      <c r="LXI15" s="114"/>
      <c r="LXJ15" s="114"/>
      <c r="LXK15" s="114"/>
      <c r="LXL15" s="114"/>
      <c r="LXM15" s="114"/>
      <c r="LXN15" s="114"/>
      <c r="LXO15" s="114"/>
      <c r="LXP15" s="114"/>
      <c r="LXQ15" s="114"/>
      <c r="LXR15" s="114"/>
      <c r="LXS15" s="114"/>
      <c r="LXT15" s="114"/>
      <c r="LXU15" s="114"/>
      <c r="LXV15" s="114"/>
      <c r="LXW15" s="114"/>
      <c r="LXX15" s="114"/>
      <c r="LXY15" s="114"/>
      <c r="LXZ15" s="114"/>
      <c r="LYA15" s="114"/>
      <c r="LYB15" s="114"/>
      <c r="LYC15" s="114"/>
      <c r="LYD15" s="114"/>
      <c r="LYE15" s="114"/>
      <c r="LYF15" s="114"/>
      <c r="LYG15" s="114"/>
      <c r="LYH15" s="114"/>
      <c r="LYI15" s="114"/>
      <c r="LYJ15" s="114"/>
      <c r="LYK15" s="114"/>
      <c r="LYL15" s="114"/>
      <c r="LYM15" s="114"/>
      <c r="LYN15" s="114"/>
      <c r="LYO15" s="114"/>
      <c r="LYP15" s="114"/>
      <c r="LYQ15" s="114"/>
      <c r="LYR15" s="114"/>
      <c r="LYS15" s="114"/>
      <c r="LYT15" s="114"/>
      <c r="LYU15" s="114"/>
      <c r="LYV15" s="114"/>
      <c r="LYW15" s="114"/>
      <c r="LYX15" s="114"/>
      <c r="LYY15" s="114"/>
      <c r="LYZ15" s="114"/>
      <c r="LZA15" s="114"/>
      <c r="LZB15" s="114"/>
      <c r="LZC15" s="114"/>
      <c r="LZD15" s="114"/>
      <c r="LZE15" s="114"/>
      <c r="LZF15" s="114"/>
      <c r="LZG15" s="114"/>
      <c r="LZH15" s="114"/>
      <c r="LZI15" s="114"/>
      <c r="LZJ15" s="114"/>
      <c r="LZK15" s="114"/>
      <c r="LZL15" s="114"/>
      <c r="LZM15" s="114"/>
      <c r="LZN15" s="114"/>
      <c r="LZO15" s="114"/>
      <c r="LZP15" s="114"/>
      <c r="LZQ15" s="114"/>
      <c r="LZR15" s="114"/>
      <c r="LZS15" s="114"/>
      <c r="LZT15" s="114"/>
      <c r="LZU15" s="114"/>
      <c r="LZV15" s="114"/>
      <c r="LZW15" s="114"/>
      <c r="LZX15" s="114"/>
      <c r="LZY15" s="114"/>
      <c r="LZZ15" s="114"/>
      <c r="MAA15" s="114"/>
      <c r="MAB15" s="114"/>
      <c r="MAC15" s="114"/>
      <c r="MAD15" s="114"/>
      <c r="MAE15" s="114"/>
      <c r="MAF15" s="114"/>
      <c r="MAG15" s="114"/>
      <c r="MAH15" s="114"/>
      <c r="MAI15" s="114"/>
      <c r="MAJ15" s="114"/>
      <c r="MAK15" s="114"/>
      <c r="MAL15" s="114"/>
      <c r="MAM15" s="114"/>
      <c r="MAN15" s="114"/>
      <c r="MAO15" s="114"/>
      <c r="MAP15" s="114"/>
      <c r="MAQ15" s="114"/>
      <c r="MAR15" s="114"/>
      <c r="MAS15" s="114"/>
      <c r="MAT15" s="114"/>
      <c r="MAU15" s="114"/>
      <c r="MAV15" s="114"/>
      <c r="MAW15" s="114"/>
      <c r="MAX15" s="114"/>
      <c r="MAY15" s="114"/>
      <c r="MAZ15" s="114"/>
      <c r="MBA15" s="114"/>
      <c r="MBB15" s="114"/>
      <c r="MBC15" s="114"/>
      <c r="MBD15" s="114"/>
      <c r="MBE15" s="114"/>
      <c r="MBF15" s="114"/>
      <c r="MBG15" s="114"/>
      <c r="MBH15" s="114"/>
      <c r="MBI15" s="114"/>
      <c r="MBJ15" s="114"/>
      <c r="MBK15" s="114"/>
      <c r="MBL15" s="114"/>
      <c r="MBM15" s="114"/>
      <c r="MBN15" s="114"/>
      <c r="MBO15" s="114"/>
      <c r="MBP15" s="114"/>
      <c r="MBQ15" s="114"/>
      <c r="MBR15" s="114"/>
      <c r="MBS15" s="114"/>
      <c r="MBT15" s="114"/>
      <c r="MBU15" s="114"/>
      <c r="MBV15" s="114"/>
      <c r="MBW15" s="114"/>
      <c r="MBX15" s="114"/>
      <c r="MBY15" s="114"/>
      <c r="MBZ15" s="114"/>
      <c r="MCA15" s="114"/>
      <c r="MCB15" s="114"/>
      <c r="MCC15" s="114"/>
      <c r="MCD15" s="114"/>
      <c r="MCE15" s="114"/>
      <c r="MCF15" s="114"/>
      <c r="MCG15" s="114"/>
      <c r="MCH15" s="114"/>
      <c r="MCI15" s="114"/>
      <c r="MCJ15" s="114"/>
      <c r="MCK15" s="114"/>
      <c r="MCL15" s="114"/>
      <c r="MCM15" s="114"/>
      <c r="MCN15" s="114"/>
      <c r="MCO15" s="114"/>
      <c r="MCP15" s="114"/>
      <c r="MCQ15" s="114"/>
      <c r="MCR15" s="114"/>
      <c r="MCS15" s="114"/>
      <c r="MCT15" s="114"/>
      <c r="MCU15" s="114"/>
      <c r="MCV15" s="114"/>
      <c r="MCW15" s="114"/>
      <c r="MCX15" s="114"/>
      <c r="MCY15" s="114"/>
      <c r="MCZ15" s="114"/>
      <c r="MDA15" s="114"/>
      <c r="MDB15" s="114"/>
      <c r="MDC15" s="114"/>
      <c r="MDD15" s="114"/>
      <c r="MDE15" s="114"/>
      <c r="MDF15" s="114"/>
      <c r="MDG15" s="114"/>
      <c r="MDH15" s="114"/>
      <c r="MDI15" s="114"/>
      <c r="MDJ15" s="114"/>
      <c r="MDK15" s="114"/>
      <c r="MDL15" s="114"/>
      <c r="MDM15" s="114"/>
      <c r="MDN15" s="114"/>
      <c r="MDO15" s="114"/>
      <c r="MDP15" s="114"/>
      <c r="MDQ15" s="114"/>
      <c r="MDR15" s="114"/>
      <c r="MDS15" s="114"/>
      <c r="MDT15" s="114"/>
      <c r="MDU15" s="114"/>
      <c r="MDV15" s="114"/>
      <c r="MDW15" s="114"/>
      <c r="MDX15" s="114"/>
      <c r="MDY15" s="114"/>
      <c r="MDZ15" s="114"/>
      <c r="MEA15" s="114"/>
      <c r="MEB15" s="114"/>
      <c r="MEC15" s="114"/>
      <c r="MED15" s="114"/>
      <c r="MEE15" s="114"/>
      <c r="MEF15" s="114"/>
      <c r="MEG15" s="114"/>
      <c r="MEH15" s="114"/>
      <c r="MEI15" s="114"/>
      <c r="MEJ15" s="114"/>
      <c r="MEK15" s="114"/>
      <c r="MEL15" s="114"/>
      <c r="MEM15" s="114"/>
      <c r="MEN15" s="114"/>
      <c r="MEO15" s="114"/>
      <c r="MEP15" s="114"/>
      <c r="MEQ15" s="114"/>
      <c r="MER15" s="114"/>
      <c r="MES15" s="114"/>
      <c r="MET15" s="114"/>
      <c r="MEU15" s="114"/>
      <c r="MEV15" s="114"/>
      <c r="MEW15" s="114"/>
      <c r="MEX15" s="114"/>
      <c r="MEY15" s="114"/>
      <c r="MEZ15" s="114"/>
      <c r="MFA15" s="114"/>
      <c r="MFB15" s="114"/>
      <c r="MFC15" s="114"/>
      <c r="MFD15" s="114"/>
      <c r="MFE15" s="114"/>
      <c r="MFF15" s="114"/>
      <c r="MFG15" s="114"/>
      <c r="MFH15" s="114"/>
      <c r="MFI15" s="114"/>
      <c r="MFJ15" s="114"/>
      <c r="MFK15" s="114"/>
      <c r="MFL15" s="114"/>
      <c r="MFM15" s="114"/>
      <c r="MFN15" s="114"/>
      <c r="MFO15" s="114"/>
      <c r="MFP15" s="114"/>
      <c r="MFQ15" s="114"/>
      <c r="MFR15" s="114"/>
      <c r="MFS15" s="114"/>
      <c r="MFT15" s="114"/>
      <c r="MFU15" s="114"/>
      <c r="MFV15" s="114"/>
      <c r="MFW15" s="114"/>
      <c r="MFX15" s="114"/>
      <c r="MFY15" s="114"/>
      <c r="MFZ15" s="114"/>
      <c r="MGA15" s="114"/>
      <c r="MGB15" s="114"/>
      <c r="MGC15" s="114"/>
      <c r="MGD15" s="114"/>
      <c r="MGE15" s="114"/>
      <c r="MGF15" s="114"/>
      <c r="MGG15" s="114"/>
      <c r="MGH15" s="114"/>
      <c r="MGI15" s="114"/>
      <c r="MGJ15" s="114"/>
      <c r="MGK15" s="114"/>
      <c r="MGL15" s="114"/>
      <c r="MGM15" s="114"/>
      <c r="MGN15" s="114"/>
      <c r="MGO15" s="114"/>
      <c r="MGP15" s="114"/>
      <c r="MGQ15" s="114"/>
      <c r="MGR15" s="114"/>
      <c r="MGS15" s="114"/>
      <c r="MGT15" s="114"/>
      <c r="MGU15" s="114"/>
      <c r="MGV15" s="114"/>
      <c r="MGW15" s="114"/>
      <c r="MGX15" s="114"/>
      <c r="MGY15" s="114"/>
      <c r="MGZ15" s="114"/>
      <c r="MHA15" s="114"/>
      <c r="MHB15" s="114"/>
      <c r="MHC15" s="114"/>
      <c r="MHD15" s="114"/>
      <c r="MHE15" s="114"/>
      <c r="MHF15" s="114"/>
      <c r="MHG15" s="114"/>
      <c r="MHH15" s="114"/>
      <c r="MHI15" s="114"/>
      <c r="MHJ15" s="114"/>
      <c r="MHK15" s="114"/>
      <c r="MHL15" s="114"/>
      <c r="MHM15" s="114"/>
      <c r="MHN15" s="114"/>
      <c r="MHO15" s="114"/>
      <c r="MHP15" s="114"/>
      <c r="MHQ15" s="114"/>
      <c r="MHR15" s="114"/>
      <c r="MHS15" s="114"/>
      <c r="MHT15" s="114"/>
      <c r="MHU15" s="114"/>
      <c r="MHV15" s="114"/>
      <c r="MHW15" s="114"/>
      <c r="MHX15" s="114"/>
      <c r="MHY15" s="114"/>
      <c r="MHZ15" s="114"/>
      <c r="MIA15" s="114"/>
      <c r="MIB15" s="114"/>
      <c r="MIC15" s="114"/>
      <c r="MID15" s="114"/>
      <c r="MIE15" s="114"/>
      <c r="MIF15" s="114"/>
      <c r="MIG15" s="114"/>
      <c r="MIH15" s="114"/>
      <c r="MII15" s="114"/>
      <c r="MIJ15" s="114"/>
      <c r="MIK15" s="114"/>
      <c r="MIL15" s="114"/>
      <c r="MIM15" s="114"/>
      <c r="MIN15" s="114"/>
      <c r="MIO15" s="114"/>
      <c r="MIP15" s="114"/>
      <c r="MIQ15" s="114"/>
      <c r="MIR15" s="114"/>
      <c r="MIS15" s="114"/>
      <c r="MIT15" s="114"/>
      <c r="MIU15" s="114"/>
      <c r="MIV15" s="114"/>
      <c r="MIW15" s="114"/>
      <c r="MIX15" s="114"/>
      <c r="MIY15" s="114"/>
      <c r="MIZ15" s="114"/>
      <c r="MJA15" s="114"/>
      <c r="MJB15" s="114"/>
      <c r="MJC15" s="114"/>
      <c r="MJD15" s="114"/>
      <c r="MJE15" s="114"/>
      <c r="MJF15" s="114"/>
      <c r="MJG15" s="114"/>
      <c r="MJH15" s="114"/>
      <c r="MJI15" s="114"/>
      <c r="MJJ15" s="114"/>
      <c r="MJK15" s="114"/>
      <c r="MJL15" s="114"/>
      <c r="MJM15" s="114"/>
      <c r="MJN15" s="114"/>
      <c r="MJO15" s="114"/>
      <c r="MJP15" s="114"/>
      <c r="MJQ15" s="114"/>
      <c r="MJR15" s="114"/>
      <c r="MJS15" s="114"/>
      <c r="MJT15" s="114"/>
      <c r="MJU15" s="114"/>
      <c r="MJV15" s="114"/>
      <c r="MJW15" s="114"/>
      <c r="MJX15" s="114"/>
      <c r="MJY15" s="114"/>
      <c r="MJZ15" s="114"/>
      <c r="MKA15" s="114"/>
      <c r="MKB15" s="114"/>
      <c r="MKC15" s="114"/>
      <c r="MKD15" s="114"/>
      <c r="MKE15" s="114"/>
      <c r="MKF15" s="114"/>
      <c r="MKG15" s="114"/>
      <c r="MKH15" s="114"/>
      <c r="MKI15" s="114"/>
      <c r="MKJ15" s="114"/>
      <c r="MKK15" s="114"/>
      <c r="MKL15" s="114"/>
      <c r="MKM15" s="114"/>
      <c r="MKN15" s="114"/>
      <c r="MKO15" s="114"/>
      <c r="MKP15" s="114"/>
      <c r="MKQ15" s="114"/>
      <c r="MKR15" s="114"/>
      <c r="MKS15" s="114"/>
      <c r="MKT15" s="114"/>
      <c r="MKU15" s="114"/>
      <c r="MKV15" s="114"/>
      <c r="MKW15" s="114"/>
      <c r="MKX15" s="114"/>
      <c r="MKY15" s="114"/>
      <c r="MKZ15" s="114"/>
      <c r="MLA15" s="114"/>
      <c r="MLB15" s="114"/>
      <c r="MLC15" s="114"/>
      <c r="MLD15" s="114"/>
      <c r="MLE15" s="114"/>
      <c r="MLF15" s="114"/>
      <c r="MLG15" s="114"/>
      <c r="MLH15" s="114"/>
      <c r="MLI15" s="114"/>
      <c r="MLJ15" s="114"/>
      <c r="MLK15" s="114"/>
      <c r="MLL15" s="114"/>
      <c r="MLM15" s="114"/>
      <c r="MLN15" s="114"/>
      <c r="MLO15" s="114"/>
      <c r="MLP15" s="114"/>
      <c r="MLQ15" s="114"/>
      <c r="MLR15" s="114"/>
      <c r="MLS15" s="114"/>
      <c r="MLT15" s="114"/>
      <c r="MLU15" s="114"/>
      <c r="MLV15" s="114"/>
      <c r="MLW15" s="114"/>
      <c r="MLX15" s="114"/>
      <c r="MLY15" s="114"/>
      <c r="MLZ15" s="114"/>
      <c r="MMA15" s="114"/>
      <c r="MMB15" s="114"/>
      <c r="MMC15" s="114"/>
      <c r="MMD15" s="114"/>
      <c r="MME15" s="114"/>
      <c r="MMF15" s="114"/>
      <c r="MMG15" s="114"/>
      <c r="MMH15" s="114"/>
      <c r="MMI15" s="114"/>
      <c r="MMJ15" s="114"/>
      <c r="MMK15" s="114"/>
      <c r="MML15" s="114"/>
      <c r="MMM15" s="114"/>
      <c r="MMN15" s="114"/>
      <c r="MMO15" s="114"/>
      <c r="MMP15" s="114"/>
      <c r="MMQ15" s="114"/>
      <c r="MMR15" s="114"/>
      <c r="MMS15" s="114"/>
      <c r="MMT15" s="114"/>
      <c r="MMU15" s="114"/>
      <c r="MMV15" s="114"/>
      <c r="MMW15" s="114"/>
      <c r="MMX15" s="114"/>
      <c r="MMY15" s="114"/>
      <c r="MMZ15" s="114"/>
      <c r="MNA15" s="114"/>
      <c r="MNB15" s="114"/>
      <c r="MNC15" s="114"/>
      <c r="MND15" s="114"/>
      <c r="MNE15" s="114"/>
      <c r="MNF15" s="114"/>
      <c r="MNG15" s="114"/>
      <c r="MNH15" s="114"/>
      <c r="MNI15" s="114"/>
      <c r="MNJ15" s="114"/>
      <c r="MNK15" s="114"/>
      <c r="MNL15" s="114"/>
      <c r="MNM15" s="114"/>
      <c r="MNN15" s="114"/>
      <c r="MNO15" s="114"/>
      <c r="MNP15" s="114"/>
      <c r="MNQ15" s="114"/>
      <c r="MNR15" s="114"/>
      <c r="MNS15" s="114"/>
      <c r="MNT15" s="114"/>
      <c r="MNU15" s="114"/>
      <c r="MNV15" s="114"/>
      <c r="MNW15" s="114"/>
      <c r="MNX15" s="114"/>
      <c r="MNY15" s="114"/>
      <c r="MNZ15" s="114"/>
      <c r="MOA15" s="114"/>
      <c r="MOB15" s="114"/>
      <c r="MOC15" s="114"/>
      <c r="MOD15" s="114"/>
      <c r="MOE15" s="114"/>
      <c r="MOF15" s="114"/>
      <c r="MOG15" s="114"/>
      <c r="MOH15" s="114"/>
      <c r="MOI15" s="114"/>
      <c r="MOJ15" s="114"/>
      <c r="MOK15" s="114"/>
      <c r="MOL15" s="114"/>
      <c r="MOM15" s="114"/>
      <c r="MON15" s="114"/>
      <c r="MOO15" s="114"/>
      <c r="MOP15" s="114"/>
      <c r="MOQ15" s="114"/>
      <c r="MOR15" s="114"/>
      <c r="MOS15" s="114"/>
      <c r="MOT15" s="114"/>
      <c r="MOU15" s="114"/>
      <c r="MOV15" s="114"/>
      <c r="MOW15" s="114"/>
      <c r="MOX15" s="114"/>
      <c r="MOY15" s="114"/>
      <c r="MOZ15" s="114"/>
      <c r="MPA15" s="114"/>
      <c r="MPB15" s="114"/>
      <c r="MPC15" s="114"/>
      <c r="MPD15" s="114"/>
      <c r="MPE15" s="114"/>
      <c r="MPF15" s="114"/>
      <c r="MPG15" s="114"/>
      <c r="MPH15" s="114"/>
      <c r="MPI15" s="114"/>
      <c r="MPJ15" s="114"/>
      <c r="MPK15" s="114"/>
      <c r="MPL15" s="114"/>
      <c r="MPM15" s="114"/>
      <c r="MPN15" s="114"/>
      <c r="MPO15" s="114"/>
      <c r="MPP15" s="114"/>
      <c r="MPQ15" s="114"/>
      <c r="MPR15" s="114"/>
      <c r="MPS15" s="114"/>
      <c r="MPT15" s="114"/>
      <c r="MPU15" s="114"/>
      <c r="MPV15" s="114"/>
      <c r="MPW15" s="114"/>
      <c r="MPX15" s="114"/>
      <c r="MPY15" s="114"/>
      <c r="MPZ15" s="114"/>
      <c r="MQA15" s="114"/>
      <c r="MQB15" s="114"/>
      <c r="MQC15" s="114"/>
      <c r="MQD15" s="114"/>
      <c r="MQE15" s="114"/>
      <c r="MQF15" s="114"/>
      <c r="MQG15" s="114"/>
      <c r="MQH15" s="114"/>
      <c r="MQI15" s="114"/>
      <c r="MQJ15" s="114"/>
      <c r="MQK15" s="114"/>
      <c r="MQL15" s="114"/>
      <c r="MQM15" s="114"/>
      <c r="MQN15" s="114"/>
      <c r="MQO15" s="114"/>
      <c r="MQP15" s="114"/>
      <c r="MQQ15" s="114"/>
      <c r="MQR15" s="114"/>
      <c r="MQS15" s="114"/>
      <c r="MQT15" s="114"/>
      <c r="MQU15" s="114"/>
      <c r="MQV15" s="114"/>
      <c r="MQW15" s="114"/>
      <c r="MQX15" s="114"/>
      <c r="MQY15" s="114"/>
      <c r="MQZ15" s="114"/>
      <c r="MRA15" s="114"/>
      <c r="MRB15" s="114"/>
      <c r="MRC15" s="114"/>
      <c r="MRD15" s="114"/>
      <c r="MRE15" s="114"/>
      <c r="MRF15" s="114"/>
      <c r="MRG15" s="114"/>
      <c r="MRH15" s="114"/>
      <c r="MRI15" s="114"/>
      <c r="MRJ15" s="114"/>
      <c r="MRK15" s="114"/>
      <c r="MRL15" s="114"/>
      <c r="MRM15" s="114"/>
      <c r="MRN15" s="114"/>
      <c r="MRO15" s="114"/>
      <c r="MRP15" s="114"/>
      <c r="MRQ15" s="114"/>
      <c r="MRR15" s="114"/>
      <c r="MRS15" s="114"/>
      <c r="MRT15" s="114"/>
      <c r="MRU15" s="114"/>
      <c r="MRV15" s="114"/>
      <c r="MRW15" s="114"/>
      <c r="MRX15" s="114"/>
      <c r="MRY15" s="114"/>
      <c r="MRZ15" s="114"/>
      <c r="MSA15" s="114"/>
      <c r="MSB15" s="114"/>
      <c r="MSC15" s="114"/>
      <c r="MSD15" s="114"/>
      <c r="MSE15" s="114"/>
      <c r="MSF15" s="114"/>
      <c r="MSG15" s="114"/>
      <c r="MSH15" s="114"/>
      <c r="MSI15" s="114"/>
      <c r="MSJ15" s="114"/>
      <c r="MSK15" s="114"/>
      <c r="MSL15" s="114"/>
      <c r="MSM15" s="114"/>
      <c r="MSN15" s="114"/>
      <c r="MSO15" s="114"/>
      <c r="MSP15" s="114"/>
      <c r="MSQ15" s="114"/>
      <c r="MSR15" s="114"/>
      <c r="MSS15" s="114"/>
      <c r="MST15" s="114"/>
      <c r="MSU15" s="114"/>
      <c r="MSV15" s="114"/>
      <c r="MSW15" s="114"/>
      <c r="MSX15" s="114"/>
      <c r="MSY15" s="114"/>
      <c r="MSZ15" s="114"/>
      <c r="MTA15" s="114"/>
      <c r="MTB15" s="114"/>
      <c r="MTC15" s="114"/>
      <c r="MTD15" s="114"/>
      <c r="MTE15" s="114"/>
      <c r="MTF15" s="114"/>
      <c r="MTG15" s="114"/>
      <c r="MTH15" s="114"/>
      <c r="MTI15" s="114"/>
      <c r="MTJ15" s="114"/>
      <c r="MTK15" s="114"/>
      <c r="MTL15" s="114"/>
      <c r="MTM15" s="114"/>
      <c r="MTN15" s="114"/>
      <c r="MTO15" s="114"/>
      <c r="MTP15" s="114"/>
      <c r="MTQ15" s="114"/>
      <c r="MTR15" s="114"/>
      <c r="MTS15" s="114"/>
      <c r="MTT15" s="114"/>
      <c r="MTU15" s="114"/>
      <c r="MTV15" s="114"/>
      <c r="MTW15" s="114"/>
      <c r="MTX15" s="114"/>
      <c r="MTY15" s="114"/>
      <c r="MTZ15" s="114"/>
      <c r="MUA15" s="114"/>
      <c r="MUB15" s="114"/>
      <c r="MUC15" s="114"/>
      <c r="MUD15" s="114"/>
      <c r="MUE15" s="114"/>
      <c r="MUF15" s="114"/>
      <c r="MUG15" s="114"/>
      <c r="MUH15" s="114"/>
      <c r="MUI15" s="114"/>
      <c r="MUJ15" s="114"/>
      <c r="MUK15" s="114"/>
      <c r="MUL15" s="114"/>
      <c r="MUM15" s="114"/>
      <c r="MUN15" s="114"/>
      <c r="MUO15" s="114"/>
      <c r="MUP15" s="114"/>
      <c r="MUQ15" s="114"/>
      <c r="MUR15" s="114"/>
      <c r="MUS15" s="114"/>
      <c r="MUT15" s="114"/>
      <c r="MUU15" s="114"/>
      <c r="MUV15" s="114"/>
      <c r="MUW15" s="114"/>
      <c r="MUX15" s="114"/>
      <c r="MUY15" s="114"/>
      <c r="MUZ15" s="114"/>
      <c r="MVA15" s="114"/>
      <c r="MVB15" s="114"/>
      <c r="MVC15" s="114"/>
      <c r="MVD15" s="114"/>
      <c r="MVE15" s="114"/>
      <c r="MVF15" s="114"/>
      <c r="MVG15" s="114"/>
      <c r="MVH15" s="114"/>
      <c r="MVI15" s="114"/>
      <c r="MVJ15" s="114"/>
      <c r="MVK15" s="114"/>
      <c r="MVL15" s="114"/>
      <c r="MVM15" s="114"/>
      <c r="MVN15" s="114"/>
      <c r="MVO15" s="114"/>
      <c r="MVP15" s="114"/>
      <c r="MVQ15" s="114"/>
      <c r="MVR15" s="114"/>
      <c r="MVS15" s="114"/>
      <c r="MVT15" s="114"/>
      <c r="MVU15" s="114"/>
      <c r="MVV15" s="114"/>
      <c r="MVW15" s="114"/>
      <c r="MVX15" s="114"/>
      <c r="MVY15" s="114"/>
      <c r="MVZ15" s="114"/>
      <c r="MWA15" s="114"/>
      <c r="MWB15" s="114"/>
      <c r="MWC15" s="114"/>
      <c r="MWD15" s="114"/>
      <c r="MWE15" s="114"/>
      <c r="MWF15" s="114"/>
      <c r="MWG15" s="114"/>
      <c r="MWH15" s="114"/>
      <c r="MWI15" s="114"/>
      <c r="MWJ15" s="114"/>
      <c r="MWK15" s="114"/>
      <c r="MWL15" s="114"/>
      <c r="MWM15" s="114"/>
      <c r="MWN15" s="114"/>
      <c r="MWO15" s="114"/>
      <c r="MWP15" s="114"/>
      <c r="MWQ15" s="114"/>
      <c r="MWR15" s="114"/>
      <c r="MWS15" s="114"/>
      <c r="MWT15" s="114"/>
      <c r="MWU15" s="114"/>
      <c r="MWV15" s="114"/>
      <c r="MWW15" s="114"/>
      <c r="MWX15" s="114"/>
      <c r="MWY15" s="114"/>
      <c r="MWZ15" s="114"/>
      <c r="MXA15" s="114"/>
      <c r="MXB15" s="114"/>
      <c r="MXC15" s="114"/>
      <c r="MXD15" s="114"/>
      <c r="MXE15" s="114"/>
      <c r="MXF15" s="114"/>
      <c r="MXG15" s="114"/>
      <c r="MXH15" s="114"/>
      <c r="MXI15" s="114"/>
      <c r="MXJ15" s="114"/>
      <c r="MXK15" s="114"/>
      <c r="MXL15" s="114"/>
      <c r="MXM15" s="114"/>
      <c r="MXN15" s="114"/>
      <c r="MXO15" s="114"/>
      <c r="MXP15" s="114"/>
      <c r="MXQ15" s="114"/>
      <c r="MXR15" s="114"/>
      <c r="MXS15" s="114"/>
      <c r="MXT15" s="114"/>
      <c r="MXU15" s="114"/>
      <c r="MXV15" s="114"/>
      <c r="MXW15" s="114"/>
      <c r="MXX15" s="114"/>
      <c r="MXY15" s="114"/>
      <c r="MXZ15" s="114"/>
      <c r="MYA15" s="114"/>
      <c r="MYB15" s="114"/>
      <c r="MYC15" s="114"/>
      <c r="MYD15" s="114"/>
      <c r="MYE15" s="114"/>
      <c r="MYF15" s="114"/>
      <c r="MYG15" s="114"/>
      <c r="MYH15" s="114"/>
      <c r="MYI15" s="114"/>
      <c r="MYJ15" s="114"/>
      <c r="MYK15" s="114"/>
      <c r="MYL15" s="114"/>
      <c r="MYM15" s="114"/>
      <c r="MYN15" s="114"/>
      <c r="MYO15" s="114"/>
      <c r="MYP15" s="114"/>
      <c r="MYQ15" s="114"/>
      <c r="MYR15" s="114"/>
      <c r="MYS15" s="114"/>
      <c r="MYT15" s="114"/>
      <c r="MYU15" s="114"/>
      <c r="MYV15" s="114"/>
      <c r="MYW15" s="114"/>
      <c r="MYX15" s="114"/>
      <c r="MYY15" s="114"/>
      <c r="MYZ15" s="114"/>
      <c r="MZA15" s="114"/>
      <c r="MZB15" s="114"/>
      <c r="MZC15" s="114"/>
      <c r="MZD15" s="114"/>
      <c r="MZE15" s="114"/>
      <c r="MZF15" s="114"/>
      <c r="MZG15" s="114"/>
      <c r="MZH15" s="114"/>
      <c r="MZI15" s="114"/>
      <c r="MZJ15" s="114"/>
      <c r="MZK15" s="114"/>
      <c r="MZL15" s="114"/>
      <c r="MZM15" s="114"/>
      <c r="MZN15" s="114"/>
      <c r="MZO15" s="114"/>
      <c r="MZP15" s="114"/>
      <c r="MZQ15" s="114"/>
      <c r="MZR15" s="114"/>
      <c r="MZS15" s="114"/>
      <c r="MZT15" s="114"/>
      <c r="MZU15" s="114"/>
      <c r="MZV15" s="114"/>
      <c r="MZW15" s="114"/>
      <c r="MZX15" s="114"/>
      <c r="MZY15" s="114"/>
      <c r="MZZ15" s="114"/>
      <c r="NAA15" s="114"/>
      <c r="NAB15" s="114"/>
      <c r="NAC15" s="114"/>
      <c r="NAD15" s="114"/>
      <c r="NAE15" s="114"/>
      <c r="NAF15" s="114"/>
      <c r="NAG15" s="114"/>
      <c r="NAH15" s="114"/>
      <c r="NAI15" s="114"/>
      <c r="NAJ15" s="114"/>
      <c r="NAK15" s="114"/>
      <c r="NAL15" s="114"/>
      <c r="NAM15" s="114"/>
      <c r="NAN15" s="114"/>
      <c r="NAO15" s="114"/>
      <c r="NAP15" s="114"/>
      <c r="NAQ15" s="114"/>
      <c r="NAR15" s="114"/>
      <c r="NAS15" s="114"/>
      <c r="NAT15" s="114"/>
      <c r="NAU15" s="114"/>
      <c r="NAV15" s="114"/>
      <c r="NAW15" s="114"/>
      <c r="NAX15" s="114"/>
      <c r="NAY15" s="114"/>
      <c r="NAZ15" s="114"/>
      <c r="NBA15" s="114"/>
      <c r="NBB15" s="114"/>
      <c r="NBC15" s="114"/>
      <c r="NBD15" s="114"/>
      <c r="NBE15" s="114"/>
      <c r="NBF15" s="114"/>
      <c r="NBG15" s="114"/>
      <c r="NBH15" s="114"/>
      <c r="NBI15" s="114"/>
      <c r="NBJ15" s="114"/>
      <c r="NBK15" s="114"/>
      <c r="NBL15" s="114"/>
      <c r="NBM15" s="114"/>
      <c r="NBN15" s="114"/>
      <c r="NBO15" s="114"/>
      <c r="NBP15" s="114"/>
      <c r="NBQ15" s="114"/>
      <c r="NBR15" s="114"/>
      <c r="NBS15" s="114"/>
      <c r="NBT15" s="114"/>
      <c r="NBU15" s="114"/>
      <c r="NBV15" s="114"/>
      <c r="NBW15" s="114"/>
      <c r="NBX15" s="114"/>
      <c r="NBY15" s="114"/>
      <c r="NBZ15" s="114"/>
      <c r="NCA15" s="114"/>
      <c r="NCB15" s="114"/>
      <c r="NCC15" s="114"/>
      <c r="NCD15" s="114"/>
      <c r="NCE15" s="114"/>
      <c r="NCF15" s="114"/>
      <c r="NCG15" s="114"/>
      <c r="NCH15" s="114"/>
      <c r="NCI15" s="114"/>
      <c r="NCJ15" s="114"/>
      <c r="NCK15" s="114"/>
      <c r="NCL15" s="114"/>
      <c r="NCM15" s="114"/>
      <c r="NCN15" s="114"/>
      <c r="NCO15" s="114"/>
      <c r="NCP15" s="114"/>
      <c r="NCQ15" s="114"/>
      <c r="NCR15" s="114"/>
      <c r="NCS15" s="114"/>
      <c r="NCT15" s="114"/>
      <c r="NCU15" s="114"/>
      <c r="NCV15" s="114"/>
      <c r="NCW15" s="114"/>
      <c r="NCX15" s="114"/>
      <c r="NCY15" s="114"/>
      <c r="NCZ15" s="114"/>
      <c r="NDA15" s="114"/>
      <c r="NDB15" s="114"/>
      <c r="NDC15" s="114"/>
      <c r="NDD15" s="114"/>
      <c r="NDE15" s="114"/>
      <c r="NDF15" s="114"/>
      <c r="NDG15" s="114"/>
      <c r="NDH15" s="114"/>
      <c r="NDI15" s="114"/>
      <c r="NDJ15" s="114"/>
      <c r="NDK15" s="114"/>
      <c r="NDL15" s="114"/>
      <c r="NDM15" s="114"/>
      <c r="NDN15" s="114"/>
      <c r="NDO15" s="114"/>
      <c r="NDP15" s="114"/>
      <c r="NDQ15" s="114"/>
      <c r="NDR15" s="114"/>
      <c r="NDS15" s="114"/>
      <c r="NDT15" s="114"/>
      <c r="NDU15" s="114"/>
      <c r="NDV15" s="114"/>
      <c r="NDW15" s="114"/>
      <c r="NDX15" s="114"/>
      <c r="NDY15" s="114"/>
      <c r="NDZ15" s="114"/>
      <c r="NEA15" s="114"/>
      <c r="NEB15" s="114"/>
      <c r="NEC15" s="114"/>
      <c r="NED15" s="114"/>
      <c r="NEE15" s="114"/>
      <c r="NEF15" s="114"/>
      <c r="NEG15" s="114"/>
      <c r="NEH15" s="114"/>
      <c r="NEI15" s="114"/>
      <c r="NEJ15" s="114"/>
      <c r="NEK15" s="114"/>
      <c r="NEL15" s="114"/>
      <c r="NEM15" s="114"/>
      <c r="NEN15" s="114"/>
      <c r="NEO15" s="114"/>
      <c r="NEP15" s="114"/>
      <c r="NEQ15" s="114"/>
      <c r="NER15" s="114"/>
      <c r="NES15" s="114"/>
      <c r="NET15" s="114"/>
      <c r="NEU15" s="114"/>
      <c r="NEV15" s="114"/>
      <c r="NEW15" s="114"/>
      <c r="NEX15" s="114"/>
      <c r="NEY15" s="114"/>
      <c r="NEZ15" s="114"/>
      <c r="NFA15" s="114"/>
      <c r="NFB15" s="114"/>
      <c r="NFC15" s="114"/>
      <c r="NFD15" s="114"/>
      <c r="NFE15" s="114"/>
      <c r="NFF15" s="114"/>
      <c r="NFG15" s="114"/>
      <c r="NFH15" s="114"/>
      <c r="NFI15" s="114"/>
      <c r="NFJ15" s="114"/>
      <c r="NFK15" s="114"/>
      <c r="NFL15" s="114"/>
      <c r="NFM15" s="114"/>
      <c r="NFN15" s="114"/>
      <c r="NFO15" s="114"/>
      <c r="NFP15" s="114"/>
      <c r="NFQ15" s="114"/>
      <c r="NFR15" s="114"/>
      <c r="NFS15" s="114"/>
      <c r="NFT15" s="114"/>
      <c r="NFU15" s="114"/>
      <c r="NFV15" s="114"/>
      <c r="NFW15" s="114"/>
      <c r="NFX15" s="114"/>
      <c r="NFY15" s="114"/>
      <c r="NFZ15" s="114"/>
      <c r="NGA15" s="114"/>
      <c r="NGB15" s="114"/>
      <c r="NGC15" s="114"/>
      <c r="NGD15" s="114"/>
      <c r="NGE15" s="114"/>
      <c r="NGF15" s="114"/>
      <c r="NGG15" s="114"/>
      <c r="NGH15" s="114"/>
      <c r="NGI15" s="114"/>
      <c r="NGJ15" s="114"/>
      <c r="NGK15" s="114"/>
      <c r="NGL15" s="114"/>
      <c r="NGM15" s="114"/>
      <c r="NGN15" s="114"/>
      <c r="NGO15" s="114"/>
      <c r="NGP15" s="114"/>
      <c r="NGQ15" s="114"/>
      <c r="NGR15" s="114"/>
      <c r="NGS15" s="114"/>
      <c r="NGT15" s="114"/>
      <c r="NGU15" s="114"/>
      <c r="NGV15" s="114"/>
      <c r="NGW15" s="114"/>
      <c r="NGX15" s="114"/>
      <c r="NGY15" s="114"/>
      <c r="NGZ15" s="114"/>
      <c r="NHA15" s="114"/>
      <c r="NHB15" s="114"/>
      <c r="NHC15" s="114"/>
      <c r="NHD15" s="114"/>
      <c r="NHE15" s="114"/>
      <c r="NHF15" s="114"/>
      <c r="NHG15" s="114"/>
      <c r="NHH15" s="114"/>
      <c r="NHI15" s="114"/>
      <c r="NHJ15" s="114"/>
      <c r="NHK15" s="114"/>
      <c r="NHL15" s="114"/>
      <c r="NHM15" s="114"/>
      <c r="NHN15" s="114"/>
      <c r="NHO15" s="114"/>
      <c r="NHP15" s="114"/>
      <c r="NHQ15" s="114"/>
      <c r="NHR15" s="114"/>
      <c r="NHS15" s="114"/>
      <c r="NHT15" s="114"/>
      <c r="NHU15" s="114"/>
      <c r="NHV15" s="114"/>
      <c r="NHW15" s="114"/>
      <c r="NHX15" s="114"/>
      <c r="NHY15" s="114"/>
      <c r="NHZ15" s="114"/>
      <c r="NIA15" s="114"/>
      <c r="NIB15" s="114"/>
      <c r="NIC15" s="114"/>
      <c r="NID15" s="114"/>
      <c r="NIE15" s="114"/>
      <c r="NIF15" s="114"/>
      <c r="NIG15" s="114"/>
      <c r="NIH15" s="114"/>
      <c r="NII15" s="114"/>
      <c r="NIJ15" s="114"/>
      <c r="NIK15" s="114"/>
      <c r="NIL15" s="114"/>
      <c r="NIM15" s="114"/>
      <c r="NIN15" s="114"/>
      <c r="NIO15" s="114"/>
      <c r="NIP15" s="114"/>
      <c r="NIQ15" s="114"/>
      <c r="NIR15" s="114"/>
      <c r="NIS15" s="114"/>
      <c r="NIT15" s="114"/>
      <c r="NIU15" s="114"/>
      <c r="NIV15" s="114"/>
      <c r="NIW15" s="114"/>
      <c r="NIX15" s="114"/>
      <c r="NIY15" s="114"/>
      <c r="NIZ15" s="114"/>
      <c r="NJA15" s="114"/>
      <c r="NJB15" s="114"/>
      <c r="NJC15" s="114"/>
      <c r="NJD15" s="114"/>
      <c r="NJE15" s="114"/>
      <c r="NJF15" s="114"/>
      <c r="NJG15" s="114"/>
      <c r="NJH15" s="114"/>
      <c r="NJI15" s="114"/>
      <c r="NJJ15" s="114"/>
      <c r="NJK15" s="114"/>
      <c r="NJL15" s="114"/>
      <c r="NJM15" s="114"/>
      <c r="NJN15" s="114"/>
      <c r="NJO15" s="114"/>
      <c r="NJP15" s="114"/>
      <c r="NJQ15" s="114"/>
      <c r="NJR15" s="114"/>
      <c r="NJS15" s="114"/>
      <c r="NJT15" s="114"/>
      <c r="NJU15" s="114"/>
      <c r="NJV15" s="114"/>
      <c r="NJW15" s="114"/>
      <c r="NJX15" s="114"/>
      <c r="NJY15" s="114"/>
      <c r="NJZ15" s="114"/>
      <c r="NKA15" s="114"/>
      <c r="NKB15" s="114"/>
      <c r="NKC15" s="114"/>
      <c r="NKD15" s="114"/>
      <c r="NKE15" s="114"/>
      <c r="NKF15" s="114"/>
      <c r="NKG15" s="114"/>
      <c r="NKH15" s="114"/>
      <c r="NKI15" s="114"/>
      <c r="NKJ15" s="114"/>
      <c r="NKK15" s="114"/>
      <c r="NKL15" s="114"/>
      <c r="NKM15" s="114"/>
      <c r="NKN15" s="114"/>
      <c r="NKO15" s="114"/>
      <c r="NKP15" s="114"/>
      <c r="NKQ15" s="114"/>
      <c r="NKR15" s="114"/>
      <c r="NKS15" s="114"/>
      <c r="NKT15" s="114"/>
      <c r="NKU15" s="114"/>
      <c r="NKV15" s="114"/>
      <c r="NKW15" s="114"/>
      <c r="NKX15" s="114"/>
      <c r="NKY15" s="114"/>
      <c r="NKZ15" s="114"/>
      <c r="NLA15" s="114"/>
      <c r="NLB15" s="114"/>
      <c r="NLC15" s="114"/>
      <c r="NLD15" s="114"/>
      <c r="NLE15" s="114"/>
      <c r="NLF15" s="114"/>
      <c r="NLG15" s="114"/>
      <c r="NLH15" s="114"/>
      <c r="NLI15" s="114"/>
      <c r="NLJ15" s="114"/>
      <c r="NLK15" s="114"/>
      <c r="NLL15" s="114"/>
      <c r="NLM15" s="114"/>
      <c r="NLN15" s="114"/>
      <c r="NLO15" s="114"/>
      <c r="NLP15" s="114"/>
      <c r="NLQ15" s="114"/>
      <c r="NLR15" s="114"/>
      <c r="NLS15" s="114"/>
      <c r="NLT15" s="114"/>
      <c r="NLU15" s="114"/>
      <c r="NLV15" s="114"/>
      <c r="NLW15" s="114"/>
      <c r="NLX15" s="114"/>
      <c r="NLY15" s="114"/>
      <c r="NLZ15" s="114"/>
      <c r="NMA15" s="114"/>
      <c r="NMB15" s="114"/>
      <c r="NMC15" s="114"/>
      <c r="NMD15" s="114"/>
      <c r="NME15" s="114"/>
      <c r="NMF15" s="114"/>
      <c r="NMG15" s="114"/>
      <c r="NMH15" s="114"/>
      <c r="NMI15" s="114"/>
      <c r="NMJ15" s="114"/>
      <c r="NMK15" s="114"/>
      <c r="NML15" s="114"/>
      <c r="NMM15" s="114"/>
      <c r="NMN15" s="114"/>
      <c r="NMO15" s="114"/>
      <c r="NMP15" s="114"/>
      <c r="NMQ15" s="114"/>
      <c r="NMR15" s="114"/>
      <c r="NMS15" s="114"/>
      <c r="NMT15" s="114"/>
      <c r="NMU15" s="114"/>
      <c r="NMV15" s="114"/>
      <c r="NMW15" s="114"/>
      <c r="NMX15" s="114"/>
      <c r="NMY15" s="114"/>
      <c r="NMZ15" s="114"/>
      <c r="NNA15" s="114"/>
      <c r="NNB15" s="114"/>
      <c r="NNC15" s="114"/>
      <c r="NND15" s="114"/>
      <c r="NNE15" s="114"/>
      <c r="NNF15" s="114"/>
      <c r="NNG15" s="114"/>
      <c r="NNH15" s="114"/>
      <c r="NNI15" s="114"/>
      <c r="NNJ15" s="114"/>
      <c r="NNK15" s="114"/>
      <c r="NNL15" s="114"/>
      <c r="NNM15" s="114"/>
      <c r="NNN15" s="114"/>
      <c r="NNO15" s="114"/>
      <c r="NNP15" s="114"/>
      <c r="NNQ15" s="114"/>
      <c r="NNR15" s="114"/>
      <c r="NNS15" s="114"/>
      <c r="NNT15" s="114"/>
      <c r="NNU15" s="114"/>
      <c r="NNV15" s="114"/>
      <c r="NNW15" s="114"/>
      <c r="NNX15" s="114"/>
      <c r="NNY15" s="114"/>
      <c r="NNZ15" s="114"/>
      <c r="NOA15" s="114"/>
      <c r="NOB15" s="114"/>
      <c r="NOC15" s="114"/>
      <c r="NOD15" s="114"/>
      <c r="NOE15" s="114"/>
      <c r="NOF15" s="114"/>
      <c r="NOG15" s="114"/>
      <c r="NOH15" s="114"/>
      <c r="NOI15" s="114"/>
      <c r="NOJ15" s="114"/>
      <c r="NOK15" s="114"/>
      <c r="NOL15" s="114"/>
      <c r="NOM15" s="114"/>
      <c r="NON15" s="114"/>
      <c r="NOO15" s="114"/>
      <c r="NOP15" s="114"/>
      <c r="NOQ15" s="114"/>
      <c r="NOR15" s="114"/>
      <c r="NOS15" s="114"/>
      <c r="NOT15" s="114"/>
      <c r="NOU15" s="114"/>
      <c r="NOV15" s="114"/>
      <c r="NOW15" s="114"/>
      <c r="NOX15" s="114"/>
      <c r="NOY15" s="114"/>
      <c r="NOZ15" s="114"/>
      <c r="NPA15" s="114"/>
      <c r="NPB15" s="114"/>
      <c r="NPC15" s="114"/>
      <c r="NPD15" s="114"/>
      <c r="NPE15" s="114"/>
      <c r="NPF15" s="114"/>
      <c r="NPG15" s="114"/>
      <c r="NPH15" s="114"/>
      <c r="NPI15" s="114"/>
      <c r="NPJ15" s="114"/>
      <c r="NPK15" s="114"/>
      <c r="NPL15" s="114"/>
      <c r="NPM15" s="114"/>
      <c r="NPN15" s="114"/>
      <c r="NPO15" s="114"/>
      <c r="NPP15" s="114"/>
      <c r="NPQ15" s="114"/>
      <c r="NPR15" s="114"/>
      <c r="NPS15" s="114"/>
      <c r="NPT15" s="114"/>
      <c r="NPU15" s="114"/>
      <c r="NPV15" s="114"/>
      <c r="NPW15" s="114"/>
      <c r="NPX15" s="114"/>
      <c r="NPY15" s="114"/>
      <c r="NPZ15" s="114"/>
      <c r="NQA15" s="114"/>
      <c r="NQB15" s="114"/>
      <c r="NQC15" s="114"/>
      <c r="NQD15" s="114"/>
      <c r="NQE15" s="114"/>
      <c r="NQF15" s="114"/>
      <c r="NQG15" s="114"/>
      <c r="NQH15" s="114"/>
      <c r="NQI15" s="114"/>
      <c r="NQJ15" s="114"/>
      <c r="NQK15" s="114"/>
      <c r="NQL15" s="114"/>
      <c r="NQM15" s="114"/>
      <c r="NQN15" s="114"/>
      <c r="NQO15" s="114"/>
      <c r="NQP15" s="114"/>
      <c r="NQQ15" s="114"/>
      <c r="NQR15" s="114"/>
      <c r="NQS15" s="114"/>
      <c r="NQT15" s="114"/>
      <c r="NQU15" s="114"/>
      <c r="NQV15" s="114"/>
      <c r="NQW15" s="114"/>
      <c r="NQX15" s="114"/>
      <c r="NQY15" s="114"/>
      <c r="NQZ15" s="114"/>
      <c r="NRA15" s="114"/>
      <c r="NRB15" s="114"/>
      <c r="NRC15" s="114"/>
      <c r="NRD15" s="114"/>
      <c r="NRE15" s="114"/>
      <c r="NRF15" s="114"/>
      <c r="NRG15" s="114"/>
      <c r="NRH15" s="114"/>
      <c r="NRI15" s="114"/>
      <c r="NRJ15" s="114"/>
      <c r="NRK15" s="114"/>
      <c r="NRL15" s="114"/>
      <c r="NRM15" s="114"/>
      <c r="NRN15" s="114"/>
      <c r="NRO15" s="114"/>
      <c r="NRP15" s="114"/>
      <c r="NRQ15" s="114"/>
      <c r="NRR15" s="114"/>
      <c r="NRS15" s="114"/>
      <c r="NRT15" s="114"/>
      <c r="NRU15" s="114"/>
      <c r="NRV15" s="114"/>
      <c r="NRW15" s="114"/>
      <c r="NRX15" s="114"/>
      <c r="NRY15" s="114"/>
      <c r="NRZ15" s="114"/>
      <c r="NSA15" s="114"/>
      <c r="NSB15" s="114"/>
      <c r="NSC15" s="114"/>
      <c r="NSD15" s="114"/>
      <c r="NSE15" s="114"/>
      <c r="NSF15" s="114"/>
      <c r="NSG15" s="114"/>
      <c r="NSH15" s="114"/>
      <c r="NSI15" s="114"/>
      <c r="NSJ15" s="114"/>
      <c r="NSK15" s="114"/>
      <c r="NSL15" s="114"/>
      <c r="NSM15" s="114"/>
      <c r="NSN15" s="114"/>
      <c r="NSO15" s="114"/>
      <c r="NSP15" s="114"/>
      <c r="NSQ15" s="114"/>
      <c r="NSR15" s="114"/>
      <c r="NSS15" s="114"/>
      <c r="NST15" s="114"/>
      <c r="NSU15" s="114"/>
      <c r="NSV15" s="114"/>
      <c r="NSW15" s="114"/>
      <c r="NSX15" s="114"/>
      <c r="NSY15" s="114"/>
      <c r="NSZ15" s="114"/>
      <c r="NTA15" s="114"/>
      <c r="NTB15" s="114"/>
      <c r="NTC15" s="114"/>
      <c r="NTD15" s="114"/>
      <c r="NTE15" s="114"/>
      <c r="NTF15" s="114"/>
      <c r="NTG15" s="114"/>
      <c r="NTH15" s="114"/>
      <c r="NTI15" s="114"/>
      <c r="NTJ15" s="114"/>
      <c r="NTK15" s="114"/>
      <c r="NTL15" s="114"/>
      <c r="NTM15" s="114"/>
      <c r="NTN15" s="114"/>
      <c r="NTO15" s="114"/>
      <c r="NTP15" s="114"/>
      <c r="NTQ15" s="114"/>
      <c r="NTR15" s="114"/>
      <c r="NTS15" s="114"/>
      <c r="NTT15" s="114"/>
      <c r="NTU15" s="114"/>
      <c r="NTV15" s="114"/>
      <c r="NTW15" s="114"/>
      <c r="NTX15" s="114"/>
      <c r="NTY15" s="114"/>
      <c r="NTZ15" s="114"/>
      <c r="NUA15" s="114"/>
      <c r="NUB15" s="114"/>
      <c r="NUC15" s="114"/>
      <c r="NUD15" s="114"/>
      <c r="NUE15" s="114"/>
      <c r="NUF15" s="114"/>
      <c r="NUG15" s="114"/>
      <c r="NUH15" s="114"/>
      <c r="NUI15" s="114"/>
      <c r="NUJ15" s="114"/>
      <c r="NUK15" s="114"/>
      <c r="NUL15" s="114"/>
      <c r="NUM15" s="114"/>
      <c r="NUN15" s="114"/>
      <c r="NUO15" s="114"/>
      <c r="NUP15" s="114"/>
      <c r="NUQ15" s="114"/>
      <c r="NUR15" s="114"/>
      <c r="NUS15" s="114"/>
      <c r="NUT15" s="114"/>
      <c r="NUU15" s="114"/>
      <c r="NUV15" s="114"/>
      <c r="NUW15" s="114"/>
      <c r="NUX15" s="114"/>
      <c r="NUY15" s="114"/>
      <c r="NUZ15" s="114"/>
      <c r="NVA15" s="114"/>
      <c r="NVB15" s="114"/>
      <c r="NVC15" s="114"/>
      <c r="NVD15" s="114"/>
      <c r="NVE15" s="114"/>
      <c r="NVF15" s="114"/>
      <c r="NVG15" s="114"/>
      <c r="NVH15" s="114"/>
      <c r="NVI15" s="114"/>
      <c r="NVJ15" s="114"/>
      <c r="NVK15" s="114"/>
      <c r="NVL15" s="114"/>
      <c r="NVM15" s="114"/>
      <c r="NVN15" s="114"/>
      <c r="NVO15" s="114"/>
      <c r="NVP15" s="114"/>
      <c r="NVQ15" s="114"/>
      <c r="NVR15" s="114"/>
      <c r="NVS15" s="114"/>
      <c r="NVT15" s="114"/>
      <c r="NVU15" s="114"/>
      <c r="NVV15" s="114"/>
      <c r="NVW15" s="114"/>
      <c r="NVX15" s="114"/>
      <c r="NVY15" s="114"/>
      <c r="NVZ15" s="114"/>
      <c r="NWA15" s="114"/>
      <c r="NWB15" s="114"/>
      <c r="NWC15" s="114"/>
      <c r="NWD15" s="114"/>
      <c r="NWE15" s="114"/>
      <c r="NWF15" s="114"/>
      <c r="NWG15" s="114"/>
      <c r="NWH15" s="114"/>
      <c r="NWI15" s="114"/>
      <c r="NWJ15" s="114"/>
      <c r="NWK15" s="114"/>
      <c r="NWL15" s="114"/>
      <c r="NWM15" s="114"/>
      <c r="NWN15" s="114"/>
      <c r="NWO15" s="114"/>
      <c r="NWP15" s="114"/>
      <c r="NWQ15" s="114"/>
      <c r="NWR15" s="114"/>
      <c r="NWS15" s="114"/>
      <c r="NWT15" s="114"/>
      <c r="NWU15" s="114"/>
      <c r="NWV15" s="114"/>
      <c r="NWW15" s="114"/>
      <c r="NWX15" s="114"/>
      <c r="NWY15" s="114"/>
      <c r="NWZ15" s="114"/>
      <c r="NXA15" s="114"/>
      <c r="NXB15" s="114"/>
      <c r="NXC15" s="114"/>
      <c r="NXD15" s="114"/>
      <c r="NXE15" s="114"/>
      <c r="NXF15" s="114"/>
      <c r="NXG15" s="114"/>
      <c r="NXH15" s="114"/>
      <c r="NXI15" s="114"/>
      <c r="NXJ15" s="114"/>
      <c r="NXK15" s="114"/>
      <c r="NXL15" s="114"/>
      <c r="NXM15" s="114"/>
      <c r="NXN15" s="114"/>
      <c r="NXO15" s="114"/>
      <c r="NXP15" s="114"/>
      <c r="NXQ15" s="114"/>
      <c r="NXR15" s="114"/>
      <c r="NXS15" s="114"/>
      <c r="NXT15" s="114"/>
      <c r="NXU15" s="114"/>
      <c r="NXV15" s="114"/>
      <c r="NXW15" s="114"/>
      <c r="NXX15" s="114"/>
      <c r="NXY15" s="114"/>
      <c r="NXZ15" s="114"/>
      <c r="NYA15" s="114"/>
      <c r="NYB15" s="114"/>
      <c r="NYC15" s="114"/>
      <c r="NYD15" s="114"/>
      <c r="NYE15" s="114"/>
      <c r="NYF15" s="114"/>
      <c r="NYG15" s="114"/>
      <c r="NYH15" s="114"/>
      <c r="NYI15" s="114"/>
      <c r="NYJ15" s="114"/>
      <c r="NYK15" s="114"/>
      <c r="NYL15" s="114"/>
      <c r="NYM15" s="114"/>
      <c r="NYN15" s="114"/>
      <c r="NYO15" s="114"/>
      <c r="NYP15" s="114"/>
      <c r="NYQ15" s="114"/>
      <c r="NYR15" s="114"/>
      <c r="NYS15" s="114"/>
      <c r="NYT15" s="114"/>
      <c r="NYU15" s="114"/>
      <c r="NYV15" s="114"/>
      <c r="NYW15" s="114"/>
      <c r="NYX15" s="114"/>
      <c r="NYY15" s="114"/>
      <c r="NYZ15" s="114"/>
      <c r="NZA15" s="114"/>
      <c r="NZB15" s="114"/>
      <c r="NZC15" s="114"/>
      <c r="NZD15" s="114"/>
      <c r="NZE15" s="114"/>
      <c r="NZF15" s="114"/>
      <c r="NZG15" s="114"/>
      <c r="NZH15" s="114"/>
      <c r="NZI15" s="114"/>
      <c r="NZJ15" s="114"/>
      <c r="NZK15" s="114"/>
      <c r="NZL15" s="114"/>
      <c r="NZM15" s="114"/>
      <c r="NZN15" s="114"/>
      <c r="NZO15" s="114"/>
      <c r="NZP15" s="114"/>
      <c r="NZQ15" s="114"/>
      <c r="NZR15" s="114"/>
      <c r="NZS15" s="114"/>
      <c r="NZT15" s="114"/>
      <c r="NZU15" s="114"/>
      <c r="NZV15" s="114"/>
      <c r="NZW15" s="114"/>
      <c r="NZX15" s="114"/>
      <c r="NZY15" s="114"/>
      <c r="NZZ15" s="114"/>
      <c r="OAA15" s="114"/>
      <c r="OAB15" s="114"/>
      <c r="OAC15" s="114"/>
      <c r="OAD15" s="114"/>
      <c r="OAE15" s="114"/>
      <c r="OAF15" s="114"/>
      <c r="OAG15" s="114"/>
      <c r="OAH15" s="114"/>
      <c r="OAI15" s="114"/>
      <c r="OAJ15" s="114"/>
      <c r="OAK15" s="114"/>
      <c r="OAL15" s="114"/>
      <c r="OAM15" s="114"/>
      <c r="OAN15" s="114"/>
      <c r="OAO15" s="114"/>
      <c r="OAP15" s="114"/>
      <c r="OAQ15" s="114"/>
      <c r="OAR15" s="114"/>
      <c r="OAS15" s="114"/>
      <c r="OAT15" s="114"/>
      <c r="OAU15" s="114"/>
      <c r="OAV15" s="114"/>
      <c r="OAW15" s="114"/>
      <c r="OAX15" s="114"/>
      <c r="OAY15" s="114"/>
      <c r="OAZ15" s="114"/>
      <c r="OBA15" s="114"/>
      <c r="OBB15" s="114"/>
      <c r="OBC15" s="114"/>
      <c r="OBD15" s="114"/>
      <c r="OBE15" s="114"/>
      <c r="OBF15" s="114"/>
      <c r="OBG15" s="114"/>
      <c r="OBH15" s="114"/>
      <c r="OBI15" s="114"/>
      <c r="OBJ15" s="114"/>
      <c r="OBK15" s="114"/>
      <c r="OBL15" s="114"/>
      <c r="OBM15" s="114"/>
      <c r="OBN15" s="114"/>
      <c r="OBO15" s="114"/>
      <c r="OBP15" s="114"/>
      <c r="OBQ15" s="114"/>
      <c r="OBR15" s="114"/>
      <c r="OBS15" s="114"/>
      <c r="OBT15" s="114"/>
      <c r="OBU15" s="114"/>
      <c r="OBV15" s="114"/>
      <c r="OBW15" s="114"/>
      <c r="OBX15" s="114"/>
      <c r="OBY15" s="114"/>
      <c r="OBZ15" s="114"/>
      <c r="OCA15" s="114"/>
      <c r="OCB15" s="114"/>
      <c r="OCC15" s="114"/>
      <c r="OCD15" s="114"/>
      <c r="OCE15" s="114"/>
      <c r="OCF15" s="114"/>
      <c r="OCG15" s="114"/>
      <c r="OCH15" s="114"/>
      <c r="OCI15" s="114"/>
      <c r="OCJ15" s="114"/>
      <c r="OCK15" s="114"/>
      <c r="OCL15" s="114"/>
      <c r="OCM15" s="114"/>
      <c r="OCN15" s="114"/>
      <c r="OCO15" s="114"/>
      <c r="OCP15" s="114"/>
      <c r="OCQ15" s="114"/>
      <c r="OCR15" s="114"/>
      <c r="OCS15" s="114"/>
      <c r="OCT15" s="114"/>
      <c r="OCU15" s="114"/>
      <c r="OCV15" s="114"/>
      <c r="OCW15" s="114"/>
      <c r="OCX15" s="114"/>
      <c r="OCY15" s="114"/>
      <c r="OCZ15" s="114"/>
      <c r="ODA15" s="114"/>
      <c r="ODB15" s="114"/>
      <c r="ODC15" s="114"/>
      <c r="ODD15" s="114"/>
      <c r="ODE15" s="114"/>
      <c r="ODF15" s="114"/>
      <c r="ODG15" s="114"/>
      <c r="ODH15" s="114"/>
      <c r="ODI15" s="114"/>
      <c r="ODJ15" s="114"/>
      <c r="ODK15" s="114"/>
      <c r="ODL15" s="114"/>
      <c r="ODM15" s="114"/>
      <c r="ODN15" s="114"/>
      <c r="ODO15" s="114"/>
      <c r="ODP15" s="114"/>
      <c r="ODQ15" s="114"/>
      <c r="ODR15" s="114"/>
      <c r="ODS15" s="114"/>
      <c r="ODT15" s="114"/>
      <c r="ODU15" s="114"/>
      <c r="ODV15" s="114"/>
      <c r="ODW15" s="114"/>
      <c r="ODX15" s="114"/>
      <c r="ODY15" s="114"/>
      <c r="ODZ15" s="114"/>
      <c r="OEA15" s="114"/>
      <c r="OEB15" s="114"/>
      <c r="OEC15" s="114"/>
      <c r="OED15" s="114"/>
      <c r="OEE15" s="114"/>
      <c r="OEF15" s="114"/>
      <c r="OEG15" s="114"/>
      <c r="OEH15" s="114"/>
      <c r="OEI15" s="114"/>
      <c r="OEJ15" s="114"/>
      <c r="OEK15" s="114"/>
      <c r="OEL15" s="114"/>
      <c r="OEM15" s="114"/>
      <c r="OEN15" s="114"/>
      <c r="OEO15" s="114"/>
      <c r="OEP15" s="114"/>
      <c r="OEQ15" s="114"/>
      <c r="OER15" s="114"/>
      <c r="OES15" s="114"/>
      <c r="OET15" s="114"/>
      <c r="OEU15" s="114"/>
      <c r="OEV15" s="114"/>
      <c r="OEW15" s="114"/>
      <c r="OEX15" s="114"/>
      <c r="OEY15" s="114"/>
      <c r="OEZ15" s="114"/>
      <c r="OFA15" s="114"/>
      <c r="OFB15" s="114"/>
      <c r="OFC15" s="114"/>
      <c r="OFD15" s="114"/>
      <c r="OFE15" s="114"/>
      <c r="OFF15" s="114"/>
      <c r="OFG15" s="114"/>
      <c r="OFH15" s="114"/>
      <c r="OFI15" s="114"/>
      <c r="OFJ15" s="114"/>
      <c r="OFK15" s="114"/>
      <c r="OFL15" s="114"/>
      <c r="OFM15" s="114"/>
      <c r="OFN15" s="114"/>
      <c r="OFO15" s="114"/>
      <c r="OFP15" s="114"/>
      <c r="OFQ15" s="114"/>
      <c r="OFR15" s="114"/>
      <c r="OFS15" s="114"/>
      <c r="OFT15" s="114"/>
      <c r="OFU15" s="114"/>
      <c r="OFV15" s="114"/>
      <c r="OFW15" s="114"/>
      <c r="OFX15" s="114"/>
      <c r="OFY15" s="114"/>
      <c r="OFZ15" s="114"/>
      <c r="OGA15" s="114"/>
      <c r="OGB15" s="114"/>
      <c r="OGC15" s="114"/>
      <c r="OGD15" s="114"/>
      <c r="OGE15" s="114"/>
      <c r="OGF15" s="114"/>
      <c r="OGG15" s="114"/>
      <c r="OGH15" s="114"/>
      <c r="OGI15" s="114"/>
      <c r="OGJ15" s="114"/>
      <c r="OGK15" s="114"/>
      <c r="OGL15" s="114"/>
      <c r="OGM15" s="114"/>
      <c r="OGN15" s="114"/>
      <c r="OGO15" s="114"/>
      <c r="OGP15" s="114"/>
      <c r="OGQ15" s="114"/>
      <c r="OGR15" s="114"/>
      <c r="OGS15" s="114"/>
      <c r="OGT15" s="114"/>
      <c r="OGU15" s="114"/>
      <c r="OGV15" s="114"/>
      <c r="OGW15" s="114"/>
      <c r="OGX15" s="114"/>
      <c r="OGY15" s="114"/>
      <c r="OGZ15" s="114"/>
      <c r="OHA15" s="114"/>
      <c r="OHB15" s="114"/>
      <c r="OHC15" s="114"/>
      <c r="OHD15" s="114"/>
      <c r="OHE15" s="114"/>
      <c r="OHF15" s="114"/>
      <c r="OHG15" s="114"/>
      <c r="OHH15" s="114"/>
      <c r="OHI15" s="114"/>
      <c r="OHJ15" s="114"/>
      <c r="OHK15" s="114"/>
      <c r="OHL15" s="114"/>
      <c r="OHM15" s="114"/>
      <c r="OHN15" s="114"/>
      <c r="OHO15" s="114"/>
      <c r="OHP15" s="114"/>
      <c r="OHQ15" s="114"/>
      <c r="OHR15" s="114"/>
      <c r="OHS15" s="114"/>
      <c r="OHT15" s="114"/>
      <c r="OHU15" s="114"/>
      <c r="OHV15" s="114"/>
      <c r="OHW15" s="114"/>
      <c r="OHX15" s="114"/>
      <c r="OHY15" s="114"/>
      <c r="OHZ15" s="114"/>
      <c r="OIA15" s="114"/>
      <c r="OIB15" s="114"/>
      <c r="OIC15" s="114"/>
      <c r="OID15" s="114"/>
      <c r="OIE15" s="114"/>
      <c r="OIF15" s="114"/>
      <c r="OIG15" s="114"/>
      <c r="OIH15" s="114"/>
      <c r="OII15" s="114"/>
      <c r="OIJ15" s="114"/>
      <c r="OIK15" s="114"/>
      <c r="OIL15" s="114"/>
      <c r="OIM15" s="114"/>
      <c r="OIN15" s="114"/>
      <c r="OIO15" s="114"/>
      <c r="OIP15" s="114"/>
      <c r="OIQ15" s="114"/>
      <c r="OIR15" s="114"/>
      <c r="OIS15" s="114"/>
      <c r="OIT15" s="114"/>
      <c r="OIU15" s="114"/>
      <c r="OIV15" s="114"/>
      <c r="OIW15" s="114"/>
      <c r="OIX15" s="114"/>
      <c r="OIY15" s="114"/>
      <c r="OIZ15" s="114"/>
      <c r="OJA15" s="114"/>
      <c r="OJB15" s="114"/>
      <c r="OJC15" s="114"/>
      <c r="OJD15" s="114"/>
      <c r="OJE15" s="114"/>
      <c r="OJF15" s="114"/>
      <c r="OJG15" s="114"/>
      <c r="OJH15" s="114"/>
      <c r="OJI15" s="114"/>
      <c r="OJJ15" s="114"/>
      <c r="OJK15" s="114"/>
      <c r="OJL15" s="114"/>
      <c r="OJM15" s="114"/>
      <c r="OJN15" s="114"/>
      <c r="OJO15" s="114"/>
      <c r="OJP15" s="114"/>
      <c r="OJQ15" s="114"/>
      <c r="OJR15" s="114"/>
      <c r="OJS15" s="114"/>
      <c r="OJT15" s="114"/>
      <c r="OJU15" s="114"/>
      <c r="OJV15" s="114"/>
      <c r="OJW15" s="114"/>
      <c r="OJX15" s="114"/>
      <c r="OJY15" s="114"/>
      <c r="OJZ15" s="114"/>
      <c r="OKA15" s="114"/>
      <c r="OKB15" s="114"/>
      <c r="OKC15" s="114"/>
      <c r="OKD15" s="114"/>
      <c r="OKE15" s="114"/>
      <c r="OKF15" s="114"/>
      <c r="OKG15" s="114"/>
      <c r="OKH15" s="114"/>
      <c r="OKI15" s="114"/>
      <c r="OKJ15" s="114"/>
      <c r="OKK15" s="114"/>
      <c r="OKL15" s="114"/>
      <c r="OKM15" s="114"/>
      <c r="OKN15" s="114"/>
      <c r="OKO15" s="114"/>
      <c r="OKP15" s="114"/>
      <c r="OKQ15" s="114"/>
      <c r="OKR15" s="114"/>
      <c r="OKS15" s="114"/>
      <c r="OKT15" s="114"/>
      <c r="OKU15" s="114"/>
      <c r="OKV15" s="114"/>
      <c r="OKW15" s="114"/>
      <c r="OKX15" s="114"/>
      <c r="OKY15" s="114"/>
      <c r="OKZ15" s="114"/>
      <c r="OLA15" s="114"/>
      <c r="OLB15" s="114"/>
      <c r="OLC15" s="114"/>
      <c r="OLD15" s="114"/>
      <c r="OLE15" s="114"/>
      <c r="OLF15" s="114"/>
      <c r="OLG15" s="114"/>
      <c r="OLH15" s="114"/>
      <c r="OLI15" s="114"/>
      <c r="OLJ15" s="114"/>
      <c r="OLK15" s="114"/>
      <c r="OLL15" s="114"/>
      <c r="OLM15" s="114"/>
      <c r="OLN15" s="114"/>
      <c r="OLO15" s="114"/>
      <c r="OLP15" s="114"/>
      <c r="OLQ15" s="114"/>
      <c r="OLR15" s="114"/>
      <c r="OLS15" s="114"/>
      <c r="OLT15" s="114"/>
      <c r="OLU15" s="114"/>
      <c r="OLV15" s="114"/>
      <c r="OLW15" s="114"/>
      <c r="OLX15" s="114"/>
      <c r="OLY15" s="114"/>
      <c r="OLZ15" s="114"/>
      <c r="OMA15" s="114"/>
      <c r="OMB15" s="114"/>
      <c r="OMC15" s="114"/>
      <c r="OMD15" s="114"/>
      <c r="OME15" s="114"/>
      <c r="OMF15" s="114"/>
      <c r="OMG15" s="114"/>
      <c r="OMH15" s="114"/>
      <c r="OMI15" s="114"/>
      <c r="OMJ15" s="114"/>
      <c r="OMK15" s="114"/>
      <c r="OML15" s="114"/>
      <c r="OMM15" s="114"/>
      <c r="OMN15" s="114"/>
      <c r="OMO15" s="114"/>
      <c r="OMP15" s="114"/>
      <c r="OMQ15" s="114"/>
      <c r="OMR15" s="114"/>
      <c r="OMS15" s="114"/>
      <c r="OMT15" s="114"/>
      <c r="OMU15" s="114"/>
      <c r="OMV15" s="114"/>
      <c r="OMW15" s="114"/>
      <c r="OMX15" s="114"/>
      <c r="OMY15" s="114"/>
      <c r="OMZ15" s="114"/>
      <c r="ONA15" s="114"/>
      <c r="ONB15" s="114"/>
      <c r="ONC15" s="114"/>
      <c r="OND15" s="114"/>
      <c r="ONE15" s="114"/>
      <c r="ONF15" s="114"/>
      <c r="ONG15" s="114"/>
      <c r="ONH15" s="114"/>
      <c r="ONI15" s="114"/>
      <c r="ONJ15" s="114"/>
      <c r="ONK15" s="114"/>
      <c r="ONL15" s="114"/>
      <c r="ONM15" s="114"/>
      <c r="ONN15" s="114"/>
      <c r="ONO15" s="114"/>
      <c r="ONP15" s="114"/>
      <c r="ONQ15" s="114"/>
      <c r="ONR15" s="114"/>
      <c r="ONS15" s="114"/>
      <c r="ONT15" s="114"/>
      <c r="ONU15" s="114"/>
      <c r="ONV15" s="114"/>
      <c r="ONW15" s="114"/>
      <c r="ONX15" s="114"/>
      <c r="ONY15" s="114"/>
      <c r="ONZ15" s="114"/>
      <c r="OOA15" s="114"/>
      <c r="OOB15" s="114"/>
      <c r="OOC15" s="114"/>
      <c r="OOD15" s="114"/>
      <c r="OOE15" s="114"/>
      <c r="OOF15" s="114"/>
      <c r="OOG15" s="114"/>
      <c r="OOH15" s="114"/>
      <c r="OOI15" s="114"/>
      <c r="OOJ15" s="114"/>
      <c r="OOK15" s="114"/>
      <c r="OOL15" s="114"/>
      <c r="OOM15" s="114"/>
      <c r="OON15" s="114"/>
      <c r="OOO15" s="114"/>
      <c r="OOP15" s="114"/>
      <c r="OOQ15" s="114"/>
      <c r="OOR15" s="114"/>
      <c r="OOS15" s="114"/>
      <c r="OOT15" s="114"/>
      <c r="OOU15" s="114"/>
      <c r="OOV15" s="114"/>
      <c r="OOW15" s="114"/>
      <c r="OOX15" s="114"/>
      <c r="OOY15" s="114"/>
      <c r="OOZ15" s="114"/>
      <c r="OPA15" s="114"/>
      <c r="OPB15" s="114"/>
      <c r="OPC15" s="114"/>
      <c r="OPD15" s="114"/>
      <c r="OPE15" s="114"/>
      <c r="OPF15" s="114"/>
      <c r="OPG15" s="114"/>
      <c r="OPH15" s="114"/>
      <c r="OPI15" s="114"/>
      <c r="OPJ15" s="114"/>
      <c r="OPK15" s="114"/>
      <c r="OPL15" s="114"/>
      <c r="OPM15" s="114"/>
      <c r="OPN15" s="114"/>
      <c r="OPO15" s="114"/>
      <c r="OPP15" s="114"/>
      <c r="OPQ15" s="114"/>
      <c r="OPR15" s="114"/>
      <c r="OPS15" s="114"/>
      <c r="OPT15" s="114"/>
      <c r="OPU15" s="114"/>
      <c r="OPV15" s="114"/>
      <c r="OPW15" s="114"/>
      <c r="OPX15" s="114"/>
      <c r="OPY15" s="114"/>
      <c r="OPZ15" s="114"/>
      <c r="OQA15" s="114"/>
      <c r="OQB15" s="114"/>
      <c r="OQC15" s="114"/>
      <c r="OQD15" s="114"/>
      <c r="OQE15" s="114"/>
      <c r="OQF15" s="114"/>
      <c r="OQG15" s="114"/>
      <c r="OQH15" s="114"/>
      <c r="OQI15" s="114"/>
      <c r="OQJ15" s="114"/>
      <c r="OQK15" s="114"/>
      <c r="OQL15" s="114"/>
      <c r="OQM15" s="114"/>
      <c r="OQN15" s="114"/>
      <c r="OQO15" s="114"/>
      <c r="OQP15" s="114"/>
      <c r="OQQ15" s="114"/>
      <c r="OQR15" s="114"/>
      <c r="OQS15" s="114"/>
      <c r="OQT15" s="114"/>
      <c r="OQU15" s="114"/>
      <c r="OQV15" s="114"/>
      <c r="OQW15" s="114"/>
      <c r="OQX15" s="114"/>
      <c r="OQY15" s="114"/>
      <c r="OQZ15" s="114"/>
      <c r="ORA15" s="114"/>
      <c r="ORB15" s="114"/>
      <c r="ORC15" s="114"/>
      <c r="ORD15" s="114"/>
      <c r="ORE15" s="114"/>
      <c r="ORF15" s="114"/>
      <c r="ORG15" s="114"/>
      <c r="ORH15" s="114"/>
      <c r="ORI15" s="114"/>
      <c r="ORJ15" s="114"/>
      <c r="ORK15" s="114"/>
      <c r="ORL15" s="114"/>
      <c r="ORM15" s="114"/>
      <c r="ORN15" s="114"/>
      <c r="ORO15" s="114"/>
      <c r="ORP15" s="114"/>
      <c r="ORQ15" s="114"/>
      <c r="ORR15" s="114"/>
      <c r="ORS15" s="114"/>
      <c r="ORT15" s="114"/>
      <c r="ORU15" s="114"/>
      <c r="ORV15" s="114"/>
      <c r="ORW15" s="114"/>
      <c r="ORX15" s="114"/>
      <c r="ORY15" s="114"/>
      <c r="ORZ15" s="114"/>
      <c r="OSA15" s="114"/>
      <c r="OSB15" s="114"/>
      <c r="OSC15" s="114"/>
      <c r="OSD15" s="114"/>
      <c r="OSE15" s="114"/>
      <c r="OSF15" s="114"/>
      <c r="OSG15" s="114"/>
      <c r="OSH15" s="114"/>
      <c r="OSI15" s="114"/>
      <c r="OSJ15" s="114"/>
      <c r="OSK15" s="114"/>
      <c r="OSL15" s="114"/>
      <c r="OSM15" s="114"/>
      <c r="OSN15" s="114"/>
      <c r="OSO15" s="114"/>
      <c r="OSP15" s="114"/>
      <c r="OSQ15" s="114"/>
      <c r="OSR15" s="114"/>
      <c r="OSS15" s="114"/>
      <c r="OST15" s="114"/>
      <c r="OSU15" s="114"/>
      <c r="OSV15" s="114"/>
      <c r="OSW15" s="114"/>
      <c r="OSX15" s="114"/>
      <c r="OSY15" s="114"/>
      <c r="OSZ15" s="114"/>
      <c r="OTA15" s="114"/>
      <c r="OTB15" s="114"/>
      <c r="OTC15" s="114"/>
      <c r="OTD15" s="114"/>
      <c r="OTE15" s="114"/>
      <c r="OTF15" s="114"/>
      <c r="OTG15" s="114"/>
      <c r="OTH15" s="114"/>
      <c r="OTI15" s="114"/>
      <c r="OTJ15" s="114"/>
      <c r="OTK15" s="114"/>
      <c r="OTL15" s="114"/>
      <c r="OTM15" s="114"/>
      <c r="OTN15" s="114"/>
      <c r="OTO15" s="114"/>
      <c r="OTP15" s="114"/>
      <c r="OTQ15" s="114"/>
      <c r="OTR15" s="114"/>
      <c r="OTS15" s="114"/>
      <c r="OTT15" s="114"/>
      <c r="OTU15" s="114"/>
      <c r="OTV15" s="114"/>
      <c r="OTW15" s="114"/>
      <c r="OTX15" s="114"/>
      <c r="OTY15" s="114"/>
      <c r="OTZ15" s="114"/>
      <c r="OUA15" s="114"/>
      <c r="OUB15" s="114"/>
      <c r="OUC15" s="114"/>
      <c r="OUD15" s="114"/>
      <c r="OUE15" s="114"/>
      <c r="OUF15" s="114"/>
      <c r="OUG15" s="114"/>
      <c r="OUH15" s="114"/>
      <c r="OUI15" s="114"/>
      <c r="OUJ15" s="114"/>
      <c r="OUK15" s="114"/>
      <c r="OUL15" s="114"/>
      <c r="OUM15" s="114"/>
      <c r="OUN15" s="114"/>
      <c r="OUO15" s="114"/>
      <c r="OUP15" s="114"/>
      <c r="OUQ15" s="114"/>
      <c r="OUR15" s="114"/>
      <c r="OUS15" s="114"/>
      <c r="OUT15" s="114"/>
      <c r="OUU15" s="114"/>
      <c r="OUV15" s="114"/>
      <c r="OUW15" s="114"/>
      <c r="OUX15" s="114"/>
      <c r="OUY15" s="114"/>
      <c r="OUZ15" s="114"/>
      <c r="OVA15" s="114"/>
      <c r="OVB15" s="114"/>
      <c r="OVC15" s="114"/>
      <c r="OVD15" s="114"/>
      <c r="OVE15" s="114"/>
      <c r="OVF15" s="114"/>
      <c r="OVG15" s="114"/>
      <c r="OVH15" s="114"/>
      <c r="OVI15" s="114"/>
      <c r="OVJ15" s="114"/>
      <c r="OVK15" s="114"/>
      <c r="OVL15" s="114"/>
      <c r="OVM15" s="114"/>
      <c r="OVN15" s="114"/>
      <c r="OVO15" s="114"/>
      <c r="OVP15" s="114"/>
      <c r="OVQ15" s="114"/>
      <c r="OVR15" s="114"/>
      <c r="OVS15" s="114"/>
      <c r="OVT15" s="114"/>
      <c r="OVU15" s="114"/>
      <c r="OVV15" s="114"/>
      <c r="OVW15" s="114"/>
      <c r="OVX15" s="114"/>
      <c r="OVY15" s="114"/>
      <c r="OVZ15" s="114"/>
      <c r="OWA15" s="114"/>
      <c r="OWB15" s="114"/>
      <c r="OWC15" s="114"/>
      <c r="OWD15" s="114"/>
      <c r="OWE15" s="114"/>
      <c r="OWF15" s="114"/>
      <c r="OWG15" s="114"/>
      <c r="OWH15" s="114"/>
      <c r="OWI15" s="114"/>
      <c r="OWJ15" s="114"/>
      <c r="OWK15" s="114"/>
      <c r="OWL15" s="114"/>
      <c r="OWM15" s="114"/>
      <c r="OWN15" s="114"/>
      <c r="OWO15" s="114"/>
      <c r="OWP15" s="114"/>
      <c r="OWQ15" s="114"/>
      <c r="OWR15" s="114"/>
      <c r="OWS15" s="114"/>
      <c r="OWT15" s="114"/>
      <c r="OWU15" s="114"/>
      <c r="OWV15" s="114"/>
      <c r="OWW15" s="114"/>
      <c r="OWX15" s="114"/>
      <c r="OWY15" s="114"/>
      <c r="OWZ15" s="114"/>
      <c r="OXA15" s="114"/>
      <c r="OXB15" s="114"/>
      <c r="OXC15" s="114"/>
      <c r="OXD15" s="114"/>
      <c r="OXE15" s="114"/>
      <c r="OXF15" s="114"/>
      <c r="OXG15" s="114"/>
      <c r="OXH15" s="114"/>
      <c r="OXI15" s="114"/>
      <c r="OXJ15" s="114"/>
      <c r="OXK15" s="114"/>
      <c r="OXL15" s="114"/>
      <c r="OXM15" s="114"/>
      <c r="OXN15" s="114"/>
      <c r="OXO15" s="114"/>
      <c r="OXP15" s="114"/>
      <c r="OXQ15" s="114"/>
      <c r="OXR15" s="114"/>
      <c r="OXS15" s="114"/>
      <c r="OXT15" s="114"/>
      <c r="OXU15" s="114"/>
      <c r="OXV15" s="114"/>
      <c r="OXW15" s="114"/>
      <c r="OXX15" s="114"/>
      <c r="OXY15" s="114"/>
      <c r="OXZ15" s="114"/>
      <c r="OYA15" s="114"/>
      <c r="OYB15" s="114"/>
      <c r="OYC15" s="114"/>
      <c r="OYD15" s="114"/>
      <c r="OYE15" s="114"/>
      <c r="OYF15" s="114"/>
      <c r="OYG15" s="114"/>
      <c r="OYH15" s="114"/>
      <c r="OYI15" s="114"/>
      <c r="OYJ15" s="114"/>
      <c r="OYK15" s="114"/>
      <c r="OYL15" s="114"/>
      <c r="OYM15" s="114"/>
      <c r="OYN15" s="114"/>
      <c r="OYO15" s="114"/>
      <c r="OYP15" s="114"/>
      <c r="OYQ15" s="114"/>
      <c r="OYR15" s="114"/>
      <c r="OYS15" s="114"/>
      <c r="OYT15" s="114"/>
      <c r="OYU15" s="114"/>
      <c r="OYV15" s="114"/>
      <c r="OYW15" s="114"/>
      <c r="OYX15" s="114"/>
      <c r="OYY15" s="114"/>
      <c r="OYZ15" s="114"/>
      <c r="OZA15" s="114"/>
      <c r="OZB15" s="114"/>
      <c r="OZC15" s="114"/>
      <c r="OZD15" s="114"/>
      <c r="OZE15" s="114"/>
      <c r="OZF15" s="114"/>
      <c r="OZG15" s="114"/>
      <c r="OZH15" s="114"/>
      <c r="OZI15" s="114"/>
      <c r="OZJ15" s="114"/>
      <c r="OZK15" s="114"/>
      <c r="OZL15" s="114"/>
      <c r="OZM15" s="114"/>
      <c r="OZN15" s="114"/>
      <c r="OZO15" s="114"/>
      <c r="OZP15" s="114"/>
      <c r="OZQ15" s="114"/>
      <c r="OZR15" s="114"/>
      <c r="OZS15" s="114"/>
      <c r="OZT15" s="114"/>
      <c r="OZU15" s="114"/>
      <c r="OZV15" s="114"/>
      <c r="OZW15" s="114"/>
      <c r="OZX15" s="114"/>
      <c r="OZY15" s="114"/>
      <c r="OZZ15" s="114"/>
      <c r="PAA15" s="114"/>
      <c r="PAB15" s="114"/>
      <c r="PAC15" s="114"/>
      <c r="PAD15" s="114"/>
      <c r="PAE15" s="114"/>
      <c r="PAF15" s="114"/>
      <c r="PAG15" s="114"/>
      <c r="PAH15" s="114"/>
      <c r="PAI15" s="114"/>
      <c r="PAJ15" s="114"/>
      <c r="PAK15" s="114"/>
      <c r="PAL15" s="114"/>
      <c r="PAM15" s="114"/>
      <c r="PAN15" s="114"/>
      <c r="PAO15" s="114"/>
      <c r="PAP15" s="114"/>
      <c r="PAQ15" s="114"/>
      <c r="PAR15" s="114"/>
      <c r="PAS15" s="114"/>
      <c r="PAT15" s="114"/>
      <c r="PAU15" s="114"/>
      <c r="PAV15" s="114"/>
      <c r="PAW15" s="114"/>
      <c r="PAX15" s="114"/>
      <c r="PAY15" s="114"/>
      <c r="PAZ15" s="114"/>
      <c r="PBA15" s="114"/>
      <c r="PBB15" s="114"/>
      <c r="PBC15" s="114"/>
      <c r="PBD15" s="114"/>
      <c r="PBE15" s="114"/>
      <c r="PBF15" s="114"/>
      <c r="PBG15" s="114"/>
      <c r="PBH15" s="114"/>
      <c r="PBI15" s="114"/>
      <c r="PBJ15" s="114"/>
      <c r="PBK15" s="114"/>
      <c r="PBL15" s="114"/>
      <c r="PBM15" s="114"/>
      <c r="PBN15" s="114"/>
      <c r="PBO15" s="114"/>
      <c r="PBP15" s="114"/>
      <c r="PBQ15" s="114"/>
      <c r="PBR15" s="114"/>
      <c r="PBS15" s="114"/>
      <c r="PBT15" s="114"/>
      <c r="PBU15" s="114"/>
      <c r="PBV15" s="114"/>
      <c r="PBW15" s="114"/>
      <c r="PBX15" s="114"/>
      <c r="PBY15" s="114"/>
      <c r="PBZ15" s="114"/>
      <c r="PCA15" s="114"/>
      <c r="PCB15" s="114"/>
      <c r="PCC15" s="114"/>
      <c r="PCD15" s="114"/>
      <c r="PCE15" s="114"/>
      <c r="PCF15" s="114"/>
      <c r="PCG15" s="114"/>
      <c r="PCH15" s="114"/>
      <c r="PCI15" s="114"/>
      <c r="PCJ15" s="114"/>
      <c r="PCK15" s="114"/>
      <c r="PCL15" s="114"/>
      <c r="PCM15" s="114"/>
      <c r="PCN15" s="114"/>
      <c r="PCO15" s="114"/>
      <c r="PCP15" s="114"/>
      <c r="PCQ15" s="114"/>
      <c r="PCR15" s="114"/>
      <c r="PCS15" s="114"/>
      <c r="PCT15" s="114"/>
      <c r="PCU15" s="114"/>
      <c r="PCV15" s="114"/>
      <c r="PCW15" s="114"/>
      <c r="PCX15" s="114"/>
      <c r="PCY15" s="114"/>
      <c r="PCZ15" s="114"/>
      <c r="PDA15" s="114"/>
      <c r="PDB15" s="114"/>
      <c r="PDC15" s="114"/>
      <c r="PDD15" s="114"/>
      <c r="PDE15" s="114"/>
      <c r="PDF15" s="114"/>
      <c r="PDG15" s="114"/>
      <c r="PDH15" s="114"/>
      <c r="PDI15" s="114"/>
      <c r="PDJ15" s="114"/>
      <c r="PDK15" s="114"/>
      <c r="PDL15" s="114"/>
      <c r="PDM15" s="114"/>
      <c r="PDN15" s="114"/>
      <c r="PDO15" s="114"/>
      <c r="PDP15" s="114"/>
      <c r="PDQ15" s="114"/>
      <c r="PDR15" s="114"/>
      <c r="PDS15" s="114"/>
      <c r="PDT15" s="114"/>
      <c r="PDU15" s="114"/>
      <c r="PDV15" s="114"/>
      <c r="PDW15" s="114"/>
      <c r="PDX15" s="114"/>
      <c r="PDY15" s="114"/>
      <c r="PDZ15" s="114"/>
      <c r="PEA15" s="114"/>
      <c r="PEB15" s="114"/>
      <c r="PEC15" s="114"/>
      <c r="PED15" s="114"/>
      <c r="PEE15" s="114"/>
      <c r="PEF15" s="114"/>
      <c r="PEG15" s="114"/>
      <c r="PEH15" s="114"/>
      <c r="PEI15" s="114"/>
      <c r="PEJ15" s="114"/>
      <c r="PEK15" s="114"/>
      <c r="PEL15" s="114"/>
      <c r="PEM15" s="114"/>
      <c r="PEN15" s="114"/>
      <c r="PEO15" s="114"/>
      <c r="PEP15" s="114"/>
      <c r="PEQ15" s="114"/>
      <c r="PER15" s="114"/>
      <c r="PES15" s="114"/>
      <c r="PET15" s="114"/>
      <c r="PEU15" s="114"/>
      <c r="PEV15" s="114"/>
      <c r="PEW15" s="114"/>
      <c r="PEX15" s="114"/>
      <c r="PEY15" s="114"/>
      <c r="PEZ15" s="114"/>
      <c r="PFA15" s="114"/>
      <c r="PFB15" s="114"/>
      <c r="PFC15" s="114"/>
      <c r="PFD15" s="114"/>
      <c r="PFE15" s="114"/>
      <c r="PFF15" s="114"/>
      <c r="PFG15" s="114"/>
      <c r="PFH15" s="114"/>
      <c r="PFI15" s="114"/>
      <c r="PFJ15" s="114"/>
      <c r="PFK15" s="114"/>
      <c r="PFL15" s="114"/>
      <c r="PFM15" s="114"/>
      <c r="PFN15" s="114"/>
      <c r="PFO15" s="114"/>
      <c r="PFP15" s="114"/>
      <c r="PFQ15" s="114"/>
      <c r="PFR15" s="114"/>
      <c r="PFS15" s="114"/>
      <c r="PFT15" s="114"/>
      <c r="PFU15" s="114"/>
      <c r="PFV15" s="114"/>
      <c r="PFW15" s="114"/>
      <c r="PFX15" s="114"/>
      <c r="PFY15" s="114"/>
      <c r="PFZ15" s="114"/>
      <c r="PGA15" s="114"/>
      <c r="PGB15" s="114"/>
      <c r="PGC15" s="114"/>
      <c r="PGD15" s="114"/>
      <c r="PGE15" s="114"/>
      <c r="PGF15" s="114"/>
      <c r="PGG15" s="114"/>
      <c r="PGH15" s="114"/>
      <c r="PGI15" s="114"/>
      <c r="PGJ15" s="114"/>
      <c r="PGK15" s="114"/>
      <c r="PGL15" s="114"/>
      <c r="PGM15" s="114"/>
      <c r="PGN15" s="114"/>
      <c r="PGO15" s="114"/>
      <c r="PGP15" s="114"/>
      <c r="PGQ15" s="114"/>
      <c r="PGR15" s="114"/>
      <c r="PGS15" s="114"/>
      <c r="PGT15" s="114"/>
      <c r="PGU15" s="114"/>
      <c r="PGV15" s="114"/>
      <c r="PGW15" s="114"/>
      <c r="PGX15" s="114"/>
      <c r="PGY15" s="114"/>
      <c r="PGZ15" s="114"/>
      <c r="PHA15" s="114"/>
      <c r="PHB15" s="114"/>
      <c r="PHC15" s="114"/>
      <c r="PHD15" s="114"/>
      <c r="PHE15" s="114"/>
      <c r="PHF15" s="114"/>
      <c r="PHG15" s="114"/>
      <c r="PHH15" s="114"/>
      <c r="PHI15" s="114"/>
      <c r="PHJ15" s="114"/>
      <c r="PHK15" s="114"/>
      <c r="PHL15" s="114"/>
      <c r="PHM15" s="114"/>
      <c r="PHN15" s="114"/>
      <c r="PHO15" s="114"/>
      <c r="PHP15" s="114"/>
      <c r="PHQ15" s="114"/>
      <c r="PHR15" s="114"/>
      <c r="PHS15" s="114"/>
      <c r="PHT15" s="114"/>
      <c r="PHU15" s="114"/>
      <c r="PHV15" s="114"/>
      <c r="PHW15" s="114"/>
      <c r="PHX15" s="114"/>
      <c r="PHY15" s="114"/>
      <c r="PHZ15" s="114"/>
      <c r="PIA15" s="114"/>
      <c r="PIB15" s="114"/>
      <c r="PIC15" s="114"/>
      <c r="PID15" s="114"/>
      <c r="PIE15" s="114"/>
      <c r="PIF15" s="114"/>
      <c r="PIG15" s="114"/>
      <c r="PIH15" s="114"/>
      <c r="PII15" s="114"/>
      <c r="PIJ15" s="114"/>
      <c r="PIK15" s="114"/>
      <c r="PIL15" s="114"/>
      <c r="PIM15" s="114"/>
      <c r="PIN15" s="114"/>
      <c r="PIO15" s="114"/>
      <c r="PIP15" s="114"/>
      <c r="PIQ15" s="114"/>
      <c r="PIR15" s="114"/>
      <c r="PIS15" s="114"/>
      <c r="PIT15" s="114"/>
      <c r="PIU15" s="114"/>
      <c r="PIV15" s="114"/>
      <c r="PIW15" s="114"/>
      <c r="PIX15" s="114"/>
      <c r="PIY15" s="114"/>
      <c r="PIZ15" s="114"/>
      <c r="PJA15" s="114"/>
      <c r="PJB15" s="114"/>
      <c r="PJC15" s="114"/>
      <c r="PJD15" s="114"/>
      <c r="PJE15" s="114"/>
      <c r="PJF15" s="114"/>
      <c r="PJG15" s="114"/>
      <c r="PJH15" s="114"/>
      <c r="PJI15" s="114"/>
      <c r="PJJ15" s="114"/>
      <c r="PJK15" s="114"/>
      <c r="PJL15" s="114"/>
      <c r="PJM15" s="114"/>
      <c r="PJN15" s="114"/>
      <c r="PJO15" s="114"/>
      <c r="PJP15" s="114"/>
      <c r="PJQ15" s="114"/>
      <c r="PJR15" s="114"/>
      <c r="PJS15" s="114"/>
      <c r="PJT15" s="114"/>
      <c r="PJU15" s="114"/>
      <c r="PJV15" s="114"/>
      <c r="PJW15" s="114"/>
      <c r="PJX15" s="114"/>
      <c r="PJY15" s="114"/>
      <c r="PJZ15" s="114"/>
      <c r="PKA15" s="114"/>
      <c r="PKB15" s="114"/>
      <c r="PKC15" s="114"/>
      <c r="PKD15" s="114"/>
      <c r="PKE15" s="114"/>
      <c r="PKF15" s="114"/>
      <c r="PKG15" s="114"/>
      <c r="PKH15" s="114"/>
      <c r="PKI15" s="114"/>
      <c r="PKJ15" s="114"/>
      <c r="PKK15" s="114"/>
      <c r="PKL15" s="114"/>
      <c r="PKM15" s="114"/>
      <c r="PKN15" s="114"/>
      <c r="PKO15" s="114"/>
      <c r="PKP15" s="114"/>
      <c r="PKQ15" s="114"/>
      <c r="PKR15" s="114"/>
      <c r="PKS15" s="114"/>
      <c r="PKT15" s="114"/>
      <c r="PKU15" s="114"/>
      <c r="PKV15" s="114"/>
      <c r="PKW15" s="114"/>
      <c r="PKX15" s="114"/>
      <c r="PKY15" s="114"/>
      <c r="PKZ15" s="114"/>
      <c r="PLA15" s="114"/>
      <c r="PLB15" s="114"/>
      <c r="PLC15" s="114"/>
      <c r="PLD15" s="114"/>
      <c r="PLE15" s="114"/>
      <c r="PLF15" s="114"/>
      <c r="PLG15" s="114"/>
      <c r="PLH15" s="114"/>
      <c r="PLI15" s="114"/>
      <c r="PLJ15" s="114"/>
      <c r="PLK15" s="114"/>
      <c r="PLL15" s="114"/>
      <c r="PLM15" s="114"/>
      <c r="PLN15" s="114"/>
      <c r="PLO15" s="114"/>
      <c r="PLP15" s="114"/>
      <c r="PLQ15" s="114"/>
      <c r="PLR15" s="114"/>
      <c r="PLS15" s="114"/>
      <c r="PLT15" s="114"/>
      <c r="PLU15" s="114"/>
      <c r="PLV15" s="114"/>
      <c r="PLW15" s="114"/>
      <c r="PLX15" s="114"/>
      <c r="PLY15" s="114"/>
      <c r="PLZ15" s="114"/>
      <c r="PMA15" s="114"/>
      <c r="PMB15" s="114"/>
      <c r="PMC15" s="114"/>
      <c r="PMD15" s="114"/>
      <c r="PME15" s="114"/>
      <c r="PMF15" s="114"/>
      <c r="PMG15" s="114"/>
      <c r="PMH15" s="114"/>
      <c r="PMI15" s="114"/>
      <c r="PMJ15" s="114"/>
      <c r="PMK15" s="114"/>
      <c r="PML15" s="114"/>
      <c r="PMM15" s="114"/>
      <c r="PMN15" s="114"/>
      <c r="PMO15" s="114"/>
      <c r="PMP15" s="114"/>
      <c r="PMQ15" s="114"/>
      <c r="PMR15" s="114"/>
      <c r="PMS15" s="114"/>
      <c r="PMT15" s="114"/>
      <c r="PMU15" s="114"/>
      <c r="PMV15" s="114"/>
      <c r="PMW15" s="114"/>
      <c r="PMX15" s="114"/>
      <c r="PMY15" s="114"/>
      <c r="PMZ15" s="114"/>
      <c r="PNA15" s="114"/>
      <c r="PNB15" s="114"/>
      <c r="PNC15" s="114"/>
      <c r="PND15" s="114"/>
      <c r="PNE15" s="114"/>
      <c r="PNF15" s="114"/>
      <c r="PNG15" s="114"/>
      <c r="PNH15" s="114"/>
      <c r="PNI15" s="114"/>
      <c r="PNJ15" s="114"/>
      <c r="PNK15" s="114"/>
      <c r="PNL15" s="114"/>
      <c r="PNM15" s="114"/>
      <c r="PNN15" s="114"/>
      <c r="PNO15" s="114"/>
      <c r="PNP15" s="114"/>
      <c r="PNQ15" s="114"/>
      <c r="PNR15" s="114"/>
      <c r="PNS15" s="114"/>
      <c r="PNT15" s="114"/>
      <c r="PNU15" s="114"/>
      <c r="PNV15" s="114"/>
      <c r="PNW15" s="114"/>
      <c r="PNX15" s="114"/>
      <c r="PNY15" s="114"/>
      <c r="PNZ15" s="114"/>
      <c r="POA15" s="114"/>
      <c r="POB15" s="114"/>
      <c r="POC15" s="114"/>
      <c r="POD15" s="114"/>
      <c r="POE15" s="114"/>
      <c r="POF15" s="114"/>
      <c r="POG15" s="114"/>
      <c r="POH15" s="114"/>
      <c r="POI15" s="114"/>
      <c r="POJ15" s="114"/>
      <c r="POK15" s="114"/>
      <c r="POL15" s="114"/>
      <c r="POM15" s="114"/>
      <c r="PON15" s="114"/>
      <c r="POO15" s="114"/>
      <c r="POP15" s="114"/>
      <c r="POQ15" s="114"/>
      <c r="POR15" s="114"/>
      <c r="POS15" s="114"/>
      <c r="POT15" s="114"/>
      <c r="POU15" s="114"/>
      <c r="POV15" s="114"/>
      <c r="POW15" s="114"/>
      <c r="POX15" s="114"/>
      <c r="POY15" s="114"/>
      <c r="POZ15" s="114"/>
      <c r="PPA15" s="114"/>
      <c r="PPB15" s="114"/>
      <c r="PPC15" s="114"/>
      <c r="PPD15" s="114"/>
      <c r="PPE15" s="114"/>
      <c r="PPF15" s="114"/>
      <c r="PPG15" s="114"/>
      <c r="PPH15" s="114"/>
      <c r="PPI15" s="114"/>
      <c r="PPJ15" s="114"/>
      <c r="PPK15" s="114"/>
      <c r="PPL15" s="114"/>
      <c r="PPM15" s="114"/>
      <c r="PPN15" s="114"/>
      <c r="PPO15" s="114"/>
      <c r="PPP15" s="114"/>
      <c r="PPQ15" s="114"/>
      <c r="PPR15" s="114"/>
      <c r="PPS15" s="114"/>
      <c r="PPT15" s="114"/>
      <c r="PPU15" s="114"/>
      <c r="PPV15" s="114"/>
      <c r="PPW15" s="114"/>
      <c r="PPX15" s="114"/>
      <c r="PPY15" s="114"/>
      <c r="PPZ15" s="114"/>
      <c r="PQA15" s="114"/>
      <c r="PQB15" s="114"/>
      <c r="PQC15" s="114"/>
      <c r="PQD15" s="114"/>
      <c r="PQE15" s="114"/>
      <c r="PQF15" s="114"/>
      <c r="PQG15" s="114"/>
      <c r="PQH15" s="114"/>
      <c r="PQI15" s="114"/>
      <c r="PQJ15" s="114"/>
      <c r="PQK15" s="114"/>
      <c r="PQL15" s="114"/>
      <c r="PQM15" s="114"/>
      <c r="PQN15" s="114"/>
      <c r="PQO15" s="114"/>
      <c r="PQP15" s="114"/>
      <c r="PQQ15" s="114"/>
      <c r="PQR15" s="114"/>
      <c r="PQS15" s="114"/>
      <c r="PQT15" s="114"/>
      <c r="PQU15" s="114"/>
      <c r="PQV15" s="114"/>
      <c r="PQW15" s="114"/>
      <c r="PQX15" s="114"/>
      <c r="PQY15" s="114"/>
      <c r="PQZ15" s="114"/>
      <c r="PRA15" s="114"/>
      <c r="PRB15" s="114"/>
      <c r="PRC15" s="114"/>
      <c r="PRD15" s="114"/>
      <c r="PRE15" s="114"/>
      <c r="PRF15" s="114"/>
      <c r="PRG15" s="114"/>
      <c r="PRH15" s="114"/>
      <c r="PRI15" s="114"/>
      <c r="PRJ15" s="114"/>
      <c r="PRK15" s="114"/>
      <c r="PRL15" s="114"/>
      <c r="PRM15" s="114"/>
      <c r="PRN15" s="114"/>
      <c r="PRO15" s="114"/>
      <c r="PRP15" s="114"/>
      <c r="PRQ15" s="114"/>
      <c r="PRR15" s="114"/>
      <c r="PRS15" s="114"/>
      <c r="PRT15" s="114"/>
      <c r="PRU15" s="114"/>
      <c r="PRV15" s="114"/>
      <c r="PRW15" s="114"/>
      <c r="PRX15" s="114"/>
      <c r="PRY15" s="114"/>
      <c r="PRZ15" s="114"/>
      <c r="PSA15" s="114"/>
      <c r="PSB15" s="114"/>
      <c r="PSC15" s="114"/>
      <c r="PSD15" s="114"/>
      <c r="PSE15" s="114"/>
      <c r="PSF15" s="114"/>
      <c r="PSG15" s="114"/>
      <c r="PSH15" s="114"/>
      <c r="PSI15" s="114"/>
      <c r="PSJ15" s="114"/>
      <c r="PSK15" s="114"/>
      <c r="PSL15" s="114"/>
      <c r="PSM15" s="114"/>
      <c r="PSN15" s="114"/>
      <c r="PSO15" s="114"/>
      <c r="PSP15" s="114"/>
      <c r="PSQ15" s="114"/>
      <c r="PSR15" s="114"/>
      <c r="PSS15" s="114"/>
      <c r="PST15" s="114"/>
      <c r="PSU15" s="114"/>
      <c r="PSV15" s="114"/>
      <c r="PSW15" s="114"/>
      <c r="PSX15" s="114"/>
      <c r="PSY15" s="114"/>
      <c r="PSZ15" s="114"/>
      <c r="PTA15" s="114"/>
      <c r="PTB15" s="114"/>
      <c r="PTC15" s="114"/>
      <c r="PTD15" s="114"/>
      <c r="PTE15" s="114"/>
      <c r="PTF15" s="114"/>
      <c r="PTG15" s="114"/>
      <c r="PTH15" s="114"/>
      <c r="PTI15" s="114"/>
      <c r="PTJ15" s="114"/>
      <c r="PTK15" s="114"/>
      <c r="PTL15" s="114"/>
      <c r="PTM15" s="114"/>
      <c r="PTN15" s="114"/>
      <c r="PTO15" s="114"/>
      <c r="PTP15" s="114"/>
      <c r="PTQ15" s="114"/>
      <c r="PTR15" s="114"/>
      <c r="PTS15" s="114"/>
      <c r="PTT15" s="114"/>
      <c r="PTU15" s="114"/>
      <c r="PTV15" s="114"/>
      <c r="PTW15" s="114"/>
      <c r="PTX15" s="114"/>
      <c r="PTY15" s="114"/>
      <c r="PTZ15" s="114"/>
      <c r="PUA15" s="114"/>
      <c r="PUB15" s="114"/>
      <c r="PUC15" s="114"/>
      <c r="PUD15" s="114"/>
      <c r="PUE15" s="114"/>
      <c r="PUF15" s="114"/>
      <c r="PUG15" s="114"/>
      <c r="PUH15" s="114"/>
      <c r="PUI15" s="114"/>
      <c r="PUJ15" s="114"/>
      <c r="PUK15" s="114"/>
      <c r="PUL15" s="114"/>
      <c r="PUM15" s="114"/>
      <c r="PUN15" s="114"/>
      <c r="PUO15" s="114"/>
      <c r="PUP15" s="114"/>
      <c r="PUQ15" s="114"/>
      <c r="PUR15" s="114"/>
      <c r="PUS15" s="114"/>
      <c r="PUT15" s="114"/>
      <c r="PUU15" s="114"/>
      <c r="PUV15" s="114"/>
      <c r="PUW15" s="114"/>
      <c r="PUX15" s="114"/>
      <c r="PUY15" s="114"/>
      <c r="PUZ15" s="114"/>
      <c r="PVA15" s="114"/>
      <c r="PVB15" s="114"/>
      <c r="PVC15" s="114"/>
      <c r="PVD15" s="114"/>
      <c r="PVE15" s="114"/>
      <c r="PVF15" s="114"/>
      <c r="PVG15" s="114"/>
      <c r="PVH15" s="114"/>
      <c r="PVI15" s="114"/>
      <c r="PVJ15" s="114"/>
      <c r="PVK15" s="114"/>
      <c r="PVL15" s="114"/>
      <c r="PVM15" s="114"/>
      <c r="PVN15" s="114"/>
      <c r="PVO15" s="114"/>
      <c r="PVP15" s="114"/>
      <c r="PVQ15" s="114"/>
      <c r="PVR15" s="114"/>
      <c r="PVS15" s="114"/>
      <c r="PVT15" s="114"/>
      <c r="PVU15" s="114"/>
      <c r="PVV15" s="114"/>
      <c r="PVW15" s="114"/>
      <c r="PVX15" s="114"/>
      <c r="PVY15" s="114"/>
      <c r="PVZ15" s="114"/>
      <c r="PWA15" s="114"/>
      <c r="PWB15" s="114"/>
      <c r="PWC15" s="114"/>
      <c r="PWD15" s="114"/>
      <c r="PWE15" s="114"/>
      <c r="PWF15" s="114"/>
      <c r="PWG15" s="114"/>
      <c r="PWH15" s="114"/>
      <c r="PWI15" s="114"/>
      <c r="PWJ15" s="114"/>
      <c r="PWK15" s="114"/>
      <c r="PWL15" s="114"/>
      <c r="PWM15" s="114"/>
      <c r="PWN15" s="114"/>
      <c r="PWO15" s="114"/>
      <c r="PWP15" s="114"/>
      <c r="PWQ15" s="114"/>
      <c r="PWR15" s="114"/>
      <c r="PWS15" s="114"/>
      <c r="PWT15" s="114"/>
      <c r="PWU15" s="114"/>
      <c r="PWV15" s="114"/>
      <c r="PWW15" s="114"/>
      <c r="PWX15" s="114"/>
      <c r="PWY15" s="114"/>
      <c r="PWZ15" s="114"/>
      <c r="PXA15" s="114"/>
      <c r="PXB15" s="114"/>
      <c r="PXC15" s="114"/>
      <c r="PXD15" s="114"/>
      <c r="PXE15" s="114"/>
      <c r="PXF15" s="114"/>
      <c r="PXG15" s="114"/>
      <c r="PXH15" s="114"/>
      <c r="PXI15" s="114"/>
      <c r="PXJ15" s="114"/>
      <c r="PXK15" s="114"/>
      <c r="PXL15" s="114"/>
      <c r="PXM15" s="114"/>
      <c r="PXN15" s="114"/>
      <c r="PXO15" s="114"/>
      <c r="PXP15" s="114"/>
      <c r="PXQ15" s="114"/>
      <c r="PXR15" s="114"/>
      <c r="PXS15" s="114"/>
      <c r="PXT15" s="114"/>
      <c r="PXU15" s="114"/>
      <c r="PXV15" s="114"/>
      <c r="PXW15" s="114"/>
      <c r="PXX15" s="114"/>
      <c r="PXY15" s="114"/>
      <c r="PXZ15" s="114"/>
      <c r="PYA15" s="114"/>
      <c r="PYB15" s="114"/>
      <c r="PYC15" s="114"/>
      <c r="PYD15" s="114"/>
      <c r="PYE15" s="114"/>
      <c r="PYF15" s="114"/>
      <c r="PYG15" s="114"/>
      <c r="PYH15" s="114"/>
      <c r="PYI15" s="114"/>
      <c r="PYJ15" s="114"/>
      <c r="PYK15" s="114"/>
      <c r="PYL15" s="114"/>
      <c r="PYM15" s="114"/>
      <c r="PYN15" s="114"/>
      <c r="PYO15" s="114"/>
      <c r="PYP15" s="114"/>
      <c r="PYQ15" s="114"/>
      <c r="PYR15" s="114"/>
      <c r="PYS15" s="114"/>
      <c r="PYT15" s="114"/>
      <c r="PYU15" s="114"/>
      <c r="PYV15" s="114"/>
      <c r="PYW15" s="114"/>
      <c r="PYX15" s="114"/>
      <c r="PYY15" s="114"/>
      <c r="PYZ15" s="114"/>
      <c r="PZA15" s="114"/>
      <c r="PZB15" s="114"/>
      <c r="PZC15" s="114"/>
      <c r="PZD15" s="114"/>
      <c r="PZE15" s="114"/>
      <c r="PZF15" s="114"/>
      <c r="PZG15" s="114"/>
      <c r="PZH15" s="114"/>
      <c r="PZI15" s="114"/>
      <c r="PZJ15" s="114"/>
      <c r="PZK15" s="114"/>
      <c r="PZL15" s="114"/>
      <c r="PZM15" s="114"/>
      <c r="PZN15" s="114"/>
      <c r="PZO15" s="114"/>
      <c r="PZP15" s="114"/>
      <c r="PZQ15" s="114"/>
      <c r="PZR15" s="114"/>
      <c r="PZS15" s="114"/>
      <c r="PZT15" s="114"/>
      <c r="PZU15" s="114"/>
      <c r="PZV15" s="114"/>
      <c r="PZW15" s="114"/>
      <c r="PZX15" s="114"/>
      <c r="PZY15" s="114"/>
      <c r="PZZ15" s="114"/>
      <c r="QAA15" s="114"/>
      <c r="QAB15" s="114"/>
      <c r="QAC15" s="114"/>
      <c r="QAD15" s="114"/>
      <c r="QAE15" s="114"/>
      <c r="QAF15" s="114"/>
      <c r="QAG15" s="114"/>
      <c r="QAH15" s="114"/>
      <c r="QAI15" s="114"/>
      <c r="QAJ15" s="114"/>
      <c r="QAK15" s="114"/>
      <c r="QAL15" s="114"/>
      <c r="QAM15" s="114"/>
      <c r="QAN15" s="114"/>
      <c r="QAO15" s="114"/>
      <c r="QAP15" s="114"/>
      <c r="QAQ15" s="114"/>
      <c r="QAR15" s="114"/>
      <c r="QAS15" s="114"/>
      <c r="QAT15" s="114"/>
      <c r="QAU15" s="114"/>
      <c r="QAV15" s="114"/>
      <c r="QAW15" s="114"/>
      <c r="QAX15" s="114"/>
      <c r="QAY15" s="114"/>
      <c r="QAZ15" s="114"/>
      <c r="QBA15" s="114"/>
      <c r="QBB15" s="114"/>
      <c r="QBC15" s="114"/>
      <c r="QBD15" s="114"/>
      <c r="QBE15" s="114"/>
      <c r="QBF15" s="114"/>
      <c r="QBG15" s="114"/>
      <c r="QBH15" s="114"/>
      <c r="QBI15" s="114"/>
      <c r="QBJ15" s="114"/>
      <c r="QBK15" s="114"/>
      <c r="QBL15" s="114"/>
      <c r="QBM15" s="114"/>
      <c r="QBN15" s="114"/>
      <c r="QBO15" s="114"/>
      <c r="QBP15" s="114"/>
      <c r="QBQ15" s="114"/>
      <c r="QBR15" s="114"/>
      <c r="QBS15" s="114"/>
      <c r="QBT15" s="114"/>
      <c r="QBU15" s="114"/>
      <c r="QBV15" s="114"/>
      <c r="QBW15" s="114"/>
      <c r="QBX15" s="114"/>
      <c r="QBY15" s="114"/>
      <c r="QBZ15" s="114"/>
      <c r="QCA15" s="114"/>
      <c r="QCB15" s="114"/>
      <c r="QCC15" s="114"/>
      <c r="QCD15" s="114"/>
      <c r="QCE15" s="114"/>
      <c r="QCF15" s="114"/>
      <c r="QCG15" s="114"/>
      <c r="QCH15" s="114"/>
      <c r="QCI15" s="114"/>
      <c r="QCJ15" s="114"/>
      <c r="QCK15" s="114"/>
      <c r="QCL15" s="114"/>
      <c r="QCM15" s="114"/>
      <c r="QCN15" s="114"/>
      <c r="QCO15" s="114"/>
      <c r="QCP15" s="114"/>
      <c r="QCQ15" s="114"/>
      <c r="QCR15" s="114"/>
      <c r="QCS15" s="114"/>
      <c r="QCT15" s="114"/>
      <c r="QCU15" s="114"/>
      <c r="QCV15" s="114"/>
      <c r="QCW15" s="114"/>
      <c r="QCX15" s="114"/>
      <c r="QCY15" s="114"/>
      <c r="QCZ15" s="114"/>
      <c r="QDA15" s="114"/>
      <c r="QDB15" s="114"/>
      <c r="QDC15" s="114"/>
      <c r="QDD15" s="114"/>
      <c r="QDE15" s="114"/>
      <c r="QDF15" s="114"/>
      <c r="QDG15" s="114"/>
      <c r="QDH15" s="114"/>
      <c r="QDI15" s="114"/>
      <c r="QDJ15" s="114"/>
      <c r="QDK15" s="114"/>
      <c r="QDL15" s="114"/>
      <c r="QDM15" s="114"/>
      <c r="QDN15" s="114"/>
      <c r="QDO15" s="114"/>
      <c r="QDP15" s="114"/>
      <c r="QDQ15" s="114"/>
      <c r="QDR15" s="114"/>
      <c r="QDS15" s="114"/>
      <c r="QDT15" s="114"/>
      <c r="QDU15" s="114"/>
      <c r="QDV15" s="114"/>
      <c r="QDW15" s="114"/>
      <c r="QDX15" s="114"/>
      <c r="QDY15" s="114"/>
      <c r="QDZ15" s="114"/>
      <c r="QEA15" s="114"/>
      <c r="QEB15" s="114"/>
      <c r="QEC15" s="114"/>
      <c r="QED15" s="114"/>
      <c r="QEE15" s="114"/>
      <c r="QEF15" s="114"/>
      <c r="QEG15" s="114"/>
      <c r="QEH15" s="114"/>
      <c r="QEI15" s="114"/>
      <c r="QEJ15" s="114"/>
      <c r="QEK15" s="114"/>
      <c r="QEL15" s="114"/>
      <c r="QEM15" s="114"/>
      <c r="QEN15" s="114"/>
      <c r="QEO15" s="114"/>
      <c r="QEP15" s="114"/>
      <c r="QEQ15" s="114"/>
      <c r="QER15" s="114"/>
      <c r="QES15" s="114"/>
      <c r="QET15" s="114"/>
      <c r="QEU15" s="114"/>
      <c r="QEV15" s="114"/>
      <c r="QEW15" s="114"/>
      <c r="QEX15" s="114"/>
      <c r="QEY15" s="114"/>
      <c r="QEZ15" s="114"/>
      <c r="QFA15" s="114"/>
      <c r="QFB15" s="114"/>
      <c r="QFC15" s="114"/>
      <c r="QFD15" s="114"/>
      <c r="QFE15" s="114"/>
      <c r="QFF15" s="114"/>
      <c r="QFG15" s="114"/>
      <c r="QFH15" s="114"/>
      <c r="QFI15" s="114"/>
      <c r="QFJ15" s="114"/>
      <c r="QFK15" s="114"/>
      <c r="QFL15" s="114"/>
      <c r="QFM15" s="114"/>
      <c r="QFN15" s="114"/>
      <c r="QFO15" s="114"/>
      <c r="QFP15" s="114"/>
      <c r="QFQ15" s="114"/>
      <c r="QFR15" s="114"/>
      <c r="QFS15" s="114"/>
      <c r="QFT15" s="114"/>
      <c r="QFU15" s="114"/>
      <c r="QFV15" s="114"/>
      <c r="QFW15" s="114"/>
      <c r="QFX15" s="114"/>
      <c r="QFY15" s="114"/>
      <c r="QFZ15" s="114"/>
      <c r="QGA15" s="114"/>
      <c r="QGB15" s="114"/>
      <c r="QGC15" s="114"/>
      <c r="QGD15" s="114"/>
      <c r="QGE15" s="114"/>
      <c r="QGF15" s="114"/>
      <c r="QGG15" s="114"/>
      <c r="QGH15" s="114"/>
      <c r="QGI15" s="114"/>
      <c r="QGJ15" s="114"/>
      <c r="QGK15" s="114"/>
      <c r="QGL15" s="114"/>
      <c r="QGM15" s="114"/>
      <c r="QGN15" s="114"/>
      <c r="QGO15" s="114"/>
      <c r="QGP15" s="114"/>
      <c r="QGQ15" s="114"/>
      <c r="QGR15" s="114"/>
      <c r="QGS15" s="114"/>
      <c r="QGT15" s="114"/>
      <c r="QGU15" s="114"/>
      <c r="QGV15" s="114"/>
      <c r="QGW15" s="114"/>
      <c r="QGX15" s="114"/>
      <c r="QGY15" s="114"/>
      <c r="QGZ15" s="114"/>
      <c r="QHA15" s="114"/>
      <c r="QHB15" s="114"/>
      <c r="QHC15" s="114"/>
      <c r="QHD15" s="114"/>
      <c r="QHE15" s="114"/>
      <c r="QHF15" s="114"/>
      <c r="QHG15" s="114"/>
      <c r="QHH15" s="114"/>
      <c r="QHI15" s="114"/>
      <c r="QHJ15" s="114"/>
      <c r="QHK15" s="114"/>
      <c r="QHL15" s="114"/>
      <c r="QHM15" s="114"/>
      <c r="QHN15" s="114"/>
      <c r="QHO15" s="114"/>
      <c r="QHP15" s="114"/>
      <c r="QHQ15" s="114"/>
      <c r="QHR15" s="114"/>
      <c r="QHS15" s="114"/>
      <c r="QHT15" s="114"/>
      <c r="QHU15" s="114"/>
      <c r="QHV15" s="114"/>
      <c r="QHW15" s="114"/>
      <c r="QHX15" s="114"/>
      <c r="QHY15" s="114"/>
      <c r="QHZ15" s="114"/>
      <c r="QIA15" s="114"/>
      <c r="QIB15" s="114"/>
      <c r="QIC15" s="114"/>
      <c r="QID15" s="114"/>
      <c r="QIE15" s="114"/>
      <c r="QIF15" s="114"/>
      <c r="QIG15" s="114"/>
      <c r="QIH15" s="114"/>
      <c r="QII15" s="114"/>
      <c r="QIJ15" s="114"/>
      <c r="QIK15" s="114"/>
      <c r="QIL15" s="114"/>
      <c r="QIM15" s="114"/>
      <c r="QIN15" s="114"/>
      <c r="QIO15" s="114"/>
      <c r="QIP15" s="114"/>
      <c r="QIQ15" s="114"/>
      <c r="QIR15" s="114"/>
      <c r="QIS15" s="114"/>
      <c r="QIT15" s="114"/>
      <c r="QIU15" s="114"/>
      <c r="QIV15" s="114"/>
      <c r="QIW15" s="114"/>
      <c r="QIX15" s="114"/>
      <c r="QIY15" s="114"/>
      <c r="QIZ15" s="114"/>
      <c r="QJA15" s="114"/>
      <c r="QJB15" s="114"/>
      <c r="QJC15" s="114"/>
      <c r="QJD15" s="114"/>
      <c r="QJE15" s="114"/>
      <c r="QJF15" s="114"/>
      <c r="QJG15" s="114"/>
      <c r="QJH15" s="114"/>
      <c r="QJI15" s="114"/>
      <c r="QJJ15" s="114"/>
      <c r="QJK15" s="114"/>
      <c r="QJL15" s="114"/>
      <c r="QJM15" s="114"/>
      <c r="QJN15" s="114"/>
      <c r="QJO15" s="114"/>
      <c r="QJP15" s="114"/>
      <c r="QJQ15" s="114"/>
      <c r="QJR15" s="114"/>
      <c r="QJS15" s="114"/>
      <c r="QJT15" s="114"/>
      <c r="QJU15" s="114"/>
      <c r="QJV15" s="114"/>
      <c r="QJW15" s="114"/>
      <c r="QJX15" s="114"/>
      <c r="QJY15" s="114"/>
      <c r="QJZ15" s="114"/>
      <c r="QKA15" s="114"/>
      <c r="QKB15" s="114"/>
      <c r="QKC15" s="114"/>
      <c r="QKD15" s="114"/>
      <c r="QKE15" s="114"/>
      <c r="QKF15" s="114"/>
      <c r="QKG15" s="114"/>
      <c r="QKH15" s="114"/>
      <c r="QKI15" s="114"/>
      <c r="QKJ15" s="114"/>
      <c r="QKK15" s="114"/>
      <c r="QKL15" s="114"/>
      <c r="QKM15" s="114"/>
      <c r="QKN15" s="114"/>
      <c r="QKO15" s="114"/>
      <c r="QKP15" s="114"/>
      <c r="QKQ15" s="114"/>
      <c r="QKR15" s="114"/>
      <c r="QKS15" s="114"/>
      <c r="QKT15" s="114"/>
      <c r="QKU15" s="114"/>
      <c r="QKV15" s="114"/>
      <c r="QKW15" s="114"/>
      <c r="QKX15" s="114"/>
      <c r="QKY15" s="114"/>
      <c r="QKZ15" s="114"/>
      <c r="QLA15" s="114"/>
      <c r="QLB15" s="114"/>
      <c r="QLC15" s="114"/>
      <c r="QLD15" s="114"/>
      <c r="QLE15" s="114"/>
      <c r="QLF15" s="114"/>
      <c r="QLG15" s="114"/>
      <c r="QLH15" s="114"/>
      <c r="QLI15" s="114"/>
      <c r="QLJ15" s="114"/>
      <c r="QLK15" s="114"/>
      <c r="QLL15" s="114"/>
      <c r="QLM15" s="114"/>
      <c r="QLN15" s="114"/>
      <c r="QLO15" s="114"/>
      <c r="QLP15" s="114"/>
      <c r="QLQ15" s="114"/>
      <c r="QLR15" s="114"/>
      <c r="QLS15" s="114"/>
      <c r="QLT15" s="114"/>
      <c r="QLU15" s="114"/>
      <c r="QLV15" s="114"/>
      <c r="QLW15" s="114"/>
      <c r="QLX15" s="114"/>
      <c r="QLY15" s="114"/>
      <c r="QLZ15" s="114"/>
      <c r="QMA15" s="114"/>
      <c r="QMB15" s="114"/>
      <c r="QMC15" s="114"/>
      <c r="QMD15" s="114"/>
      <c r="QME15" s="114"/>
      <c r="QMF15" s="114"/>
      <c r="QMG15" s="114"/>
      <c r="QMH15" s="114"/>
      <c r="QMI15" s="114"/>
      <c r="QMJ15" s="114"/>
      <c r="QMK15" s="114"/>
      <c r="QML15" s="114"/>
      <c r="QMM15" s="114"/>
      <c r="QMN15" s="114"/>
      <c r="QMO15" s="114"/>
      <c r="QMP15" s="114"/>
      <c r="QMQ15" s="114"/>
      <c r="QMR15" s="114"/>
      <c r="QMS15" s="114"/>
      <c r="QMT15" s="114"/>
      <c r="QMU15" s="114"/>
      <c r="QMV15" s="114"/>
      <c r="QMW15" s="114"/>
      <c r="QMX15" s="114"/>
      <c r="QMY15" s="114"/>
      <c r="QMZ15" s="114"/>
      <c r="QNA15" s="114"/>
      <c r="QNB15" s="114"/>
      <c r="QNC15" s="114"/>
      <c r="QND15" s="114"/>
      <c r="QNE15" s="114"/>
      <c r="QNF15" s="114"/>
      <c r="QNG15" s="114"/>
      <c r="QNH15" s="114"/>
      <c r="QNI15" s="114"/>
      <c r="QNJ15" s="114"/>
      <c r="QNK15" s="114"/>
      <c r="QNL15" s="114"/>
      <c r="QNM15" s="114"/>
      <c r="QNN15" s="114"/>
      <c r="QNO15" s="114"/>
      <c r="QNP15" s="114"/>
      <c r="QNQ15" s="114"/>
      <c r="QNR15" s="114"/>
      <c r="QNS15" s="114"/>
      <c r="QNT15" s="114"/>
      <c r="QNU15" s="114"/>
      <c r="QNV15" s="114"/>
      <c r="QNW15" s="114"/>
      <c r="QNX15" s="114"/>
      <c r="QNY15" s="114"/>
      <c r="QNZ15" s="114"/>
      <c r="QOA15" s="114"/>
      <c r="QOB15" s="114"/>
      <c r="QOC15" s="114"/>
      <c r="QOD15" s="114"/>
      <c r="QOE15" s="114"/>
      <c r="QOF15" s="114"/>
      <c r="QOG15" s="114"/>
      <c r="QOH15" s="114"/>
      <c r="QOI15" s="114"/>
      <c r="QOJ15" s="114"/>
      <c r="QOK15" s="114"/>
      <c r="QOL15" s="114"/>
      <c r="QOM15" s="114"/>
      <c r="QON15" s="114"/>
      <c r="QOO15" s="114"/>
      <c r="QOP15" s="114"/>
      <c r="QOQ15" s="114"/>
      <c r="QOR15" s="114"/>
      <c r="QOS15" s="114"/>
      <c r="QOT15" s="114"/>
      <c r="QOU15" s="114"/>
      <c r="QOV15" s="114"/>
      <c r="QOW15" s="114"/>
      <c r="QOX15" s="114"/>
      <c r="QOY15" s="114"/>
      <c r="QOZ15" s="114"/>
      <c r="QPA15" s="114"/>
      <c r="QPB15" s="114"/>
      <c r="QPC15" s="114"/>
      <c r="QPD15" s="114"/>
      <c r="QPE15" s="114"/>
      <c r="QPF15" s="114"/>
      <c r="QPG15" s="114"/>
      <c r="QPH15" s="114"/>
      <c r="QPI15" s="114"/>
      <c r="QPJ15" s="114"/>
      <c r="QPK15" s="114"/>
      <c r="QPL15" s="114"/>
      <c r="QPM15" s="114"/>
      <c r="QPN15" s="114"/>
      <c r="QPO15" s="114"/>
      <c r="QPP15" s="114"/>
      <c r="QPQ15" s="114"/>
      <c r="QPR15" s="114"/>
      <c r="QPS15" s="114"/>
      <c r="QPT15" s="114"/>
      <c r="QPU15" s="114"/>
      <c r="QPV15" s="114"/>
      <c r="QPW15" s="114"/>
      <c r="QPX15" s="114"/>
      <c r="QPY15" s="114"/>
      <c r="QPZ15" s="114"/>
      <c r="QQA15" s="114"/>
      <c r="QQB15" s="114"/>
      <c r="QQC15" s="114"/>
      <c r="QQD15" s="114"/>
      <c r="QQE15" s="114"/>
      <c r="QQF15" s="114"/>
      <c r="QQG15" s="114"/>
      <c r="QQH15" s="114"/>
      <c r="QQI15" s="114"/>
      <c r="QQJ15" s="114"/>
      <c r="QQK15" s="114"/>
      <c r="QQL15" s="114"/>
      <c r="QQM15" s="114"/>
      <c r="QQN15" s="114"/>
      <c r="QQO15" s="114"/>
      <c r="QQP15" s="114"/>
      <c r="QQQ15" s="114"/>
      <c r="QQR15" s="114"/>
      <c r="QQS15" s="114"/>
      <c r="QQT15" s="114"/>
      <c r="QQU15" s="114"/>
      <c r="QQV15" s="114"/>
      <c r="QQW15" s="114"/>
      <c r="QQX15" s="114"/>
      <c r="QQY15" s="114"/>
      <c r="QQZ15" s="114"/>
      <c r="QRA15" s="114"/>
      <c r="QRB15" s="114"/>
      <c r="QRC15" s="114"/>
      <c r="QRD15" s="114"/>
      <c r="QRE15" s="114"/>
      <c r="QRF15" s="114"/>
      <c r="QRG15" s="114"/>
      <c r="QRH15" s="114"/>
      <c r="QRI15" s="114"/>
      <c r="QRJ15" s="114"/>
      <c r="QRK15" s="114"/>
      <c r="QRL15" s="114"/>
      <c r="QRM15" s="114"/>
      <c r="QRN15" s="114"/>
      <c r="QRO15" s="114"/>
      <c r="QRP15" s="114"/>
      <c r="QRQ15" s="114"/>
      <c r="QRR15" s="114"/>
      <c r="QRS15" s="114"/>
      <c r="QRT15" s="114"/>
      <c r="QRU15" s="114"/>
      <c r="QRV15" s="114"/>
      <c r="QRW15" s="114"/>
      <c r="QRX15" s="114"/>
      <c r="QRY15" s="114"/>
      <c r="QRZ15" s="114"/>
      <c r="QSA15" s="114"/>
      <c r="QSB15" s="114"/>
      <c r="QSC15" s="114"/>
      <c r="QSD15" s="114"/>
      <c r="QSE15" s="114"/>
      <c r="QSF15" s="114"/>
      <c r="QSG15" s="114"/>
      <c r="QSH15" s="114"/>
      <c r="QSI15" s="114"/>
      <c r="QSJ15" s="114"/>
      <c r="QSK15" s="114"/>
      <c r="QSL15" s="114"/>
      <c r="QSM15" s="114"/>
      <c r="QSN15" s="114"/>
      <c r="QSO15" s="114"/>
      <c r="QSP15" s="114"/>
      <c r="QSQ15" s="114"/>
      <c r="QSR15" s="114"/>
      <c r="QSS15" s="114"/>
      <c r="QST15" s="114"/>
      <c r="QSU15" s="114"/>
      <c r="QSV15" s="114"/>
      <c r="QSW15" s="114"/>
      <c r="QSX15" s="114"/>
      <c r="QSY15" s="114"/>
      <c r="QSZ15" s="114"/>
      <c r="QTA15" s="114"/>
      <c r="QTB15" s="114"/>
      <c r="QTC15" s="114"/>
      <c r="QTD15" s="114"/>
      <c r="QTE15" s="114"/>
      <c r="QTF15" s="114"/>
      <c r="QTG15" s="114"/>
      <c r="QTH15" s="114"/>
      <c r="QTI15" s="114"/>
      <c r="QTJ15" s="114"/>
      <c r="QTK15" s="114"/>
      <c r="QTL15" s="114"/>
      <c r="QTM15" s="114"/>
      <c r="QTN15" s="114"/>
      <c r="QTO15" s="114"/>
      <c r="QTP15" s="114"/>
      <c r="QTQ15" s="114"/>
      <c r="QTR15" s="114"/>
      <c r="QTS15" s="114"/>
      <c r="QTT15" s="114"/>
      <c r="QTU15" s="114"/>
      <c r="QTV15" s="114"/>
      <c r="QTW15" s="114"/>
      <c r="QTX15" s="114"/>
      <c r="QTY15" s="114"/>
      <c r="QTZ15" s="114"/>
      <c r="QUA15" s="114"/>
      <c r="QUB15" s="114"/>
      <c r="QUC15" s="114"/>
      <c r="QUD15" s="114"/>
      <c r="QUE15" s="114"/>
      <c r="QUF15" s="114"/>
      <c r="QUG15" s="114"/>
      <c r="QUH15" s="114"/>
      <c r="QUI15" s="114"/>
      <c r="QUJ15" s="114"/>
      <c r="QUK15" s="114"/>
      <c r="QUL15" s="114"/>
      <c r="QUM15" s="114"/>
      <c r="QUN15" s="114"/>
      <c r="QUO15" s="114"/>
      <c r="QUP15" s="114"/>
      <c r="QUQ15" s="114"/>
      <c r="QUR15" s="114"/>
      <c r="QUS15" s="114"/>
      <c r="QUT15" s="114"/>
      <c r="QUU15" s="114"/>
      <c r="QUV15" s="114"/>
      <c r="QUW15" s="114"/>
      <c r="QUX15" s="114"/>
      <c r="QUY15" s="114"/>
      <c r="QUZ15" s="114"/>
      <c r="QVA15" s="114"/>
      <c r="QVB15" s="114"/>
      <c r="QVC15" s="114"/>
      <c r="QVD15" s="114"/>
      <c r="QVE15" s="114"/>
      <c r="QVF15" s="114"/>
      <c r="QVG15" s="114"/>
      <c r="QVH15" s="114"/>
      <c r="QVI15" s="114"/>
      <c r="QVJ15" s="114"/>
      <c r="QVK15" s="114"/>
      <c r="QVL15" s="114"/>
      <c r="QVM15" s="114"/>
      <c r="QVN15" s="114"/>
      <c r="QVO15" s="114"/>
      <c r="QVP15" s="114"/>
      <c r="QVQ15" s="114"/>
      <c r="QVR15" s="114"/>
      <c r="QVS15" s="114"/>
      <c r="QVT15" s="114"/>
      <c r="QVU15" s="114"/>
      <c r="QVV15" s="114"/>
      <c r="QVW15" s="114"/>
      <c r="QVX15" s="114"/>
      <c r="QVY15" s="114"/>
      <c r="QVZ15" s="114"/>
      <c r="QWA15" s="114"/>
      <c r="QWB15" s="114"/>
      <c r="QWC15" s="114"/>
      <c r="QWD15" s="114"/>
      <c r="QWE15" s="114"/>
      <c r="QWF15" s="114"/>
      <c r="QWG15" s="114"/>
      <c r="QWH15" s="114"/>
      <c r="QWI15" s="114"/>
      <c r="QWJ15" s="114"/>
      <c r="QWK15" s="114"/>
      <c r="QWL15" s="114"/>
      <c r="QWM15" s="114"/>
      <c r="QWN15" s="114"/>
      <c r="QWO15" s="114"/>
      <c r="QWP15" s="114"/>
      <c r="QWQ15" s="114"/>
      <c r="QWR15" s="114"/>
      <c r="QWS15" s="114"/>
      <c r="QWT15" s="114"/>
      <c r="QWU15" s="114"/>
      <c r="QWV15" s="114"/>
      <c r="QWW15" s="114"/>
      <c r="QWX15" s="114"/>
      <c r="QWY15" s="114"/>
      <c r="QWZ15" s="114"/>
      <c r="QXA15" s="114"/>
      <c r="QXB15" s="114"/>
      <c r="QXC15" s="114"/>
      <c r="QXD15" s="114"/>
      <c r="QXE15" s="114"/>
      <c r="QXF15" s="114"/>
      <c r="QXG15" s="114"/>
      <c r="QXH15" s="114"/>
      <c r="QXI15" s="114"/>
      <c r="QXJ15" s="114"/>
      <c r="QXK15" s="114"/>
      <c r="QXL15" s="114"/>
      <c r="QXM15" s="114"/>
      <c r="QXN15" s="114"/>
      <c r="QXO15" s="114"/>
      <c r="QXP15" s="114"/>
      <c r="QXQ15" s="114"/>
      <c r="QXR15" s="114"/>
      <c r="QXS15" s="114"/>
      <c r="QXT15" s="114"/>
      <c r="QXU15" s="114"/>
      <c r="QXV15" s="114"/>
      <c r="QXW15" s="114"/>
      <c r="QXX15" s="114"/>
      <c r="QXY15" s="114"/>
      <c r="QXZ15" s="114"/>
      <c r="QYA15" s="114"/>
      <c r="QYB15" s="114"/>
      <c r="QYC15" s="114"/>
      <c r="QYD15" s="114"/>
      <c r="QYE15" s="114"/>
      <c r="QYF15" s="114"/>
      <c r="QYG15" s="114"/>
      <c r="QYH15" s="114"/>
      <c r="QYI15" s="114"/>
      <c r="QYJ15" s="114"/>
      <c r="QYK15" s="114"/>
      <c r="QYL15" s="114"/>
      <c r="QYM15" s="114"/>
      <c r="QYN15" s="114"/>
      <c r="QYO15" s="114"/>
      <c r="QYP15" s="114"/>
      <c r="QYQ15" s="114"/>
      <c r="QYR15" s="114"/>
      <c r="QYS15" s="114"/>
      <c r="QYT15" s="114"/>
      <c r="QYU15" s="114"/>
      <c r="QYV15" s="114"/>
      <c r="QYW15" s="114"/>
      <c r="QYX15" s="114"/>
      <c r="QYY15" s="114"/>
      <c r="QYZ15" s="114"/>
      <c r="QZA15" s="114"/>
      <c r="QZB15" s="114"/>
      <c r="QZC15" s="114"/>
      <c r="QZD15" s="114"/>
      <c r="QZE15" s="114"/>
      <c r="QZF15" s="114"/>
      <c r="QZG15" s="114"/>
      <c r="QZH15" s="114"/>
      <c r="QZI15" s="114"/>
      <c r="QZJ15" s="114"/>
      <c r="QZK15" s="114"/>
      <c r="QZL15" s="114"/>
      <c r="QZM15" s="114"/>
      <c r="QZN15" s="114"/>
      <c r="QZO15" s="114"/>
      <c r="QZP15" s="114"/>
      <c r="QZQ15" s="114"/>
      <c r="QZR15" s="114"/>
      <c r="QZS15" s="114"/>
      <c r="QZT15" s="114"/>
      <c r="QZU15" s="114"/>
      <c r="QZV15" s="114"/>
      <c r="QZW15" s="114"/>
      <c r="QZX15" s="114"/>
      <c r="QZY15" s="114"/>
      <c r="QZZ15" s="114"/>
      <c r="RAA15" s="114"/>
      <c r="RAB15" s="114"/>
      <c r="RAC15" s="114"/>
      <c r="RAD15" s="114"/>
      <c r="RAE15" s="114"/>
      <c r="RAF15" s="114"/>
      <c r="RAG15" s="114"/>
      <c r="RAH15" s="114"/>
      <c r="RAI15" s="114"/>
      <c r="RAJ15" s="114"/>
      <c r="RAK15" s="114"/>
      <c r="RAL15" s="114"/>
      <c r="RAM15" s="114"/>
      <c r="RAN15" s="114"/>
      <c r="RAO15" s="114"/>
      <c r="RAP15" s="114"/>
      <c r="RAQ15" s="114"/>
      <c r="RAR15" s="114"/>
      <c r="RAS15" s="114"/>
      <c r="RAT15" s="114"/>
      <c r="RAU15" s="114"/>
      <c r="RAV15" s="114"/>
      <c r="RAW15" s="114"/>
      <c r="RAX15" s="114"/>
      <c r="RAY15" s="114"/>
      <c r="RAZ15" s="114"/>
      <c r="RBA15" s="114"/>
      <c r="RBB15" s="114"/>
      <c r="RBC15" s="114"/>
      <c r="RBD15" s="114"/>
      <c r="RBE15" s="114"/>
      <c r="RBF15" s="114"/>
      <c r="RBG15" s="114"/>
      <c r="RBH15" s="114"/>
      <c r="RBI15" s="114"/>
      <c r="RBJ15" s="114"/>
      <c r="RBK15" s="114"/>
      <c r="RBL15" s="114"/>
      <c r="RBM15" s="114"/>
      <c r="RBN15" s="114"/>
      <c r="RBO15" s="114"/>
      <c r="RBP15" s="114"/>
      <c r="RBQ15" s="114"/>
      <c r="RBR15" s="114"/>
      <c r="RBS15" s="114"/>
      <c r="RBT15" s="114"/>
      <c r="RBU15" s="114"/>
      <c r="RBV15" s="114"/>
      <c r="RBW15" s="114"/>
      <c r="RBX15" s="114"/>
      <c r="RBY15" s="114"/>
      <c r="RBZ15" s="114"/>
      <c r="RCA15" s="114"/>
      <c r="RCB15" s="114"/>
      <c r="RCC15" s="114"/>
      <c r="RCD15" s="114"/>
      <c r="RCE15" s="114"/>
      <c r="RCF15" s="114"/>
      <c r="RCG15" s="114"/>
      <c r="RCH15" s="114"/>
      <c r="RCI15" s="114"/>
      <c r="RCJ15" s="114"/>
      <c r="RCK15" s="114"/>
      <c r="RCL15" s="114"/>
      <c r="RCM15" s="114"/>
      <c r="RCN15" s="114"/>
      <c r="RCO15" s="114"/>
      <c r="RCP15" s="114"/>
      <c r="RCQ15" s="114"/>
      <c r="RCR15" s="114"/>
      <c r="RCS15" s="114"/>
      <c r="RCT15" s="114"/>
      <c r="RCU15" s="114"/>
      <c r="RCV15" s="114"/>
      <c r="RCW15" s="114"/>
      <c r="RCX15" s="114"/>
      <c r="RCY15" s="114"/>
      <c r="RCZ15" s="114"/>
      <c r="RDA15" s="114"/>
      <c r="RDB15" s="114"/>
      <c r="RDC15" s="114"/>
      <c r="RDD15" s="114"/>
      <c r="RDE15" s="114"/>
      <c r="RDF15" s="114"/>
      <c r="RDG15" s="114"/>
      <c r="RDH15" s="114"/>
      <c r="RDI15" s="114"/>
      <c r="RDJ15" s="114"/>
      <c r="RDK15" s="114"/>
      <c r="RDL15" s="114"/>
      <c r="RDM15" s="114"/>
      <c r="RDN15" s="114"/>
      <c r="RDO15" s="114"/>
      <c r="RDP15" s="114"/>
      <c r="RDQ15" s="114"/>
      <c r="RDR15" s="114"/>
      <c r="RDS15" s="114"/>
      <c r="RDT15" s="114"/>
      <c r="RDU15" s="114"/>
      <c r="RDV15" s="114"/>
      <c r="RDW15" s="114"/>
      <c r="RDX15" s="114"/>
      <c r="RDY15" s="114"/>
      <c r="RDZ15" s="114"/>
      <c r="REA15" s="114"/>
      <c r="REB15" s="114"/>
      <c r="REC15" s="114"/>
      <c r="RED15" s="114"/>
      <c r="REE15" s="114"/>
      <c r="REF15" s="114"/>
      <c r="REG15" s="114"/>
      <c r="REH15" s="114"/>
      <c r="REI15" s="114"/>
      <c r="REJ15" s="114"/>
      <c r="REK15" s="114"/>
      <c r="REL15" s="114"/>
      <c r="REM15" s="114"/>
      <c r="REN15" s="114"/>
      <c r="REO15" s="114"/>
      <c r="REP15" s="114"/>
      <c r="REQ15" s="114"/>
      <c r="RER15" s="114"/>
      <c r="RES15" s="114"/>
      <c r="RET15" s="114"/>
      <c r="REU15" s="114"/>
      <c r="REV15" s="114"/>
      <c r="REW15" s="114"/>
      <c r="REX15" s="114"/>
      <c r="REY15" s="114"/>
      <c r="REZ15" s="114"/>
      <c r="RFA15" s="114"/>
      <c r="RFB15" s="114"/>
      <c r="RFC15" s="114"/>
      <c r="RFD15" s="114"/>
      <c r="RFE15" s="114"/>
      <c r="RFF15" s="114"/>
      <c r="RFG15" s="114"/>
      <c r="RFH15" s="114"/>
      <c r="RFI15" s="114"/>
      <c r="RFJ15" s="114"/>
      <c r="RFK15" s="114"/>
      <c r="RFL15" s="114"/>
      <c r="RFM15" s="114"/>
      <c r="RFN15" s="114"/>
      <c r="RFO15" s="114"/>
      <c r="RFP15" s="114"/>
      <c r="RFQ15" s="114"/>
      <c r="RFR15" s="114"/>
      <c r="RFS15" s="114"/>
      <c r="RFT15" s="114"/>
      <c r="RFU15" s="114"/>
      <c r="RFV15" s="114"/>
      <c r="RFW15" s="114"/>
      <c r="RFX15" s="114"/>
      <c r="RFY15" s="114"/>
      <c r="RFZ15" s="114"/>
      <c r="RGA15" s="114"/>
      <c r="RGB15" s="114"/>
      <c r="RGC15" s="114"/>
      <c r="RGD15" s="114"/>
      <c r="RGE15" s="114"/>
      <c r="RGF15" s="114"/>
      <c r="RGG15" s="114"/>
      <c r="RGH15" s="114"/>
      <c r="RGI15" s="114"/>
      <c r="RGJ15" s="114"/>
      <c r="RGK15" s="114"/>
      <c r="RGL15" s="114"/>
      <c r="RGM15" s="114"/>
      <c r="RGN15" s="114"/>
      <c r="RGO15" s="114"/>
      <c r="RGP15" s="114"/>
      <c r="RGQ15" s="114"/>
      <c r="RGR15" s="114"/>
      <c r="RGS15" s="114"/>
      <c r="RGT15" s="114"/>
      <c r="RGU15" s="114"/>
      <c r="RGV15" s="114"/>
      <c r="RGW15" s="114"/>
      <c r="RGX15" s="114"/>
      <c r="RGY15" s="114"/>
      <c r="RGZ15" s="114"/>
      <c r="RHA15" s="114"/>
      <c r="RHB15" s="114"/>
      <c r="RHC15" s="114"/>
      <c r="RHD15" s="114"/>
      <c r="RHE15" s="114"/>
      <c r="RHF15" s="114"/>
      <c r="RHG15" s="114"/>
      <c r="RHH15" s="114"/>
      <c r="RHI15" s="114"/>
      <c r="RHJ15" s="114"/>
      <c r="RHK15" s="114"/>
      <c r="RHL15" s="114"/>
      <c r="RHM15" s="114"/>
      <c r="RHN15" s="114"/>
      <c r="RHO15" s="114"/>
      <c r="RHP15" s="114"/>
      <c r="RHQ15" s="114"/>
      <c r="RHR15" s="114"/>
      <c r="RHS15" s="114"/>
      <c r="RHT15" s="114"/>
      <c r="RHU15" s="114"/>
      <c r="RHV15" s="114"/>
      <c r="RHW15" s="114"/>
      <c r="RHX15" s="114"/>
      <c r="RHY15" s="114"/>
      <c r="RHZ15" s="114"/>
      <c r="RIA15" s="114"/>
      <c r="RIB15" s="114"/>
      <c r="RIC15" s="114"/>
      <c r="RID15" s="114"/>
      <c r="RIE15" s="114"/>
      <c r="RIF15" s="114"/>
      <c r="RIG15" s="114"/>
      <c r="RIH15" s="114"/>
      <c r="RII15" s="114"/>
      <c r="RIJ15" s="114"/>
      <c r="RIK15" s="114"/>
      <c r="RIL15" s="114"/>
      <c r="RIM15" s="114"/>
      <c r="RIN15" s="114"/>
      <c r="RIO15" s="114"/>
      <c r="RIP15" s="114"/>
      <c r="RIQ15" s="114"/>
      <c r="RIR15" s="114"/>
      <c r="RIS15" s="114"/>
      <c r="RIT15" s="114"/>
      <c r="RIU15" s="114"/>
      <c r="RIV15" s="114"/>
      <c r="RIW15" s="114"/>
      <c r="RIX15" s="114"/>
      <c r="RIY15" s="114"/>
      <c r="RIZ15" s="114"/>
      <c r="RJA15" s="114"/>
      <c r="RJB15" s="114"/>
      <c r="RJC15" s="114"/>
      <c r="RJD15" s="114"/>
      <c r="RJE15" s="114"/>
      <c r="RJF15" s="114"/>
      <c r="RJG15" s="114"/>
      <c r="RJH15" s="114"/>
      <c r="RJI15" s="114"/>
      <c r="RJJ15" s="114"/>
      <c r="RJK15" s="114"/>
      <c r="RJL15" s="114"/>
      <c r="RJM15" s="114"/>
      <c r="RJN15" s="114"/>
      <c r="RJO15" s="114"/>
      <c r="RJP15" s="114"/>
      <c r="RJQ15" s="114"/>
      <c r="RJR15" s="114"/>
      <c r="RJS15" s="114"/>
      <c r="RJT15" s="114"/>
      <c r="RJU15" s="114"/>
      <c r="RJV15" s="114"/>
      <c r="RJW15" s="114"/>
      <c r="RJX15" s="114"/>
      <c r="RJY15" s="114"/>
      <c r="RJZ15" s="114"/>
      <c r="RKA15" s="114"/>
      <c r="RKB15" s="114"/>
      <c r="RKC15" s="114"/>
      <c r="RKD15" s="114"/>
      <c r="RKE15" s="114"/>
      <c r="RKF15" s="114"/>
      <c r="RKG15" s="114"/>
      <c r="RKH15" s="114"/>
      <c r="RKI15" s="114"/>
      <c r="RKJ15" s="114"/>
      <c r="RKK15" s="114"/>
      <c r="RKL15" s="114"/>
      <c r="RKM15" s="114"/>
      <c r="RKN15" s="114"/>
      <c r="RKO15" s="114"/>
      <c r="RKP15" s="114"/>
      <c r="RKQ15" s="114"/>
      <c r="RKR15" s="114"/>
      <c r="RKS15" s="114"/>
      <c r="RKT15" s="114"/>
      <c r="RKU15" s="114"/>
      <c r="RKV15" s="114"/>
      <c r="RKW15" s="114"/>
      <c r="RKX15" s="114"/>
      <c r="RKY15" s="114"/>
      <c r="RKZ15" s="114"/>
      <c r="RLA15" s="114"/>
      <c r="RLB15" s="114"/>
      <c r="RLC15" s="114"/>
      <c r="RLD15" s="114"/>
      <c r="RLE15" s="114"/>
      <c r="RLF15" s="114"/>
      <c r="RLG15" s="114"/>
      <c r="RLH15" s="114"/>
      <c r="RLI15" s="114"/>
      <c r="RLJ15" s="114"/>
      <c r="RLK15" s="114"/>
      <c r="RLL15" s="114"/>
      <c r="RLM15" s="114"/>
      <c r="RLN15" s="114"/>
      <c r="RLO15" s="114"/>
      <c r="RLP15" s="114"/>
      <c r="RLQ15" s="114"/>
      <c r="RLR15" s="114"/>
      <c r="RLS15" s="114"/>
      <c r="RLT15" s="114"/>
      <c r="RLU15" s="114"/>
      <c r="RLV15" s="114"/>
      <c r="RLW15" s="114"/>
      <c r="RLX15" s="114"/>
      <c r="RLY15" s="114"/>
      <c r="RLZ15" s="114"/>
      <c r="RMA15" s="114"/>
      <c r="RMB15" s="114"/>
      <c r="RMC15" s="114"/>
      <c r="RMD15" s="114"/>
      <c r="RME15" s="114"/>
      <c r="RMF15" s="114"/>
      <c r="RMG15" s="114"/>
      <c r="RMH15" s="114"/>
      <c r="RMI15" s="114"/>
      <c r="RMJ15" s="114"/>
      <c r="RMK15" s="114"/>
      <c r="RML15" s="114"/>
      <c r="RMM15" s="114"/>
      <c r="RMN15" s="114"/>
      <c r="RMO15" s="114"/>
      <c r="RMP15" s="114"/>
      <c r="RMQ15" s="114"/>
      <c r="RMR15" s="114"/>
      <c r="RMS15" s="114"/>
      <c r="RMT15" s="114"/>
      <c r="RMU15" s="114"/>
      <c r="RMV15" s="114"/>
      <c r="RMW15" s="114"/>
      <c r="RMX15" s="114"/>
      <c r="RMY15" s="114"/>
      <c r="RMZ15" s="114"/>
      <c r="RNA15" s="114"/>
      <c r="RNB15" s="114"/>
      <c r="RNC15" s="114"/>
      <c r="RND15" s="114"/>
      <c r="RNE15" s="114"/>
      <c r="RNF15" s="114"/>
      <c r="RNG15" s="114"/>
      <c r="RNH15" s="114"/>
      <c r="RNI15" s="114"/>
      <c r="RNJ15" s="114"/>
      <c r="RNK15" s="114"/>
      <c r="RNL15" s="114"/>
      <c r="RNM15" s="114"/>
      <c r="RNN15" s="114"/>
      <c r="RNO15" s="114"/>
      <c r="RNP15" s="114"/>
      <c r="RNQ15" s="114"/>
      <c r="RNR15" s="114"/>
      <c r="RNS15" s="114"/>
      <c r="RNT15" s="114"/>
      <c r="RNU15" s="114"/>
      <c r="RNV15" s="114"/>
      <c r="RNW15" s="114"/>
      <c r="RNX15" s="114"/>
      <c r="RNY15" s="114"/>
      <c r="RNZ15" s="114"/>
      <c r="ROA15" s="114"/>
      <c r="ROB15" s="114"/>
      <c r="ROC15" s="114"/>
      <c r="ROD15" s="114"/>
      <c r="ROE15" s="114"/>
      <c r="ROF15" s="114"/>
      <c r="ROG15" s="114"/>
      <c r="ROH15" s="114"/>
      <c r="ROI15" s="114"/>
      <c r="ROJ15" s="114"/>
      <c r="ROK15" s="114"/>
      <c r="ROL15" s="114"/>
      <c r="ROM15" s="114"/>
      <c r="RON15" s="114"/>
      <c r="ROO15" s="114"/>
      <c r="ROP15" s="114"/>
      <c r="ROQ15" s="114"/>
      <c r="ROR15" s="114"/>
      <c r="ROS15" s="114"/>
      <c r="ROT15" s="114"/>
      <c r="ROU15" s="114"/>
      <c r="ROV15" s="114"/>
      <c r="ROW15" s="114"/>
      <c r="ROX15" s="114"/>
      <c r="ROY15" s="114"/>
      <c r="ROZ15" s="114"/>
      <c r="RPA15" s="114"/>
      <c r="RPB15" s="114"/>
      <c r="RPC15" s="114"/>
      <c r="RPD15" s="114"/>
      <c r="RPE15" s="114"/>
      <c r="RPF15" s="114"/>
      <c r="RPG15" s="114"/>
      <c r="RPH15" s="114"/>
      <c r="RPI15" s="114"/>
      <c r="RPJ15" s="114"/>
      <c r="RPK15" s="114"/>
      <c r="RPL15" s="114"/>
      <c r="RPM15" s="114"/>
      <c r="RPN15" s="114"/>
      <c r="RPO15" s="114"/>
      <c r="RPP15" s="114"/>
      <c r="RPQ15" s="114"/>
      <c r="RPR15" s="114"/>
      <c r="RPS15" s="114"/>
      <c r="RPT15" s="114"/>
      <c r="RPU15" s="114"/>
      <c r="RPV15" s="114"/>
      <c r="RPW15" s="114"/>
      <c r="RPX15" s="114"/>
      <c r="RPY15" s="114"/>
      <c r="RPZ15" s="114"/>
      <c r="RQA15" s="114"/>
      <c r="RQB15" s="114"/>
      <c r="RQC15" s="114"/>
      <c r="RQD15" s="114"/>
      <c r="RQE15" s="114"/>
      <c r="RQF15" s="114"/>
      <c r="RQG15" s="114"/>
      <c r="RQH15" s="114"/>
      <c r="RQI15" s="114"/>
      <c r="RQJ15" s="114"/>
      <c r="RQK15" s="114"/>
      <c r="RQL15" s="114"/>
      <c r="RQM15" s="114"/>
      <c r="RQN15" s="114"/>
      <c r="RQO15" s="114"/>
      <c r="RQP15" s="114"/>
      <c r="RQQ15" s="114"/>
      <c r="RQR15" s="114"/>
      <c r="RQS15" s="114"/>
      <c r="RQT15" s="114"/>
      <c r="RQU15" s="114"/>
      <c r="RQV15" s="114"/>
      <c r="RQW15" s="114"/>
      <c r="RQX15" s="114"/>
      <c r="RQY15" s="114"/>
      <c r="RQZ15" s="114"/>
      <c r="RRA15" s="114"/>
      <c r="RRB15" s="114"/>
      <c r="RRC15" s="114"/>
      <c r="RRD15" s="114"/>
      <c r="RRE15" s="114"/>
      <c r="RRF15" s="114"/>
      <c r="RRG15" s="114"/>
      <c r="RRH15" s="114"/>
      <c r="RRI15" s="114"/>
      <c r="RRJ15" s="114"/>
      <c r="RRK15" s="114"/>
      <c r="RRL15" s="114"/>
      <c r="RRM15" s="114"/>
      <c r="RRN15" s="114"/>
      <c r="RRO15" s="114"/>
      <c r="RRP15" s="114"/>
      <c r="RRQ15" s="114"/>
      <c r="RRR15" s="114"/>
      <c r="RRS15" s="114"/>
      <c r="RRT15" s="114"/>
      <c r="RRU15" s="114"/>
      <c r="RRV15" s="114"/>
      <c r="RRW15" s="114"/>
      <c r="RRX15" s="114"/>
      <c r="RRY15" s="114"/>
      <c r="RRZ15" s="114"/>
      <c r="RSA15" s="114"/>
      <c r="RSB15" s="114"/>
      <c r="RSC15" s="114"/>
      <c r="RSD15" s="114"/>
      <c r="RSE15" s="114"/>
      <c r="RSF15" s="114"/>
      <c r="RSG15" s="114"/>
      <c r="RSH15" s="114"/>
      <c r="RSI15" s="114"/>
      <c r="RSJ15" s="114"/>
      <c r="RSK15" s="114"/>
      <c r="RSL15" s="114"/>
      <c r="RSM15" s="114"/>
      <c r="RSN15" s="114"/>
      <c r="RSO15" s="114"/>
      <c r="RSP15" s="114"/>
      <c r="RSQ15" s="114"/>
      <c r="RSR15" s="114"/>
      <c r="RSS15" s="114"/>
      <c r="RST15" s="114"/>
      <c r="RSU15" s="114"/>
      <c r="RSV15" s="114"/>
      <c r="RSW15" s="114"/>
      <c r="RSX15" s="114"/>
      <c r="RSY15" s="114"/>
      <c r="RSZ15" s="114"/>
      <c r="RTA15" s="114"/>
      <c r="RTB15" s="114"/>
      <c r="RTC15" s="114"/>
      <c r="RTD15" s="114"/>
      <c r="RTE15" s="114"/>
      <c r="RTF15" s="114"/>
      <c r="RTG15" s="114"/>
      <c r="RTH15" s="114"/>
      <c r="RTI15" s="114"/>
      <c r="RTJ15" s="114"/>
      <c r="RTK15" s="114"/>
      <c r="RTL15" s="114"/>
      <c r="RTM15" s="114"/>
      <c r="RTN15" s="114"/>
      <c r="RTO15" s="114"/>
      <c r="RTP15" s="114"/>
      <c r="RTQ15" s="114"/>
      <c r="RTR15" s="114"/>
      <c r="RTS15" s="114"/>
      <c r="RTT15" s="114"/>
      <c r="RTU15" s="114"/>
      <c r="RTV15" s="114"/>
      <c r="RTW15" s="114"/>
      <c r="RTX15" s="114"/>
      <c r="RTY15" s="114"/>
      <c r="RTZ15" s="114"/>
      <c r="RUA15" s="114"/>
      <c r="RUB15" s="114"/>
      <c r="RUC15" s="114"/>
      <c r="RUD15" s="114"/>
      <c r="RUE15" s="114"/>
      <c r="RUF15" s="114"/>
      <c r="RUG15" s="114"/>
      <c r="RUH15" s="114"/>
      <c r="RUI15" s="114"/>
      <c r="RUJ15" s="114"/>
      <c r="RUK15" s="114"/>
      <c r="RUL15" s="114"/>
      <c r="RUM15" s="114"/>
      <c r="RUN15" s="114"/>
      <c r="RUO15" s="114"/>
      <c r="RUP15" s="114"/>
      <c r="RUQ15" s="114"/>
      <c r="RUR15" s="114"/>
      <c r="RUS15" s="114"/>
      <c r="RUT15" s="114"/>
      <c r="RUU15" s="114"/>
      <c r="RUV15" s="114"/>
      <c r="RUW15" s="114"/>
      <c r="RUX15" s="114"/>
      <c r="RUY15" s="114"/>
      <c r="RUZ15" s="114"/>
      <c r="RVA15" s="114"/>
      <c r="RVB15" s="114"/>
      <c r="RVC15" s="114"/>
      <c r="RVD15" s="114"/>
      <c r="RVE15" s="114"/>
      <c r="RVF15" s="114"/>
      <c r="RVG15" s="114"/>
      <c r="RVH15" s="114"/>
      <c r="RVI15" s="114"/>
      <c r="RVJ15" s="114"/>
      <c r="RVK15" s="114"/>
      <c r="RVL15" s="114"/>
      <c r="RVM15" s="114"/>
      <c r="RVN15" s="114"/>
      <c r="RVO15" s="114"/>
      <c r="RVP15" s="114"/>
      <c r="RVQ15" s="114"/>
      <c r="RVR15" s="114"/>
      <c r="RVS15" s="114"/>
      <c r="RVT15" s="114"/>
      <c r="RVU15" s="114"/>
      <c r="RVV15" s="114"/>
      <c r="RVW15" s="114"/>
      <c r="RVX15" s="114"/>
      <c r="RVY15" s="114"/>
      <c r="RVZ15" s="114"/>
      <c r="RWA15" s="114"/>
      <c r="RWB15" s="114"/>
      <c r="RWC15" s="114"/>
      <c r="RWD15" s="114"/>
      <c r="RWE15" s="114"/>
      <c r="RWF15" s="114"/>
      <c r="RWG15" s="114"/>
      <c r="RWH15" s="114"/>
      <c r="RWI15" s="114"/>
      <c r="RWJ15" s="114"/>
      <c r="RWK15" s="114"/>
      <c r="RWL15" s="114"/>
      <c r="RWM15" s="114"/>
      <c r="RWN15" s="114"/>
      <c r="RWO15" s="114"/>
      <c r="RWP15" s="114"/>
      <c r="RWQ15" s="114"/>
      <c r="RWR15" s="114"/>
      <c r="RWS15" s="114"/>
      <c r="RWT15" s="114"/>
      <c r="RWU15" s="114"/>
      <c r="RWV15" s="114"/>
      <c r="RWW15" s="114"/>
      <c r="RWX15" s="114"/>
      <c r="RWY15" s="114"/>
      <c r="RWZ15" s="114"/>
      <c r="RXA15" s="114"/>
      <c r="RXB15" s="114"/>
      <c r="RXC15" s="114"/>
      <c r="RXD15" s="114"/>
      <c r="RXE15" s="114"/>
      <c r="RXF15" s="114"/>
      <c r="RXG15" s="114"/>
      <c r="RXH15" s="114"/>
      <c r="RXI15" s="114"/>
      <c r="RXJ15" s="114"/>
      <c r="RXK15" s="114"/>
      <c r="RXL15" s="114"/>
      <c r="RXM15" s="114"/>
      <c r="RXN15" s="114"/>
      <c r="RXO15" s="114"/>
      <c r="RXP15" s="114"/>
      <c r="RXQ15" s="114"/>
      <c r="RXR15" s="114"/>
      <c r="RXS15" s="114"/>
      <c r="RXT15" s="114"/>
      <c r="RXU15" s="114"/>
      <c r="RXV15" s="114"/>
      <c r="RXW15" s="114"/>
      <c r="RXX15" s="114"/>
      <c r="RXY15" s="114"/>
      <c r="RXZ15" s="114"/>
      <c r="RYA15" s="114"/>
      <c r="RYB15" s="114"/>
      <c r="RYC15" s="114"/>
      <c r="RYD15" s="114"/>
      <c r="RYE15" s="114"/>
      <c r="RYF15" s="114"/>
      <c r="RYG15" s="114"/>
      <c r="RYH15" s="114"/>
      <c r="RYI15" s="114"/>
      <c r="RYJ15" s="114"/>
      <c r="RYK15" s="114"/>
      <c r="RYL15" s="114"/>
      <c r="RYM15" s="114"/>
      <c r="RYN15" s="114"/>
      <c r="RYO15" s="114"/>
      <c r="RYP15" s="114"/>
      <c r="RYQ15" s="114"/>
      <c r="RYR15" s="114"/>
      <c r="RYS15" s="114"/>
      <c r="RYT15" s="114"/>
      <c r="RYU15" s="114"/>
      <c r="RYV15" s="114"/>
      <c r="RYW15" s="114"/>
      <c r="RYX15" s="114"/>
      <c r="RYY15" s="114"/>
      <c r="RYZ15" s="114"/>
      <c r="RZA15" s="114"/>
      <c r="RZB15" s="114"/>
      <c r="RZC15" s="114"/>
      <c r="RZD15" s="114"/>
      <c r="RZE15" s="114"/>
      <c r="RZF15" s="114"/>
      <c r="RZG15" s="114"/>
      <c r="RZH15" s="114"/>
      <c r="RZI15" s="114"/>
      <c r="RZJ15" s="114"/>
      <c r="RZK15" s="114"/>
      <c r="RZL15" s="114"/>
      <c r="RZM15" s="114"/>
      <c r="RZN15" s="114"/>
      <c r="RZO15" s="114"/>
      <c r="RZP15" s="114"/>
      <c r="RZQ15" s="114"/>
      <c r="RZR15" s="114"/>
      <c r="RZS15" s="114"/>
      <c r="RZT15" s="114"/>
      <c r="RZU15" s="114"/>
      <c r="RZV15" s="114"/>
      <c r="RZW15" s="114"/>
      <c r="RZX15" s="114"/>
      <c r="RZY15" s="114"/>
      <c r="RZZ15" s="114"/>
      <c r="SAA15" s="114"/>
      <c r="SAB15" s="114"/>
      <c r="SAC15" s="114"/>
      <c r="SAD15" s="114"/>
      <c r="SAE15" s="114"/>
      <c r="SAF15" s="114"/>
      <c r="SAG15" s="114"/>
      <c r="SAH15" s="114"/>
      <c r="SAI15" s="114"/>
      <c r="SAJ15" s="114"/>
      <c r="SAK15" s="114"/>
      <c r="SAL15" s="114"/>
      <c r="SAM15" s="114"/>
      <c r="SAN15" s="114"/>
      <c r="SAO15" s="114"/>
      <c r="SAP15" s="114"/>
      <c r="SAQ15" s="114"/>
      <c r="SAR15" s="114"/>
      <c r="SAS15" s="114"/>
      <c r="SAT15" s="114"/>
      <c r="SAU15" s="114"/>
      <c r="SAV15" s="114"/>
      <c r="SAW15" s="114"/>
      <c r="SAX15" s="114"/>
      <c r="SAY15" s="114"/>
      <c r="SAZ15" s="114"/>
      <c r="SBA15" s="114"/>
      <c r="SBB15" s="114"/>
      <c r="SBC15" s="114"/>
      <c r="SBD15" s="114"/>
      <c r="SBE15" s="114"/>
      <c r="SBF15" s="114"/>
      <c r="SBG15" s="114"/>
      <c r="SBH15" s="114"/>
      <c r="SBI15" s="114"/>
      <c r="SBJ15" s="114"/>
      <c r="SBK15" s="114"/>
      <c r="SBL15" s="114"/>
      <c r="SBM15" s="114"/>
      <c r="SBN15" s="114"/>
      <c r="SBO15" s="114"/>
      <c r="SBP15" s="114"/>
      <c r="SBQ15" s="114"/>
      <c r="SBR15" s="114"/>
      <c r="SBS15" s="114"/>
      <c r="SBT15" s="114"/>
      <c r="SBU15" s="114"/>
      <c r="SBV15" s="114"/>
      <c r="SBW15" s="114"/>
      <c r="SBX15" s="114"/>
      <c r="SBY15" s="114"/>
      <c r="SBZ15" s="114"/>
      <c r="SCA15" s="114"/>
      <c r="SCB15" s="114"/>
      <c r="SCC15" s="114"/>
      <c r="SCD15" s="114"/>
      <c r="SCE15" s="114"/>
      <c r="SCF15" s="114"/>
      <c r="SCG15" s="114"/>
      <c r="SCH15" s="114"/>
      <c r="SCI15" s="114"/>
      <c r="SCJ15" s="114"/>
      <c r="SCK15" s="114"/>
      <c r="SCL15" s="114"/>
      <c r="SCM15" s="114"/>
      <c r="SCN15" s="114"/>
      <c r="SCO15" s="114"/>
      <c r="SCP15" s="114"/>
      <c r="SCQ15" s="114"/>
      <c r="SCR15" s="114"/>
      <c r="SCS15" s="114"/>
      <c r="SCT15" s="114"/>
      <c r="SCU15" s="114"/>
      <c r="SCV15" s="114"/>
      <c r="SCW15" s="114"/>
      <c r="SCX15" s="114"/>
      <c r="SCY15" s="114"/>
      <c r="SCZ15" s="114"/>
      <c r="SDA15" s="114"/>
      <c r="SDB15" s="114"/>
      <c r="SDC15" s="114"/>
      <c r="SDD15" s="114"/>
      <c r="SDE15" s="114"/>
      <c r="SDF15" s="114"/>
      <c r="SDG15" s="114"/>
      <c r="SDH15" s="114"/>
      <c r="SDI15" s="114"/>
      <c r="SDJ15" s="114"/>
      <c r="SDK15" s="114"/>
      <c r="SDL15" s="114"/>
      <c r="SDM15" s="114"/>
      <c r="SDN15" s="114"/>
      <c r="SDO15" s="114"/>
      <c r="SDP15" s="114"/>
      <c r="SDQ15" s="114"/>
      <c r="SDR15" s="114"/>
      <c r="SDS15" s="114"/>
      <c r="SDT15" s="114"/>
      <c r="SDU15" s="114"/>
      <c r="SDV15" s="114"/>
      <c r="SDW15" s="114"/>
      <c r="SDX15" s="114"/>
      <c r="SDY15" s="114"/>
      <c r="SDZ15" s="114"/>
      <c r="SEA15" s="114"/>
      <c r="SEB15" s="114"/>
      <c r="SEC15" s="114"/>
      <c r="SED15" s="114"/>
      <c r="SEE15" s="114"/>
      <c r="SEF15" s="114"/>
      <c r="SEG15" s="114"/>
      <c r="SEH15" s="114"/>
      <c r="SEI15" s="114"/>
      <c r="SEJ15" s="114"/>
      <c r="SEK15" s="114"/>
      <c r="SEL15" s="114"/>
      <c r="SEM15" s="114"/>
      <c r="SEN15" s="114"/>
      <c r="SEO15" s="114"/>
      <c r="SEP15" s="114"/>
      <c r="SEQ15" s="114"/>
      <c r="SER15" s="114"/>
      <c r="SES15" s="114"/>
      <c r="SET15" s="114"/>
      <c r="SEU15" s="114"/>
      <c r="SEV15" s="114"/>
      <c r="SEW15" s="114"/>
      <c r="SEX15" s="114"/>
      <c r="SEY15" s="114"/>
      <c r="SEZ15" s="114"/>
      <c r="SFA15" s="114"/>
      <c r="SFB15" s="114"/>
      <c r="SFC15" s="114"/>
      <c r="SFD15" s="114"/>
      <c r="SFE15" s="114"/>
      <c r="SFF15" s="114"/>
      <c r="SFG15" s="114"/>
      <c r="SFH15" s="114"/>
      <c r="SFI15" s="114"/>
      <c r="SFJ15" s="114"/>
      <c r="SFK15" s="114"/>
      <c r="SFL15" s="114"/>
      <c r="SFM15" s="114"/>
      <c r="SFN15" s="114"/>
      <c r="SFO15" s="114"/>
      <c r="SFP15" s="114"/>
      <c r="SFQ15" s="114"/>
      <c r="SFR15" s="114"/>
      <c r="SFS15" s="114"/>
      <c r="SFT15" s="114"/>
      <c r="SFU15" s="114"/>
      <c r="SFV15" s="114"/>
      <c r="SFW15" s="114"/>
      <c r="SFX15" s="114"/>
      <c r="SFY15" s="114"/>
      <c r="SFZ15" s="114"/>
      <c r="SGA15" s="114"/>
      <c r="SGB15" s="114"/>
      <c r="SGC15" s="114"/>
      <c r="SGD15" s="114"/>
      <c r="SGE15" s="114"/>
      <c r="SGF15" s="114"/>
      <c r="SGG15" s="114"/>
      <c r="SGH15" s="114"/>
      <c r="SGI15" s="114"/>
      <c r="SGJ15" s="114"/>
      <c r="SGK15" s="114"/>
      <c r="SGL15" s="114"/>
      <c r="SGM15" s="114"/>
      <c r="SGN15" s="114"/>
      <c r="SGO15" s="114"/>
      <c r="SGP15" s="114"/>
      <c r="SGQ15" s="114"/>
      <c r="SGR15" s="114"/>
      <c r="SGS15" s="114"/>
      <c r="SGT15" s="114"/>
      <c r="SGU15" s="114"/>
      <c r="SGV15" s="114"/>
      <c r="SGW15" s="114"/>
      <c r="SGX15" s="114"/>
      <c r="SGY15" s="114"/>
      <c r="SGZ15" s="114"/>
      <c r="SHA15" s="114"/>
      <c r="SHB15" s="114"/>
      <c r="SHC15" s="114"/>
      <c r="SHD15" s="114"/>
      <c r="SHE15" s="114"/>
      <c r="SHF15" s="114"/>
      <c r="SHG15" s="114"/>
      <c r="SHH15" s="114"/>
      <c r="SHI15" s="114"/>
      <c r="SHJ15" s="114"/>
      <c r="SHK15" s="114"/>
      <c r="SHL15" s="114"/>
      <c r="SHM15" s="114"/>
      <c r="SHN15" s="114"/>
      <c r="SHO15" s="114"/>
      <c r="SHP15" s="114"/>
      <c r="SHQ15" s="114"/>
      <c r="SHR15" s="114"/>
      <c r="SHS15" s="114"/>
      <c r="SHT15" s="114"/>
      <c r="SHU15" s="114"/>
      <c r="SHV15" s="114"/>
      <c r="SHW15" s="114"/>
      <c r="SHX15" s="114"/>
      <c r="SHY15" s="114"/>
      <c r="SHZ15" s="114"/>
      <c r="SIA15" s="114"/>
      <c r="SIB15" s="114"/>
      <c r="SIC15" s="114"/>
      <c r="SID15" s="114"/>
      <c r="SIE15" s="114"/>
      <c r="SIF15" s="114"/>
      <c r="SIG15" s="114"/>
      <c r="SIH15" s="114"/>
      <c r="SII15" s="114"/>
      <c r="SIJ15" s="114"/>
      <c r="SIK15" s="114"/>
      <c r="SIL15" s="114"/>
      <c r="SIM15" s="114"/>
      <c r="SIN15" s="114"/>
      <c r="SIO15" s="114"/>
      <c r="SIP15" s="114"/>
      <c r="SIQ15" s="114"/>
      <c r="SIR15" s="114"/>
      <c r="SIS15" s="114"/>
      <c r="SIT15" s="114"/>
      <c r="SIU15" s="114"/>
      <c r="SIV15" s="114"/>
      <c r="SIW15" s="114"/>
      <c r="SIX15" s="114"/>
      <c r="SIY15" s="114"/>
      <c r="SIZ15" s="114"/>
      <c r="SJA15" s="114"/>
      <c r="SJB15" s="114"/>
      <c r="SJC15" s="114"/>
      <c r="SJD15" s="114"/>
      <c r="SJE15" s="114"/>
      <c r="SJF15" s="114"/>
      <c r="SJG15" s="114"/>
      <c r="SJH15" s="114"/>
      <c r="SJI15" s="114"/>
      <c r="SJJ15" s="114"/>
      <c r="SJK15" s="114"/>
      <c r="SJL15" s="114"/>
      <c r="SJM15" s="114"/>
      <c r="SJN15" s="114"/>
      <c r="SJO15" s="114"/>
      <c r="SJP15" s="114"/>
      <c r="SJQ15" s="114"/>
      <c r="SJR15" s="114"/>
      <c r="SJS15" s="114"/>
      <c r="SJT15" s="114"/>
      <c r="SJU15" s="114"/>
      <c r="SJV15" s="114"/>
      <c r="SJW15" s="114"/>
      <c r="SJX15" s="114"/>
      <c r="SJY15" s="114"/>
      <c r="SJZ15" s="114"/>
      <c r="SKA15" s="114"/>
      <c r="SKB15" s="114"/>
      <c r="SKC15" s="114"/>
      <c r="SKD15" s="114"/>
      <c r="SKE15" s="114"/>
      <c r="SKF15" s="114"/>
      <c r="SKG15" s="114"/>
      <c r="SKH15" s="114"/>
      <c r="SKI15" s="114"/>
      <c r="SKJ15" s="114"/>
      <c r="SKK15" s="114"/>
      <c r="SKL15" s="114"/>
      <c r="SKM15" s="114"/>
      <c r="SKN15" s="114"/>
      <c r="SKO15" s="114"/>
      <c r="SKP15" s="114"/>
      <c r="SKQ15" s="114"/>
      <c r="SKR15" s="114"/>
      <c r="SKS15" s="114"/>
      <c r="SKT15" s="114"/>
      <c r="SKU15" s="114"/>
      <c r="SKV15" s="114"/>
      <c r="SKW15" s="114"/>
      <c r="SKX15" s="114"/>
      <c r="SKY15" s="114"/>
      <c r="SKZ15" s="114"/>
      <c r="SLA15" s="114"/>
      <c r="SLB15" s="114"/>
      <c r="SLC15" s="114"/>
      <c r="SLD15" s="114"/>
      <c r="SLE15" s="114"/>
      <c r="SLF15" s="114"/>
      <c r="SLG15" s="114"/>
      <c r="SLH15" s="114"/>
      <c r="SLI15" s="114"/>
      <c r="SLJ15" s="114"/>
      <c r="SLK15" s="114"/>
      <c r="SLL15" s="114"/>
      <c r="SLM15" s="114"/>
      <c r="SLN15" s="114"/>
      <c r="SLO15" s="114"/>
      <c r="SLP15" s="114"/>
      <c r="SLQ15" s="114"/>
      <c r="SLR15" s="114"/>
      <c r="SLS15" s="114"/>
      <c r="SLT15" s="114"/>
      <c r="SLU15" s="114"/>
      <c r="SLV15" s="114"/>
      <c r="SLW15" s="114"/>
      <c r="SLX15" s="114"/>
      <c r="SLY15" s="114"/>
      <c r="SLZ15" s="114"/>
      <c r="SMA15" s="114"/>
      <c r="SMB15" s="114"/>
      <c r="SMC15" s="114"/>
      <c r="SMD15" s="114"/>
      <c r="SME15" s="114"/>
      <c r="SMF15" s="114"/>
      <c r="SMG15" s="114"/>
      <c r="SMH15" s="114"/>
      <c r="SMI15" s="114"/>
      <c r="SMJ15" s="114"/>
      <c r="SMK15" s="114"/>
      <c r="SML15" s="114"/>
      <c r="SMM15" s="114"/>
      <c r="SMN15" s="114"/>
      <c r="SMO15" s="114"/>
      <c r="SMP15" s="114"/>
      <c r="SMQ15" s="114"/>
      <c r="SMR15" s="114"/>
      <c r="SMS15" s="114"/>
      <c r="SMT15" s="114"/>
      <c r="SMU15" s="114"/>
      <c r="SMV15" s="114"/>
      <c r="SMW15" s="114"/>
      <c r="SMX15" s="114"/>
      <c r="SMY15" s="114"/>
      <c r="SMZ15" s="114"/>
      <c r="SNA15" s="114"/>
      <c r="SNB15" s="114"/>
      <c r="SNC15" s="114"/>
      <c r="SND15" s="114"/>
      <c r="SNE15" s="114"/>
      <c r="SNF15" s="114"/>
      <c r="SNG15" s="114"/>
      <c r="SNH15" s="114"/>
      <c r="SNI15" s="114"/>
      <c r="SNJ15" s="114"/>
      <c r="SNK15" s="114"/>
      <c r="SNL15" s="114"/>
      <c r="SNM15" s="114"/>
      <c r="SNN15" s="114"/>
      <c r="SNO15" s="114"/>
      <c r="SNP15" s="114"/>
      <c r="SNQ15" s="114"/>
      <c r="SNR15" s="114"/>
      <c r="SNS15" s="114"/>
      <c r="SNT15" s="114"/>
      <c r="SNU15" s="114"/>
      <c r="SNV15" s="114"/>
      <c r="SNW15" s="114"/>
      <c r="SNX15" s="114"/>
      <c r="SNY15" s="114"/>
      <c r="SNZ15" s="114"/>
      <c r="SOA15" s="114"/>
      <c r="SOB15" s="114"/>
      <c r="SOC15" s="114"/>
      <c r="SOD15" s="114"/>
      <c r="SOE15" s="114"/>
      <c r="SOF15" s="114"/>
      <c r="SOG15" s="114"/>
      <c r="SOH15" s="114"/>
      <c r="SOI15" s="114"/>
      <c r="SOJ15" s="114"/>
      <c r="SOK15" s="114"/>
      <c r="SOL15" s="114"/>
      <c r="SOM15" s="114"/>
      <c r="SON15" s="114"/>
      <c r="SOO15" s="114"/>
      <c r="SOP15" s="114"/>
      <c r="SOQ15" s="114"/>
      <c r="SOR15" s="114"/>
      <c r="SOS15" s="114"/>
      <c r="SOT15" s="114"/>
      <c r="SOU15" s="114"/>
      <c r="SOV15" s="114"/>
      <c r="SOW15" s="114"/>
      <c r="SOX15" s="114"/>
      <c r="SOY15" s="114"/>
      <c r="SOZ15" s="114"/>
      <c r="SPA15" s="114"/>
      <c r="SPB15" s="114"/>
      <c r="SPC15" s="114"/>
      <c r="SPD15" s="114"/>
      <c r="SPE15" s="114"/>
      <c r="SPF15" s="114"/>
      <c r="SPG15" s="114"/>
      <c r="SPH15" s="114"/>
      <c r="SPI15" s="114"/>
      <c r="SPJ15" s="114"/>
      <c r="SPK15" s="114"/>
      <c r="SPL15" s="114"/>
      <c r="SPM15" s="114"/>
      <c r="SPN15" s="114"/>
      <c r="SPO15" s="114"/>
      <c r="SPP15" s="114"/>
      <c r="SPQ15" s="114"/>
      <c r="SPR15" s="114"/>
      <c r="SPS15" s="114"/>
      <c r="SPT15" s="114"/>
      <c r="SPU15" s="114"/>
      <c r="SPV15" s="114"/>
      <c r="SPW15" s="114"/>
      <c r="SPX15" s="114"/>
      <c r="SPY15" s="114"/>
      <c r="SPZ15" s="114"/>
      <c r="SQA15" s="114"/>
      <c r="SQB15" s="114"/>
      <c r="SQC15" s="114"/>
      <c r="SQD15" s="114"/>
      <c r="SQE15" s="114"/>
      <c r="SQF15" s="114"/>
      <c r="SQG15" s="114"/>
      <c r="SQH15" s="114"/>
      <c r="SQI15" s="114"/>
      <c r="SQJ15" s="114"/>
      <c r="SQK15" s="114"/>
      <c r="SQL15" s="114"/>
      <c r="SQM15" s="114"/>
      <c r="SQN15" s="114"/>
      <c r="SQO15" s="114"/>
      <c r="SQP15" s="114"/>
      <c r="SQQ15" s="114"/>
      <c r="SQR15" s="114"/>
      <c r="SQS15" s="114"/>
      <c r="SQT15" s="114"/>
      <c r="SQU15" s="114"/>
      <c r="SQV15" s="114"/>
      <c r="SQW15" s="114"/>
      <c r="SQX15" s="114"/>
      <c r="SQY15" s="114"/>
      <c r="SQZ15" s="114"/>
      <c r="SRA15" s="114"/>
      <c r="SRB15" s="114"/>
      <c r="SRC15" s="114"/>
      <c r="SRD15" s="114"/>
      <c r="SRE15" s="114"/>
      <c r="SRF15" s="114"/>
      <c r="SRG15" s="114"/>
      <c r="SRH15" s="114"/>
      <c r="SRI15" s="114"/>
      <c r="SRJ15" s="114"/>
      <c r="SRK15" s="114"/>
      <c r="SRL15" s="114"/>
      <c r="SRM15" s="114"/>
      <c r="SRN15" s="114"/>
      <c r="SRO15" s="114"/>
      <c r="SRP15" s="114"/>
      <c r="SRQ15" s="114"/>
      <c r="SRR15" s="114"/>
      <c r="SRS15" s="114"/>
      <c r="SRT15" s="114"/>
      <c r="SRU15" s="114"/>
      <c r="SRV15" s="114"/>
      <c r="SRW15" s="114"/>
      <c r="SRX15" s="114"/>
      <c r="SRY15" s="114"/>
      <c r="SRZ15" s="114"/>
      <c r="SSA15" s="114"/>
      <c r="SSB15" s="114"/>
      <c r="SSC15" s="114"/>
      <c r="SSD15" s="114"/>
      <c r="SSE15" s="114"/>
      <c r="SSF15" s="114"/>
      <c r="SSG15" s="114"/>
      <c r="SSH15" s="114"/>
      <c r="SSI15" s="114"/>
      <c r="SSJ15" s="114"/>
      <c r="SSK15" s="114"/>
      <c r="SSL15" s="114"/>
      <c r="SSM15" s="114"/>
      <c r="SSN15" s="114"/>
      <c r="SSO15" s="114"/>
      <c r="SSP15" s="114"/>
      <c r="SSQ15" s="114"/>
      <c r="SSR15" s="114"/>
      <c r="SSS15" s="114"/>
      <c r="SST15" s="114"/>
      <c r="SSU15" s="114"/>
      <c r="SSV15" s="114"/>
      <c r="SSW15" s="114"/>
      <c r="SSX15" s="114"/>
      <c r="SSY15" s="114"/>
      <c r="SSZ15" s="114"/>
      <c r="STA15" s="114"/>
      <c r="STB15" s="114"/>
      <c r="STC15" s="114"/>
      <c r="STD15" s="114"/>
      <c r="STE15" s="114"/>
      <c r="STF15" s="114"/>
      <c r="STG15" s="114"/>
      <c r="STH15" s="114"/>
      <c r="STI15" s="114"/>
      <c r="STJ15" s="114"/>
      <c r="STK15" s="114"/>
      <c r="STL15" s="114"/>
      <c r="STM15" s="114"/>
      <c r="STN15" s="114"/>
      <c r="STO15" s="114"/>
      <c r="STP15" s="114"/>
      <c r="STQ15" s="114"/>
      <c r="STR15" s="114"/>
      <c r="STS15" s="114"/>
      <c r="STT15" s="114"/>
      <c r="STU15" s="114"/>
      <c r="STV15" s="114"/>
      <c r="STW15" s="114"/>
      <c r="STX15" s="114"/>
      <c r="STY15" s="114"/>
      <c r="STZ15" s="114"/>
      <c r="SUA15" s="114"/>
      <c r="SUB15" s="114"/>
      <c r="SUC15" s="114"/>
      <c r="SUD15" s="114"/>
      <c r="SUE15" s="114"/>
      <c r="SUF15" s="114"/>
      <c r="SUG15" s="114"/>
      <c r="SUH15" s="114"/>
      <c r="SUI15" s="114"/>
      <c r="SUJ15" s="114"/>
      <c r="SUK15" s="114"/>
      <c r="SUL15" s="114"/>
      <c r="SUM15" s="114"/>
      <c r="SUN15" s="114"/>
      <c r="SUO15" s="114"/>
      <c r="SUP15" s="114"/>
      <c r="SUQ15" s="114"/>
      <c r="SUR15" s="114"/>
      <c r="SUS15" s="114"/>
      <c r="SUT15" s="114"/>
      <c r="SUU15" s="114"/>
      <c r="SUV15" s="114"/>
      <c r="SUW15" s="114"/>
      <c r="SUX15" s="114"/>
      <c r="SUY15" s="114"/>
      <c r="SUZ15" s="114"/>
      <c r="SVA15" s="114"/>
      <c r="SVB15" s="114"/>
      <c r="SVC15" s="114"/>
      <c r="SVD15" s="114"/>
      <c r="SVE15" s="114"/>
      <c r="SVF15" s="114"/>
      <c r="SVG15" s="114"/>
      <c r="SVH15" s="114"/>
      <c r="SVI15" s="114"/>
      <c r="SVJ15" s="114"/>
      <c r="SVK15" s="114"/>
      <c r="SVL15" s="114"/>
      <c r="SVM15" s="114"/>
      <c r="SVN15" s="114"/>
      <c r="SVO15" s="114"/>
      <c r="SVP15" s="114"/>
      <c r="SVQ15" s="114"/>
      <c r="SVR15" s="114"/>
      <c r="SVS15" s="114"/>
      <c r="SVT15" s="114"/>
      <c r="SVU15" s="114"/>
      <c r="SVV15" s="114"/>
      <c r="SVW15" s="114"/>
      <c r="SVX15" s="114"/>
      <c r="SVY15" s="114"/>
      <c r="SVZ15" s="114"/>
      <c r="SWA15" s="114"/>
      <c r="SWB15" s="114"/>
      <c r="SWC15" s="114"/>
      <c r="SWD15" s="114"/>
      <c r="SWE15" s="114"/>
      <c r="SWF15" s="114"/>
      <c r="SWG15" s="114"/>
      <c r="SWH15" s="114"/>
      <c r="SWI15" s="114"/>
      <c r="SWJ15" s="114"/>
      <c r="SWK15" s="114"/>
      <c r="SWL15" s="114"/>
      <c r="SWM15" s="114"/>
      <c r="SWN15" s="114"/>
      <c r="SWO15" s="114"/>
      <c r="SWP15" s="114"/>
      <c r="SWQ15" s="114"/>
      <c r="SWR15" s="114"/>
      <c r="SWS15" s="114"/>
      <c r="SWT15" s="114"/>
      <c r="SWU15" s="114"/>
      <c r="SWV15" s="114"/>
      <c r="SWW15" s="114"/>
      <c r="SWX15" s="114"/>
      <c r="SWY15" s="114"/>
      <c r="SWZ15" s="114"/>
      <c r="SXA15" s="114"/>
      <c r="SXB15" s="114"/>
      <c r="SXC15" s="114"/>
      <c r="SXD15" s="114"/>
      <c r="SXE15" s="114"/>
      <c r="SXF15" s="114"/>
      <c r="SXG15" s="114"/>
      <c r="SXH15" s="114"/>
      <c r="SXI15" s="114"/>
      <c r="SXJ15" s="114"/>
      <c r="SXK15" s="114"/>
      <c r="SXL15" s="114"/>
      <c r="SXM15" s="114"/>
      <c r="SXN15" s="114"/>
      <c r="SXO15" s="114"/>
      <c r="SXP15" s="114"/>
      <c r="SXQ15" s="114"/>
      <c r="SXR15" s="114"/>
      <c r="SXS15" s="114"/>
      <c r="SXT15" s="114"/>
      <c r="SXU15" s="114"/>
      <c r="SXV15" s="114"/>
      <c r="SXW15" s="114"/>
      <c r="SXX15" s="114"/>
      <c r="SXY15" s="114"/>
      <c r="SXZ15" s="114"/>
      <c r="SYA15" s="114"/>
      <c r="SYB15" s="114"/>
      <c r="SYC15" s="114"/>
      <c r="SYD15" s="114"/>
      <c r="SYE15" s="114"/>
      <c r="SYF15" s="114"/>
      <c r="SYG15" s="114"/>
      <c r="SYH15" s="114"/>
      <c r="SYI15" s="114"/>
      <c r="SYJ15" s="114"/>
      <c r="SYK15" s="114"/>
      <c r="SYL15" s="114"/>
      <c r="SYM15" s="114"/>
      <c r="SYN15" s="114"/>
      <c r="SYO15" s="114"/>
      <c r="SYP15" s="114"/>
      <c r="SYQ15" s="114"/>
      <c r="SYR15" s="114"/>
      <c r="SYS15" s="114"/>
      <c r="SYT15" s="114"/>
      <c r="SYU15" s="114"/>
      <c r="SYV15" s="114"/>
      <c r="SYW15" s="114"/>
      <c r="SYX15" s="114"/>
      <c r="SYY15" s="114"/>
      <c r="SYZ15" s="114"/>
      <c r="SZA15" s="114"/>
      <c r="SZB15" s="114"/>
      <c r="SZC15" s="114"/>
      <c r="SZD15" s="114"/>
      <c r="SZE15" s="114"/>
      <c r="SZF15" s="114"/>
      <c r="SZG15" s="114"/>
      <c r="SZH15" s="114"/>
      <c r="SZI15" s="114"/>
      <c r="SZJ15" s="114"/>
      <c r="SZK15" s="114"/>
      <c r="SZL15" s="114"/>
      <c r="SZM15" s="114"/>
      <c r="SZN15" s="114"/>
      <c r="SZO15" s="114"/>
      <c r="SZP15" s="114"/>
      <c r="SZQ15" s="114"/>
      <c r="SZR15" s="114"/>
      <c r="SZS15" s="114"/>
      <c r="SZT15" s="114"/>
      <c r="SZU15" s="114"/>
      <c r="SZV15" s="114"/>
      <c r="SZW15" s="114"/>
      <c r="SZX15" s="114"/>
      <c r="SZY15" s="114"/>
      <c r="SZZ15" s="114"/>
      <c r="TAA15" s="114"/>
      <c r="TAB15" s="114"/>
      <c r="TAC15" s="114"/>
      <c r="TAD15" s="114"/>
      <c r="TAE15" s="114"/>
      <c r="TAF15" s="114"/>
      <c r="TAG15" s="114"/>
      <c r="TAH15" s="114"/>
      <c r="TAI15" s="114"/>
      <c r="TAJ15" s="114"/>
      <c r="TAK15" s="114"/>
      <c r="TAL15" s="114"/>
      <c r="TAM15" s="114"/>
      <c r="TAN15" s="114"/>
      <c r="TAO15" s="114"/>
      <c r="TAP15" s="114"/>
      <c r="TAQ15" s="114"/>
      <c r="TAR15" s="114"/>
      <c r="TAS15" s="114"/>
      <c r="TAT15" s="114"/>
      <c r="TAU15" s="114"/>
      <c r="TAV15" s="114"/>
      <c r="TAW15" s="114"/>
      <c r="TAX15" s="114"/>
      <c r="TAY15" s="114"/>
      <c r="TAZ15" s="114"/>
      <c r="TBA15" s="114"/>
      <c r="TBB15" s="114"/>
      <c r="TBC15" s="114"/>
      <c r="TBD15" s="114"/>
      <c r="TBE15" s="114"/>
      <c r="TBF15" s="114"/>
      <c r="TBG15" s="114"/>
      <c r="TBH15" s="114"/>
      <c r="TBI15" s="114"/>
      <c r="TBJ15" s="114"/>
      <c r="TBK15" s="114"/>
      <c r="TBL15" s="114"/>
      <c r="TBM15" s="114"/>
      <c r="TBN15" s="114"/>
      <c r="TBO15" s="114"/>
      <c r="TBP15" s="114"/>
      <c r="TBQ15" s="114"/>
      <c r="TBR15" s="114"/>
      <c r="TBS15" s="114"/>
      <c r="TBT15" s="114"/>
      <c r="TBU15" s="114"/>
      <c r="TBV15" s="114"/>
      <c r="TBW15" s="114"/>
      <c r="TBX15" s="114"/>
      <c r="TBY15" s="114"/>
      <c r="TBZ15" s="114"/>
      <c r="TCA15" s="114"/>
      <c r="TCB15" s="114"/>
      <c r="TCC15" s="114"/>
      <c r="TCD15" s="114"/>
      <c r="TCE15" s="114"/>
      <c r="TCF15" s="114"/>
      <c r="TCG15" s="114"/>
      <c r="TCH15" s="114"/>
      <c r="TCI15" s="114"/>
      <c r="TCJ15" s="114"/>
      <c r="TCK15" s="114"/>
      <c r="TCL15" s="114"/>
      <c r="TCM15" s="114"/>
      <c r="TCN15" s="114"/>
      <c r="TCO15" s="114"/>
      <c r="TCP15" s="114"/>
      <c r="TCQ15" s="114"/>
      <c r="TCR15" s="114"/>
      <c r="TCS15" s="114"/>
      <c r="TCT15" s="114"/>
      <c r="TCU15" s="114"/>
      <c r="TCV15" s="114"/>
      <c r="TCW15" s="114"/>
      <c r="TCX15" s="114"/>
      <c r="TCY15" s="114"/>
      <c r="TCZ15" s="114"/>
      <c r="TDA15" s="114"/>
      <c r="TDB15" s="114"/>
      <c r="TDC15" s="114"/>
      <c r="TDD15" s="114"/>
      <c r="TDE15" s="114"/>
      <c r="TDF15" s="114"/>
      <c r="TDG15" s="114"/>
      <c r="TDH15" s="114"/>
      <c r="TDI15" s="114"/>
      <c r="TDJ15" s="114"/>
      <c r="TDK15" s="114"/>
      <c r="TDL15" s="114"/>
      <c r="TDM15" s="114"/>
      <c r="TDN15" s="114"/>
      <c r="TDO15" s="114"/>
      <c r="TDP15" s="114"/>
      <c r="TDQ15" s="114"/>
      <c r="TDR15" s="114"/>
      <c r="TDS15" s="114"/>
      <c r="TDT15" s="114"/>
      <c r="TDU15" s="114"/>
      <c r="TDV15" s="114"/>
      <c r="TDW15" s="114"/>
      <c r="TDX15" s="114"/>
      <c r="TDY15" s="114"/>
      <c r="TDZ15" s="114"/>
      <c r="TEA15" s="114"/>
      <c r="TEB15" s="114"/>
      <c r="TEC15" s="114"/>
      <c r="TED15" s="114"/>
      <c r="TEE15" s="114"/>
      <c r="TEF15" s="114"/>
      <c r="TEG15" s="114"/>
      <c r="TEH15" s="114"/>
      <c r="TEI15" s="114"/>
      <c r="TEJ15" s="114"/>
      <c r="TEK15" s="114"/>
      <c r="TEL15" s="114"/>
      <c r="TEM15" s="114"/>
      <c r="TEN15" s="114"/>
      <c r="TEO15" s="114"/>
      <c r="TEP15" s="114"/>
      <c r="TEQ15" s="114"/>
      <c r="TER15" s="114"/>
      <c r="TES15" s="114"/>
      <c r="TET15" s="114"/>
      <c r="TEU15" s="114"/>
      <c r="TEV15" s="114"/>
      <c r="TEW15" s="114"/>
      <c r="TEX15" s="114"/>
      <c r="TEY15" s="114"/>
      <c r="TEZ15" s="114"/>
      <c r="TFA15" s="114"/>
      <c r="TFB15" s="114"/>
      <c r="TFC15" s="114"/>
      <c r="TFD15" s="114"/>
      <c r="TFE15" s="114"/>
      <c r="TFF15" s="114"/>
      <c r="TFG15" s="114"/>
      <c r="TFH15" s="114"/>
      <c r="TFI15" s="114"/>
      <c r="TFJ15" s="114"/>
      <c r="TFK15" s="114"/>
      <c r="TFL15" s="114"/>
      <c r="TFM15" s="114"/>
      <c r="TFN15" s="114"/>
      <c r="TFO15" s="114"/>
      <c r="TFP15" s="114"/>
      <c r="TFQ15" s="114"/>
      <c r="TFR15" s="114"/>
      <c r="TFS15" s="114"/>
      <c r="TFT15" s="114"/>
      <c r="TFU15" s="114"/>
      <c r="TFV15" s="114"/>
      <c r="TFW15" s="114"/>
      <c r="TFX15" s="114"/>
      <c r="TFY15" s="114"/>
      <c r="TFZ15" s="114"/>
      <c r="TGA15" s="114"/>
      <c r="TGB15" s="114"/>
      <c r="TGC15" s="114"/>
      <c r="TGD15" s="114"/>
      <c r="TGE15" s="114"/>
      <c r="TGF15" s="114"/>
      <c r="TGG15" s="114"/>
      <c r="TGH15" s="114"/>
      <c r="TGI15" s="114"/>
      <c r="TGJ15" s="114"/>
      <c r="TGK15" s="114"/>
      <c r="TGL15" s="114"/>
      <c r="TGM15" s="114"/>
      <c r="TGN15" s="114"/>
      <c r="TGO15" s="114"/>
      <c r="TGP15" s="114"/>
      <c r="TGQ15" s="114"/>
      <c r="TGR15" s="114"/>
      <c r="TGS15" s="114"/>
      <c r="TGT15" s="114"/>
      <c r="TGU15" s="114"/>
      <c r="TGV15" s="114"/>
      <c r="TGW15" s="114"/>
      <c r="TGX15" s="114"/>
      <c r="TGY15" s="114"/>
      <c r="TGZ15" s="114"/>
      <c r="THA15" s="114"/>
      <c r="THB15" s="114"/>
      <c r="THC15" s="114"/>
      <c r="THD15" s="114"/>
      <c r="THE15" s="114"/>
      <c r="THF15" s="114"/>
      <c r="THG15" s="114"/>
      <c r="THH15" s="114"/>
      <c r="THI15" s="114"/>
      <c r="THJ15" s="114"/>
      <c r="THK15" s="114"/>
      <c r="THL15" s="114"/>
      <c r="THM15" s="114"/>
      <c r="THN15" s="114"/>
      <c r="THO15" s="114"/>
      <c r="THP15" s="114"/>
      <c r="THQ15" s="114"/>
      <c r="THR15" s="114"/>
      <c r="THS15" s="114"/>
      <c r="THT15" s="114"/>
      <c r="THU15" s="114"/>
      <c r="THV15" s="114"/>
      <c r="THW15" s="114"/>
      <c r="THX15" s="114"/>
      <c r="THY15" s="114"/>
      <c r="THZ15" s="114"/>
      <c r="TIA15" s="114"/>
      <c r="TIB15" s="114"/>
      <c r="TIC15" s="114"/>
      <c r="TID15" s="114"/>
      <c r="TIE15" s="114"/>
      <c r="TIF15" s="114"/>
      <c r="TIG15" s="114"/>
      <c r="TIH15" s="114"/>
      <c r="TII15" s="114"/>
      <c r="TIJ15" s="114"/>
      <c r="TIK15" s="114"/>
      <c r="TIL15" s="114"/>
      <c r="TIM15" s="114"/>
      <c r="TIN15" s="114"/>
      <c r="TIO15" s="114"/>
      <c r="TIP15" s="114"/>
      <c r="TIQ15" s="114"/>
      <c r="TIR15" s="114"/>
      <c r="TIS15" s="114"/>
      <c r="TIT15" s="114"/>
      <c r="TIU15" s="114"/>
      <c r="TIV15" s="114"/>
      <c r="TIW15" s="114"/>
      <c r="TIX15" s="114"/>
      <c r="TIY15" s="114"/>
      <c r="TIZ15" s="114"/>
      <c r="TJA15" s="114"/>
      <c r="TJB15" s="114"/>
      <c r="TJC15" s="114"/>
      <c r="TJD15" s="114"/>
      <c r="TJE15" s="114"/>
      <c r="TJF15" s="114"/>
      <c r="TJG15" s="114"/>
      <c r="TJH15" s="114"/>
      <c r="TJI15" s="114"/>
      <c r="TJJ15" s="114"/>
      <c r="TJK15" s="114"/>
      <c r="TJL15" s="114"/>
      <c r="TJM15" s="114"/>
      <c r="TJN15" s="114"/>
      <c r="TJO15" s="114"/>
      <c r="TJP15" s="114"/>
      <c r="TJQ15" s="114"/>
      <c r="TJR15" s="114"/>
      <c r="TJS15" s="114"/>
      <c r="TJT15" s="114"/>
      <c r="TJU15" s="114"/>
      <c r="TJV15" s="114"/>
      <c r="TJW15" s="114"/>
      <c r="TJX15" s="114"/>
      <c r="TJY15" s="114"/>
      <c r="TJZ15" s="114"/>
      <c r="TKA15" s="114"/>
      <c r="TKB15" s="114"/>
      <c r="TKC15" s="114"/>
      <c r="TKD15" s="114"/>
      <c r="TKE15" s="114"/>
      <c r="TKF15" s="114"/>
      <c r="TKG15" s="114"/>
      <c r="TKH15" s="114"/>
      <c r="TKI15" s="114"/>
      <c r="TKJ15" s="114"/>
      <c r="TKK15" s="114"/>
      <c r="TKL15" s="114"/>
      <c r="TKM15" s="114"/>
      <c r="TKN15" s="114"/>
      <c r="TKO15" s="114"/>
      <c r="TKP15" s="114"/>
      <c r="TKQ15" s="114"/>
      <c r="TKR15" s="114"/>
      <c r="TKS15" s="114"/>
      <c r="TKT15" s="114"/>
      <c r="TKU15" s="114"/>
      <c r="TKV15" s="114"/>
      <c r="TKW15" s="114"/>
      <c r="TKX15" s="114"/>
      <c r="TKY15" s="114"/>
      <c r="TKZ15" s="114"/>
      <c r="TLA15" s="114"/>
      <c r="TLB15" s="114"/>
      <c r="TLC15" s="114"/>
      <c r="TLD15" s="114"/>
      <c r="TLE15" s="114"/>
      <c r="TLF15" s="114"/>
      <c r="TLG15" s="114"/>
      <c r="TLH15" s="114"/>
      <c r="TLI15" s="114"/>
      <c r="TLJ15" s="114"/>
      <c r="TLK15" s="114"/>
      <c r="TLL15" s="114"/>
      <c r="TLM15" s="114"/>
      <c r="TLN15" s="114"/>
      <c r="TLO15" s="114"/>
      <c r="TLP15" s="114"/>
      <c r="TLQ15" s="114"/>
      <c r="TLR15" s="114"/>
      <c r="TLS15" s="114"/>
      <c r="TLT15" s="114"/>
      <c r="TLU15" s="114"/>
      <c r="TLV15" s="114"/>
      <c r="TLW15" s="114"/>
      <c r="TLX15" s="114"/>
      <c r="TLY15" s="114"/>
      <c r="TLZ15" s="114"/>
      <c r="TMA15" s="114"/>
      <c r="TMB15" s="114"/>
      <c r="TMC15" s="114"/>
      <c r="TMD15" s="114"/>
      <c r="TME15" s="114"/>
      <c r="TMF15" s="114"/>
      <c r="TMG15" s="114"/>
      <c r="TMH15" s="114"/>
      <c r="TMI15" s="114"/>
      <c r="TMJ15" s="114"/>
      <c r="TMK15" s="114"/>
      <c r="TML15" s="114"/>
      <c r="TMM15" s="114"/>
      <c r="TMN15" s="114"/>
      <c r="TMO15" s="114"/>
      <c r="TMP15" s="114"/>
      <c r="TMQ15" s="114"/>
      <c r="TMR15" s="114"/>
      <c r="TMS15" s="114"/>
      <c r="TMT15" s="114"/>
      <c r="TMU15" s="114"/>
      <c r="TMV15" s="114"/>
      <c r="TMW15" s="114"/>
      <c r="TMX15" s="114"/>
      <c r="TMY15" s="114"/>
      <c r="TMZ15" s="114"/>
      <c r="TNA15" s="114"/>
      <c r="TNB15" s="114"/>
      <c r="TNC15" s="114"/>
      <c r="TND15" s="114"/>
      <c r="TNE15" s="114"/>
      <c r="TNF15" s="114"/>
      <c r="TNG15" s="114"/>
      <c r="TNH15" s="114"/>
      <c r="TNI15" s="114"/>
      <c r="TNJ15" s="114"/>
      <c r="TNK15" s="114"/>
      <c r="TNL15" s="114"/>
      <c r="TNM15" s="114"/>
      <c r="TNN15" s="114"/>
      <c r="TNO15" s="114"/>
      <c r="TNP15" s="114"/>
      <c r="TNQ15" s="114"/>
      <c r="TNR15" s="114"/>
      <c r="TNS15" s="114"/>
      <c r="TNT15" s="114"/>
      <c r="TNU15" s="114"/>
      <c r="TNV15" s="114"/>
      <c r="TNW15" s="114"/>
      <c r="TNX15" s="114"/>
      <c r="TNY15" s="114"/>
      <c r="TNZ15" s="114"/>
      <c r="TOA15" s="114"/>
      <c r="TOB15" s="114"/>
      <c r="TOC15" s="114"/>
      <c r="TOD15" s="114"/>
      <c r="TOE15" s="114"/>
      <c r="TOF15" s="114"/>
      <c r="TOG15" s="114"/>
      <c r="TOH15" s="114"/>
      <c r="TOI15" s="114"/>
      <c r="TOJ15" s="114"/>
      <c r="TOK15" s="114"/>
      <c r="TOL15" s="114"/>
      <c r="TOM15" s="114"/>
      <c r="TON15" s="114"/>
      <c r="TOO15" s="114"/>
      <c r="TOP15" s="114"/>
      <c r="TOQ15" s="114"/>
      <c r="TOR15" s="114"/>
      <c r="TOS15" s="114"/>
      <c r="TOT15" s="114"/>
      <c r="TOU15" s="114"/>
      <c r="TOV15" s="114"/>
      <c r="TOW15" s="114"/>
      <c r="TOX15" s="114"/>
      <c r="TOY15" s="114"/>
      <c r="TOZ15" s="114"/>
      <c r="TPA15" s="114"/>
      <c r="TPB15" s="114"/>
      <c r="TPC15" s="114"/>
      <c r="TPD15" s="114"/>
      <c r="TPE15" s="114"/>
      <c r="TPF15" s="114"/>
      <c r="TPG15" s="114"/>
      <c r="TPH15" s="114"/>
      <c r="TPI15" s="114"/>
      <c r="TPJ15" s="114"/>
      <c r="TPK15" s="114"/>
      <c r="TPL15" s="114"/>
      <c r="TPM15" s="114"/>
      <c r="TPN15" s="114"/>
      <c r="TPO15" s="114"/>
      <c r="TPP15" s="114"/>
      <c r="TPQ15" s="114"/>
      <c r="TPR15" s="114"/>
      <c r="TPS15" s="114"/>
      <c r="TPT15" s="114"/>
      <c r="TPU15" s="114"/>
      <c r="TPV15" s="114"/>
      <c r="TPW15" s="114"/>
      <c r="TPX15" s="114"/>
      <c r="TPY15" s="114"/>
      <c r="TPZ15" s="114"/>
      <c r="TQA15" s="114"/>
      <c r="TQB15" s="114"/>
      <c r="TQC15" s="114"/>
      <c r="TQD15" s="114"/>
      <c r="TQE15" s="114"/>
      <c r="TQF15" s="114"/>
      <c r="TQG15" s="114"/>
      <c r="TQH15" s="114"/>
      <c r="TQI15" s="114"/>
      <c r="TQJ15" s="114"/>
      <c r="TQK15" s="114"/>
      <c r="TQL15" s="114"/>
      <c r="TQM15" s="114"/>
      <c r="TQN15" s="114"/>
      <c r="TQO15" s="114"/>
      <c r="TQP15" s="114"/>
      <c r="TQQ15" s="114"/>
      <c r="TQR15" s="114"/>
      <c r="TQS15" s="114"/>
      <c r="TQT15" s="114"/>
      <c r="TQU15" s="114"/>
      <c r="TQV15" s="114"/>
      <c r="TQW15" s="114"/>
      <c r="TQX15" s="114"/>
      <c r="TQY15" s="114"/>
      <c r="TQZ15" s="114"/>
      <c r="TRA15" s="114"/>
      <c r="TRB15" s="114"/>
      <c r="TRC15" s="114"/>
      <c r="TRD15" s="114"/>
      <c r="TRE15" s="114"/>
      <c r="TRF15" s="114"/>
      <c r="TRG15" s="114"/>
      <c r="TRH15" s="114"/>
      <c r="TRI15" s="114"/>
      <c r="TRJ15" s="114"/>
      <c r="TRK15" s="114"/>
      <c r="TRL15" s="114"/>
      <c r="TRM15" s="114"/>
      <c r="TRN15" s="114"/>
      <c r="TRO15" s="114"/>
      <c r="TRP15" s="114"/>
      <c r="TRQ15" s="114"/>
      <c r="TRR15" s="114"/>
      <c r="TRS15" s="114"/>
      <c r="TRT15" s="114"/>
      <c r="TRU15" s="114"/>
      <c r="TRV15" s="114"/>
      <c r="TRW15" s="114"/>
      <c r="TRX15" s="114"/>
      <c r="TRY15" s="114"/>
      <c r="TRZ15" s="114"/>
      <c r="TSA15" s="114"/>
      <c r="TSB15" s="114"/>
      <c r="TSC15" s="114"/>
      <c r="TSD15" s="114"/>
      <c r="TSE15" s="114"/>
      <c r="TSF15" s="114"/>
      <c r="TSG15" s="114"/>
      <c r="TSH15" s="114"/>
      <c r="TSI15" s="114"/>
      <c r="TSJ15" s="114"/>
      <c r="TSK15" s="114"/>
      <c r="TSL15" s="114"/>
      <c r="TSM15" s="114"/>
      <c r="TSN15" s="114"/>
      <c r="TSO15" s="114"/>
      <c r="TSP15" s="114"/>
      <c r="TSQ15" s="114"/>
      <c r="TSR15" s="114"/>
      <c r="TSS15" s="114"/>
      <c r="TST15" s="114"/>
      <c r="TSU15" s="114"/>
      <c r="TSV15" s="114"/>
      <c r="TSW15" s="114"/>
      <c r="TSX15" s="114"/>
      <c r="TSY15" s="114"/>
      <c r="TSZ15" s="114"/>
      <c r="TTA15" s="114"/>
      <c r="TTB15" s="114"/>
      <c r="TTC15" s="114"/>
      <c r="TTD15" s="114"/>
      <c r="TTE15" s="114"/>
      <c r="TTF15" s="114"/>
      <c r="TTG15" s="114"/>
      <c r="TTH15" s="114"/>
      <c r="TTI15" s="114"/>
      <c r="TTJ15" s="114"/>
      <c r="TTK15" s="114"/>
      <c r="TTL15" s="114"/>
      <c r="TTM15" s="114"/>
      <c r="TTN15" s="114"/>
      <c r="TTO15" s="114"/>
      <c r="TTP15" s="114"/>
      <c r="TTQ15" s="114"/>
      <c r="TTR15" s="114"/>
      <c r="TTS15" s="114"/>
      <c r="TTT15" s="114"/>
      <c r="TTU15" s="114"/>
      <c r="TTV15" s="114"/>
      <c r="TTW15" s="114"/>
      <c r="TTX15" s="114"/>
      <c r="TTY15" s="114"/>
      <c r="TTZ15" s="114"/>
      <c r="TUA15" s="114"/>
      <c r="TUB15" s="114"/>
      <c r="TUC15" s="114"/>
      <c r="TUD15" s="114"/>
      <c r="TUE15" s="114"/>
      <c r="TUF15" s="114"/>
      <c r="TUG15" s="114"/>
      <c r="TUH15" s="114"/>
      <c r="TUI15" s="114"/>
      <c r="TUJ15" s="114"/>
      <c r="TUK15" s="114"/>
      <c r="TUL15" s="114"/>
      <c r="TUM15" s="114"/>
      <c r="TUN15" s="114"/>
      <c r="TUO15" s="114"/>
      <c r="TUP15" s="114"/>
      <c r="TUQ15" s="114"/>
      <c r="TUR15" s="114"/>
      <c r="TUS15" s="114"/>
      <c r="TUT15" s="114"/>
      <c r="TUU15" s="114"/>
      <c r="TUV15" s="114"/>
      <c r="TUW15" s="114"/>
      <c r="TUX15" s="114"/>
      <c r="TUY15" s="114"/>
      <c r="TUZ15" s="114"/>
      <c r="TVA15" s="114"/>
      <c r="TVB15" s="114"/>
      <c r="TVC15" s="114"/>
      <c r="TVD15" s="114"/>
      <c r="TVE15" s="114"/>
      <c r="TVF15" s="114"/>
      <c r="TVG15" s="114"/>
      <c r="TVH15" s="114"/>
      <c r="TVI15" s="114"/>
      <c r="TVJ15" s="114"/>
      <c r="TVK15" s="114"/>
      <c r="TVL15" s="114"/>
      <c r="TVM15" s="114"/>
      <c r="TVN15" s="114"/>
      <c r="TVO15" s="114"/>
      <c r="TVP15" s="114"/>
      <c r="TVQ15" s="114"/>
      <c r="TVR15" s="114"/>
      <c r="TVS15" s="114"/>
      <c r="TVT15" s="114"/>
      <c r="TVU15" s="114"/>
      <c r="TVV15" s="114"/>
      <c r="TVW15" s="114"/>
      <c r="TVX15" s="114"/>
      <c r="TVY15" s="114"/>
      <c r="TVZ15" s="114"/>
      <c r="TWA15" s="114"/>
      <c r="TWB15" s="114"/>
      <c r="TWC15" s="114"/>
      <c r="TWD15" s="114"/>
      <c r="TWE15" s="114"/>
      <c r="TWF15" s="114"/>
      <c r="TWG15" s="114"/>
      <c r="TWH15" s="114"/>
      <c r="TWI15" s="114"/>
      <c r="TWJ15" s="114"/>
      <c r="TWK15" s="114"/>
      <c r="TWL15" s="114"/>
      <c r="TWM15" s="114"/>
      <c r="TWN15" s="114"/>
      <c r="TWO15" s="114"/>
      <c r="TWP15" s="114"/>
      <c r="TWQ15" s="114"/>
      <c r="TWR15" s="114"/>
      <c r="TWS15" s="114"/>
      <c r="TWT15" s="114"/>
      <c r="TWU15" s="114"/>
      <c r="TWV15" s="114"/>
      <c r="TWW15" s="114"/>
      <c r="TWX15" s="114"/>
      <c r="TWY15" s="114"/>
      <c r="TWZ15" s="114"/>
      <c r="TXA15" s="114"/>
      <c r="TXB15" s="114"/>
      <c r="TXC15" s="114"/>
      <c r="TXD15" s="114"/>
      <c r="TXE15" s="114"/>
      <c r="TXF15" s="114"/>
      <c r="TXG15" s="114"/>
      <c r="TXH15" s="114"/>
      <c r="TXI15" s="114"/>
      <c r="TXJ15" s="114"/>
      <c r="TXK15" s="114"/>
      <c r="TXL15" s="114"/>
      <c r="TXM15" s="114"/>
      <c r="TXN15" s="114"/>
      <c r="TXO15" s="114"/>
      <c r="TXP15" s="114"/>
      <c r="TXQ15" s="114"/>
      <c r="TXR15" s="114"/>
      <c r="TXS15" s="114"/>
      <c r="TXT15" s="114"/>
      <c r="TXU15" s="114"/>
      <c r="TXV15" s="114"/>
      <c r="TXW15" s="114"/>
      <c r="TXX15" s="114"/>
      <c r="TXY15" s="114"/>
      <c r="TXZ15" s="114"/>
      <c r="TYA15" s="114"/>
      <c r="TYB15" s="114"/>
      <c r="TYC15" s="114"/>
      <c r="TYD15" s="114"/>
      <c r="TYE15" s="114"/>
      <c r="TYF15" s="114"/>
      <c r="TYG15" s="114"/>
      <c r="TYH15" s="114"/>
      <c r="TYI15" s="114"/>
      <c r="TYJ15" s="114"/>
      <c r="TYK15" s="114"/>
      <c r="TYL15" s="114"/>
      <c r="TYM15" s="114"/>
      <c r="TYN15" s="114"/>
      <c r="TYO15" s="114"/>
      <c r="TYP15" s="114"/>
      <c r="TYQ15" s="114"/>
      <c r="TYR15" s="114"/>
      <c r="TYS15" s="114"/>
      <c r="TYT15" s="114"/>
      <c r="TYU15" s="114"/>
      <c r="TYV15" s="114"/>
      <c r="TYW15" s="114"/>
      <c r="TYX15" s="114"/>
      <c r="TYY15" s="114"/>
      <c r="TYZ15" s="114"/>
      <c r="TZA15" s="114"/>
      <c r="TZB15" s="114"/>
      <c r="TZC15" s="114"/>
      <c r="TZD15" s="114"/>
      <c r="TZE15" s="114"/>
      <c r="TZF15" s="114"/>
      <c r="TZG15" s="114"/>
      <c r="TZH15" s="114"/>
      <c r="TZI15" s="114"/>
      <c r="TZJ15" s="114"/>
      <c r="TZK15" s="114"/>
      <c r="TZL15" s="114"/>
      <c r="TZM15" s="114"/>
      <c r="TZN15" s="114"/>
      <c r="TZO15" s="114"/>
      <c r="TZP15" s="114"/>
      <c r="TZQ15" s="114"/>
      <c r="TZR15" s="114"/>
      <c r="TZS15" s="114"/>
      <c r="TZT15" s="114"/>
      <c r="TZU15" s="114"/>
      <c r="TZV15" s="114"/>
      <c r="TZW15" s="114"/>
      <c r="TZX15" s="114"/>
      <c r="TZY15" s="114"/>
      <c r="TZZ15" s="114"/>
      <c r="UAA15" s="114"/>
      <c r="UAB15" s="114"/>
      <c r="UAC15" s="114"/>
      <c r="UAD15" s="114"/>
      <c r="UAE15" s="114"/>
      <c r="UAF15" s="114"/>
      <c r="UAG15" s="114"/>
      <c r="UAH15" s="114"/>
      <c r="UAI15" s="114"/>
      <c r="UAJ15" s="114"/>
      <c r="UAK15" s="114"/>
      <c r="UAL15" s="114"/>
      <c r="UAM15" s="114"/>
      <c r="UAN15" s="114"/>
      <c r="UAO15" s="114"/>
      <c r="UAP15" s="114"/>
      <c r="UAQ15" s="114"/>
      <c r="UAR15" s="114"/>
      <c r="UAS15" s="114"/>
      <c r="UAT15" s="114"/>
      <c r="UAU15" s="114"/>
      <c r="UAV15" s="114"/>
      <c r="UAW15" s="114"/>
      <c r="UAX15" s="114"/>
      <c r="UAY15" s="114"/>
      <c r="UAZ15" s="114"/>
      <c r="UBA15" s="114"/>
      <c r="UBB15" s="114"/>
      <c r="UBC15" s="114"/>
      <c r="UBD15" s="114"/>
      <c r="UBE15" s="114"/>
      <c r="UBF15" s="114"/>
      <c r="UBG15" s="114"/>
      <c r="UBH15" s="114"/>
      <c r="UBI15" s="114"/>
      <c r="UBJ15" s="114"/>
      <c r="UBK15" s="114"/>
      <c r="UBL15" s="114"/>
      <c r="UBM15" s="114"/>
      <c r="UBN15" s="114"/>
      <c r="UBO15" s="114"/>
      <c r="UBP15" s="114"/>
      <c r="UBQ15" s="114"/>
      <c r="UBR15" s="114"/>
      <c r="UBS15" s="114"/>
      <c r="UBT15" s="114"/>
      <c r="UBU15" s="114"/>
      <c r="UBV15" s="114"/>
      <c r="UBW15" s="114"/>
      <c r="UBX15" s="114"/>
      <c r="UBY15" s="114"/>
      <c r="UBZ15" s="114"/>
      <c r="UCA15" s="114"/>
      <c r="UCB15" s="114"/>
      <c r="UCC15" s="114"/>
      <c r="UCD15" s="114"/>
      <c r="UCE15" s="114"/>
      <c r="UCF15" s="114"/>
      <c r="UCG15" s="114"/>
      <c r="UCH15" s="114"/>
      <c r="UCI15" s="114"/>
      <c r="UCJ15" s="114"/>
      <c r="UCK15" s="114"/>
      <c r="UCL15" s="114"/>
      <c r="UCM15" s="114"/>
      <c r="UCN15" s="114"/>
      <c r="UCO15" s="114"/>
      <c r="UCP15" s="114"/>
      <c r="UCQ15" s="114"/>
      <c r="UCR15" s="114"/>
      <c r="UCS15" s="114"/>
      <c r="UCT15" s="114"/>
      <c r="UCU15" s="114"/>
      <c r="UCV15" s="114"/>
      <c r="UCW15" s="114"/>
      <c r="UCX15" s="114"/>
      <c r="UCY15" s="114"/>
      <c r="UCZ15" s="114"/>
      <c r="UDA15" s="114"/>
      <c r="UDB15" s="114"/>
      <c r="UDC15" s="114"/>
      <c r="UDD15" s="114"/>
      <c r="UDE15" s="114"/>
      <c r="UDF15" s="114"/>
      <c r="UDG15" s="114"/>
      <c r="UDH15" s="114"/>
      <c r="UDI15" s="114"/>
      <c r="UDJ15" s="114"/>
      <c r="UDK15" s="114"/>
      <c r="UDL15" s="114"/>
      <c r="UDM15" s="114"/>
      <c r="UDN15" s="114"/>
      <c r="UDO15" s="114"/>
      <c r="UDP15" s="114"/>
      <c r="UDQ15" s="114"/>
      <c r="UDR15" s="114"/>
      <c r="UDS15" s="114"/>
      <c r="UDT15" s="114"/>
      <c r="UDU15" s="114"/>
      <c r="UDV15" s="114"/>
      <c r="UDW15" s="114"/>
      <c r="UDX15" s="114"/>
      <c r="UDY15" s="114"/>
      <c r="UDZ15" s="114"/>
      <c r="UEA15" s="114"/>
      <c r="UEB15" s="114"/>
      <c r="UEC15" s="114"/>
      <c r="UED15" s="114"/>
      <c r="UEE15" s="114"/>
      <c r="UEF15" s="114"/>
      <c r="UEG15" s="114"/>
      <c r="UEH15" s="114"/>
      <c r="UEI15" s="114"/>
      <c r="UEJ15" s="114"/>
      <c r="UEK15" s="114"/>
      <c r="UEL15" s="114"/>
      <c r="UEM15" s="114"/>
      <c r="UEN15" s="114"/>
      <c r="UEO15" s="114"/>
      <c r="UEP15" s="114"/>
      <c r="UEQ15" s="114"/>
      <c r="UER15" s="114"/>
      <c r="UES15" s="114"/>
      <c r="UET15" s="114"/>
      <c r="UEU15" s="114"/>
      <c r="UEV15" s="114"/>
      <c r="UEW15" s="114"/>
      <c r="UEX15" s="114"/>
      <c r="UEY15" s="114"/>
      <c r="UEZ15" s="114"/>
      <c r="UFA15" s="114"/>
      <c r="UFB15" s="114"/>
      <c r="UFC15" s="114"/>
      <c r="UFD15" s="114"/>
      <c r="UFE15" s="114"/>
      <c r="UFF15" s="114"/>
      <c r="UFG15" s="114"/>
      <c r="UFH15" s="114"/>
      <c r="UFI15" s="114"/>
      <c r="UFJ15" s="114"/>
      <c r="UFK15" s="114"/>
      <c r="UFL15" s="114"/>
      <c r="UFM15" s="114"/>
      <c r="UFN15" s="114"/>
      <c r="UFO15" s="114"/>
      <c r="UFP15" s="114"/>
      <c r="UFQ15" s="114"/>
      <c r="UFR15" s="114"/>
      <c r="UFS15" s="114"/>
      <c r="UFT15" s="114"/>
      <c r="UFU15" s="114"/>
      <c r="UFV15" s="114"/>
      <c r="UFW15" s="114"/>
      <c r="UFX15" s="114"/>
      <c r="UFY15" s="114"/>
      <c r="UFZ15" s="114"/>
      <c r="UGA15" s="114"/>
      <c r="UGB15" s="114"/>
      <c r="UGC15" s="114"/>
      <c r="UGD15" s="114"/>
      <c r="UGE15" s="114"/>
      <c r="UGF15" s="114"/>
      <c r="UGG15" s="114"/>
      <c r="UGH15" s="114"/>
      <c r="UGI15" s="114"/>
      <c r="UGJ15" s="114"/>
      <c r="UGK15" s="114"/>
      <c r="UGL15" s="114"/>
      <c r="UGM15" s="114"/>
      <c r="UGN15" s="114"/>
      <c r="UGO15" s="114"/>
      <c r="UGP15" s="114"/>
      <c r="UGQ15" s="114"/>
      <c r="UGR15" s="114"/>
      <c r="UGS15" s="114"/>
      <c r="UGT15" s="114"/>
      <c r="UGU15" s="114"/>
      <c r="UGV15" s="114"/>
      <c r="UGW15" s="114"/>
      <c r="UGX15" s="114"/>
      <c r="UGY15" s="114"/>
      <c r="UGZ15" s="114"/>
      <c r="UHA15" s="114"/>
      <c r="UHB15" s="114"/>
      <c r="UHC15" s="114"/>
      <c r="UHD15" s="114"/>
      <c r="UHE15" s="114"/>
      <c r="UHF15" s="114"/>
      <c r="UHG15" s="114"/>
      <c r="UHH15" s="114"/>
      <c r="UHI15" s="114"/>
      <c r="UHJ15" s="114"/>
      <c r="UHK15" s="114"/>
      <c r="UHL15" s="114"/>
      <c r="UHM15" s="114"/>
      <c r="UHN15" s="114"/>
      <c r="UHO15" s="114"/>
      <c r="UHP15" s="114"/>
      <c r="UHQ15" s="114"/>
      <c r="UHR15" s="114"/>
      <c r="UHS15" s="114"/>
      <c r="UHT15" s="114"/>
      <c r="UHU15" s="114"/>
      <c r="UHV15" s="114"/>
      <c r="UHW15" s="114"/>
      <c r="UHX15" s="114"/>
      <c r="UHY15" s="114"/>
      <c r="UHZ15" s="114"/>
      <c r="UIA15" s="114"/>
      <c r="UIB15" s="114"/>
      <c r="UIC15" s="114"/>
      <c r="UID15" s="114"/>
      <c r="UIE15" s="114"/>
      <c r="UIF15" s="114"/>
      <c r="UIG15" s="114"/>
      <c r="UIH15" s="114"/>
      <c r="UII15" s="114"/>
      <c r="UIJ15" s="114"/>
      <c r="UIK15" s="114"/>
      <c r="UIL15" s="114"/>
      <c r="UIM15" s="114"/>
      <c r="UIN15" s="114"/>
      <c r="UIO15" s="114"/>
      <c r="UIP15" s="114"/>
      <c r="UIQ15" s="114"/>
      <c r="UIR15" s="114"/>
      <c r="UIS15" s="114"/>
      <c r="UIT15" s="114"/>
      <c r="UIU15" s="114"/>
      <c r="UIV15" s="114"/>
      <c r="UIW15" s="114"/>
      <c r="UIX15" s="114"/>
      <c r="UIY15" s="114"/>
      <c r="UIZ15" s="114"/>
      <c r="UJA15" s="114"/>
      <c r="UJB15" s="114"/>
      <c r="UJC15" s="114"/>
      <c r="UJD15" s="114"/>
      <c r="UJE15" s="114"/>
      <c r="UJF15" s="114"/>
      <c r="UJG15" s="114"/>
      <c r="UJH15" s="114"/>
      <c r="UJI15" s="114"/>
      <c r="UJJ15" s="114"/>
      <c r="UJK15" s="114"/>
      <c r="UJL15" s="114"/>
      <c r="UJM15" s="114"/>
      <c r="UJN15" s="114"/>
      <c r="UJO15" s="114"/>
      <c r="UJP15" s="114"/>
      <c r="UJQ15" s="114"/>
      <c r="UJR15" s="114"/>
      <c r="UJS15" s="114"/>
      <c r="UJT15" s="114"/>
      <c r="UJU15" s="114"/>
      <c r="UJV15" s="114"/>
      <c r="UJW15" s="114"/>
      <c r="UJX15" s="114"/>
      <c r="UJY15" s="114"/>
      <c r="UJZ15" s="114"/>
      <c r="UKA15" s="114"/>
      <c r="UKB15" s="114"/>
      <c r="UKC15" s="114"/>
      <c r="UKD15" s="114"/>
      <c r="UKE15" s="114"/>
      <c r="UKF15" s="114"/>
      <c r="UKG15" s="114"/>
      <c r="UKH15" s="114"/>
      <c r="UKI15" s="114"/>
      <c r="UKJ15" s="114"/>
      <c r="UKK15" s="114"/>
      <c r="UKL15" s="114"/>
      <c r="UKM15" s="114"/>
      <c r="UKN15" s="114"/>
      <c r="UKO15" s="114"/>
      <c r="UKP15" s="114"/>
      <c r="UKQ15" s="114"/>
      <c r="UKR15" s="114"/>
      <c r="UKS15" s="114"/>
      <c r="UKT15" s="114"/>
      <c r="UKU15" s="114"/>
      <c r="UKV15" s="114"/>
      <c r="UKW15" s="114"/>
      <c r="UKX15" s="114"/>
      <c r="UKY15" s="114"/>
      <c r="UKZ15" s="114"/>
      <c r="ULA15" s="114"/>
      <c r="ULB15" s="114"/>
      <c r="ULC15" s="114"/>
      <c r="ULD15" s="114"/>
      <c r="ULE15" s="114"/>
      <c r="ULF15" s="114"/>
      <c r="ULG15" s="114"/>
      <c r="ULH15" s="114"/>
      <c r="ULI15" s="114"/>
      <c r="ULJ15" s="114"/>
      <c r="ULK15" s="114"/>
      <c r="ULL15" s="114"/>
      <c r="ULM15" s="114"/>
      <c r="ULN15" s="114"/>
      <c r="ULO15" s="114"/>
      <c r="ULP15" s="114"/>
      <c r="ULQ15" s="114"/>
      <c r="ULR15" s="114"/>
      <c r="ULS15" s="114"/>
      <c r="ULT15" s="114"/>
      <c r="ULU15" s="114"/>
      <c r="ULV15" s="114"/>
      <c r="ULW15" s="114"/>
      <c r="ULX15" s="114"/>
      <c r="ULY15" s="114"/>
      <c r="ULZ15" s="114"/>
      <c r="UMA15" s="114"/>
      <c r="UMB15" s="114"/>
      <c r="UMC15" s="114"/>
      <c r="UMD15" s="114"/>
      <c r="UME15" s="114"/>
      <c r="UMF15" s="114"/>
      <c r="UMG15" s="114"/>
      <c r="UMH15" s="114"/>
      <c r="UMI15" s="114"/>
      <c r="UMJ15" s="114"/>
      <c r="UMK15" s="114"/>
      <c r="UML15" s="114"/>
      <c r="UMM15" s="114"/>
      <c r="UMN15" s="114"/>
      <c r="UMO15" s="114"/>
      <c r="UMP15" s="114"/>
      <c r="UMQ15" s="114"/>
      <c r="UMR15" s="114"/>
      <c r="UMS15" s="114"/>
      <c r="UMT15" s="114"/>
      <c r="UMU15" s="114"/>
      <c r="UMV15" s="114"/>
      <c r="UMW15" s="114"/>
      <c r="UMX15" s="114"/>
      <c r="UMY15" s="114"/>
      <c r="UMZ15" s="114"/>
      <c r="UNA15" s="114"/>
      <c r="UNB15" s="114"/>
      <c r="UNC15" s="114"/>
      <c r="UND15" s="114"/>
      <c r="UNE15" s="114"/>
      <c r="UNF15" s="114"/>
      <c r="UNG15" s="114"/>
      <c r="UNH15" s="114"/>
      <c r="UNI15" s="114"/>
      <c r="UNJ15" s="114"/>
      <c r="UNK15" s="114"/>
      <c r="UNL15" s="114"/>
      <c r="UNM15" s="114"/>
      <c r="UNN15" s="114"/>
      <c r="UNO15" s="114"/>
      <c r="UNP15" s="114"/>
      <c r="UNQ15" s="114"/>
      <c r="UNR15" s="114"/>
      <c r="UNS15" s="114"/>
      <c r="UNT15" s="114"/>
      <c r="UNU15" s="114"/>
      <c r="UNV15" s="114"/>
      <c r="UNW15" s="114"/>
      <c r="UNX15" s="114"/>
      <c r="UNY15" s="114"/>
      <c r="UNZ15" s="114"/>
      <c r="UOA15" s="114"/>
      <c r="UOB15" s="114"/>
      <c r="UOC15" s="114"/>
      <c r="UOD15" s="114"/>
      <c r="UOE15" s="114"/>
      <c r="UOF15" s="114"/>
      <c r="UOG15" s="114"/>
      <c r="UOH15" s="114"/>
      <c r="UOI15" s="114"/>
      <c r="UOJ15" s="114"/>
      <c r="UOK15" s="114"/>
      <c r="UOL15" s="114"/>
      <c r="UOM15" s="114"/>
      <c r="UON15" s="114"/>
      <c r="UOO15" s="114"/>
      <c r="UOP15" s="114"/>
      <c r="UOQ15" s="114"/>
      <c r="UOR15" s="114"/>
      <c r="UOS15" s="114"/>
      <c r="UOT15" s="114"/>
      <c r="UOU15" s="114"/>
      <c r="UOV15" s="114"/>
      <c r="UOW15" s="114"/>
      <c r="UOX15" s="114"/>
      <c r="UOY15" s="114"/>
      <c r="UOZ15" s="114"/>
      <c r="UPA15" s="114"/>
      <c r="UPB15" s="114"/>
      <c r="UPC15" s="114"/>
      <c r="UPD15" s="114"/>
      <c r="UPE15" s="114"/>
      <c r="UPF15" s="114"/>
      <c r="UPG15" s="114"/>
      <c r="UPH15" s="114"/>
      <c r="UPI15" s="114"/>
      <c r="UPJ15" s="114"/>
      <c r="UPK15" s="114"/>
      <c r="UPL15" s="114"/>
      <c r="UPM15" s="114"/>
      <c r="UPN15" s="114"/>
      <c r="UPO15" s="114"/>
      <c r="UPP15" s="114"/>
      <c r="UPQ15" s="114"/>
      <c r="UPR15" s="114"/>
      <c r="UPS15" s="114"/>
      <c r="UPT15" s="114"/>
      <c r="UPU15" s="114"/>
      <c r="UPV15" s="114"/>
      <c r="UPW15" s="114"/>
      <c r="UPX15" s="114"/>
      <c r="UPY15" s="114"/>
      <c r="UPZ15" s="114"/>
      <c r="UQA15" s="114"/>
      <c r="UQB15" s="114"/>
      <c r="UQC15" s="114"/>
      <c r="UQD15" s="114"/>
      <c r="UQE15" s="114"/>
      <c r="UQF15" s="114"/>
      <c r="UQG15" s="114"/>
      <c r="UQH15" s="114"/>
      <c r="UQI15" s="114"/>
      <c r="UQJ15" s="114"/>
      <c r="UQK15" s="114"/>
      <c r="UQL15" s="114"/>
      <c r="UQM15" s="114"/>
      <c r="UQN15" s="114"/>
      <c r="UQO15" s="114"/>
      <c r="UQP15" s="114"/>
      <c r="UQQ15" s="114"/>
      <c r="UQR15" s="114"/>
      <c r="UQS15" s="114"/>
      <c r="UQT15" s="114"/>
      <c r="UQU15" s="114"/>
      <c r="UQV15" s="114"/>
      <c r="UQW15" s="114"/>
      <c r="UQX15" s="114"/>
      <c r="UQY15" s="114"/>
      <c r="UQZ15" s="114"/>
      <c r="URA15" s="114"/>
      <c r="URB15" s="114"/>
      <c r="URC15" s="114"/>
      <c r="URD15" s="114"/>
      <c r="URE15" s="114"/>
      <c r="URF15" s="114"/>
      <c r="URG15" s="114"/>
      <c r="URH15" s="114"/>
      <c r="URI15" s="114"/>
      <c r="URJ15" s="114"/>
      <c r="URK15" s="114"/>
      <c r="URL15" s="114"/>
      <c r="URM15" s="114"/>
      <c r="URN15" s="114"/>
      <c r="URO15" s="114"/>
      <c r="URP15" s="114"/>
      <c r="URQ15" s="114"/>
      <c r="URR15" s="114"/>
      <c r="URS15" s="114"/>
      <c r="URT15" s="114"/>
      <c r="URU15" s="114"/>
      <c r="URV15" s="114"/>
      <c r="URW15" s="114"/>
      <c r="URX15" s="114"/>
      <c r="URY15" s="114"/>
      <c r="URZ15" s="114"/>
      <c r="USA15" s="114"/>
      <c r="USB15" s="114"/>
      <c r="USC15" s="114"/>
      <c r="USD15" s="114"/>
      <c r="USE15" s="114"/>
      <c r="USF15" s="114"/>
      <c r="USG15" s="114"/>
      <c r="USH15" s="114"/>
      <c r="USI15" s="114"/>
      <c r="USJ15" s="114"/>
      <c r="USK15" s="114"/>
      <c r="USL15" s="114"/>
      <c r="USM15" s="114"/>
      <c r="USN15" s="114"/>
      <c r="USO15" s="114"/>
      <c r="USP15" s="114"/>
      <c r="USQ15" s="114"/>
      <c r="USR15" s="114"/>
      <c r="USS15" s="114"/>
      <c r="UST15" s="114"/>
      <c r="USU15" s="114"/>
      <c r="USV15" s="114"/>
      <c r="USW15" s="114"/>
      <c r="USX15" s="114"/>
      <c r="USY15" s="114"/>
      <c r="USZ15" s="114"/>
      <c r="UTA15" s="114"/>
      <c r="UTB15" s="114"/>
      <c r="UTC15" s="114"/>
      <c r="UTD15" s="114"/>
      <c r="UTE15" s="114"/>
      <c r="UTF15" s="114"/>
      <c r="UTG15" s="114"/>
      <c r="UTH15" s="114"/>
      <c r="UTI15" s="114"/>
      <c r="UTJ15" s="114"/>
      <c r="UTK15" s="114"/>
      <c r="UTL15" s="114"/>
      <c r="UTM15" s="114"/>
      <c r="UTN15" s="114"/>
      <c r="UTO15" s="114"/>
      <c r="UTP15" s="114"/>
      <c r="UTQ15" s="114"/>
      <c r="UTR15" s="114"/>
      <c r="UTS15" s="114"/>
      <c r="UTT15" s="114"/>
      <c r="UTU15" s="114"/>
      <c r="UTV15" s="114"/>
      <c r="UTW15" s="114"/>
      <c r="UTX15" s="114"/>
      <c r="UTY15" s="114"/>
      <c r="UTZ15" s="114"/>
      <c r="UUA15" s="114"/>
      <c r="UUB15" s="114"/>
      <c r="UUC15" s="114"/>
      <c r="UUD15" s="114"/>
      <c r="UUE15" s="114"/>
      <c r="UUF15" s="114"/>
      <c r="UUG15" s="114"/>
      <c r="UUH15" s="114"/>
      <c r="UUI15" s="114"/>
      <c r="UUJ15" s="114"/>
      <c r="UUK15" s="114"/>
      <c r="UUL15" s="114"/>
      <c r="UUM15" s="114"/>
      <c r="UUN15" s="114"/>
      <c r="UUO15" s="114"/>
      <c r="UUP15" s="114"/>
      <c r="UUQ15" s="114"/>
      <c r="UUR15" s="114"/>
      <c r="UUS15" s="114"/>
      <c r="UUT15" s="114"/>
      <c r="UUU15" s="114"/>
      <c r="UUV15" s="114"/>
      <c r="UUW15" s="114"/>
      <c r="UUX15" s="114"/>
      <c r="UUY15" s="114"/>
      <c r="UUZ15" s="114"/>
      <c r="UVA15" s="114"/>
      <c r="UVB15" s="114"/>
      <c r="UVC15" s="114"/>
      <c r="UVD15" s="114"/>
      <c r="UVE15" s="114"/>
      <c r="UVF15" s="114"/>
      <c r="UVG15" s="114"/>
      <c r="UVH15" s="114"/>
      <c r="UVI15" s="114"/>
      <c r="UVJ15" s="114"/>
      <c r="UVK15" s="114"/>
      <c r="UVL15" s="114"/>
      <c r="UVM15" s="114"/>
      <c r="UVN15" s="114"/>
      <c r="UVO15" s="114"/>
      <c r="UVP15" s="114"/>
      <c r="UVQ15" s="114"/>
      <c r="UVR15" s="114"/>
      <c r="UVS15" s="114"/>
      <c r="UVT15" s="114"/>
      <c r="UVU15" s="114"/>
      <c r="UVV15" s="114"/>
      <c r="UVW15" s="114"/>
      <c r="UVX15" s="114"/>
      <c r="UVY15" s="114"/>
      <c r="UVZ15" s="114"/>
      <c r="UWA15" s="114"/>
      <c r="UWB15" s="114"/>
      <c r="UWC15" s="114"/>
      <c r="UWD15" s="114"/>
      <c r="UWE15" s="114"/>
      <c r="UWF15" s="114"/>
      <c r="UWG15" s="114"/>
      <c r="UWH15" s="114"/>
      <c r="UWI15" s="114"/>
      <c r="UWJ15" s="114"/>
      <c r="UWK15" s="114"/>
      <c r="UWL15" s="114"/>
      <c r="UWM15" s="114"/>
      <c r="UWN15" s="114"/>
      <c r="UWO15" s="114"/>
      <c r="UWP15" s="114"/>
      <c r="UWQ15" s="114"/>
      <c r="UWR15" s="114"/>
      <c r="UWS15" s="114"/>
      <c r="UWT15" s="114"/>
      <c r="UWU15" s="114"/>
      <c r="UWV15" s="114"/>
      <c r="UWW15" s="114"/>
      <c r="UWX15" s="114"/>
      <c r="UWY15" s="114"/>
      <c r="UWZ15" s="114"/>
      <c r="UXA15" s="114"/>
      <c r="UXB15" s="114"/>
      <c r="UXC15" s="114"/>
      <c r="UXD15" s="114"/>
      <c r="UXE15" s="114"/>
      <c r="UXF15" s="114"/>
      <c r="UXG15" s="114"/>
      <c r="UXH15" s="114"/>
      <c r="UXI15" s="114"/>
      <c r="UXJ15" s="114"/>
      <c r="UXK15" s="114"/>
      <c r="UXL15" s="114"/>
      <c r="UXM15" s="114"/>
      <c r="UXN15" s="114"/>
      <c r="UXO15" s="114"/>
      <c r="UXP15" s="114"/>
      <c r="UXQ15" s="114"/>
      <c r="UXR15" s="114"/>
      <c r="UXS15" s="114"/>
      <c r="UXT15" s="114"/>
      <c r="UXU15" s="114"/>
      <c r="UXV15" s="114"/>
      <c r="UXW15" s="114"/>
      <c r="UXX15" s="114"/>
      <c r="UXY15" s="114"/>
      <c r="UXZ15" s="114"/>
      <c r="UYA15" s="114"/>
      <c r="UYB15" s="114"/>
      <c r="UYC15" s="114"/>
      <c r="UYD15" s="114"/>
      <c r="UYE15" s="114"/>
      <c r="UYF15" s="114"/>
      <c r="UYG15" s="114"/>
      <c r="UYH15" s="114"/>
      <c r="UYI15" s="114"/>
      <c r="UYJ15" s="114"/>
      <c r="UYK15" s="114"/>
      <c r="UYL15" s="114"/>
      <c r="UYM15" s="114"/>
      <c r="UYN15" s="114"/>
      <c r="UYO15" s="114"/>
      <c r="UYP15" s="114"/>
      <c r="UYQ15" s="114"/>
      <c r="UYR15" s="114"/>
      <c r="UYS15" s="114"/>
      <c r="UYT15" s="114"/>
      <c r="UYU15" s="114"/>
      <c r="UYV15" s="114"/>
      <c r="UYW15" s="114"/>
      <c r="UYX15" s="114"/>
      <c r="UYY15" s="114"/>
      <c r="UYZ15" s="114"/>
      <c r="UZA15" s="114"/>
      <c r="UZB15" s="114"/>
      <c r="UZC15" s="114"/>
      <c r="UZD15" s="114"/>
      <c r="UZE15" s="114"/>
      <c r="UZF15" s="114"/>
      <c r="UZG15" s="114"/>
      <c r="UZH15" s="114"/>
      <c r="UZI15" s="114"/>
      <c r="UZJ15" s="114"/>
      <c r="UZK15" s="114"/>
      <c r="UZL15" s="114"/>
      <c r="UZM15" s="114"/>
      <c r="UZN15" s="114"/>
      <c r="UZO15" s="114"/>
      <c r="UZP15" s="114"/>
      <c r="UZQ15" s="114"/>
      <c r="UZR15" s="114"/>
      <c r="UZS15" s="114"/>
      <c r="UZT15" s="114"/>
      <c r="UZU15" s="114"/>
      <c r="UZV15" s="114"/>
      <c r="UZW15" s="114"/>
      <c r="UZX15" s="114"/>
      <c r="UZY15" s="114"/>
      <c r="UZZ15" s="114"/>
      <c r="VAA15" s="114"/>
      <c r="VAB15" s="114"/>
      <c r="VAC15" s="114"/>
      <c r="VAD15" s="114"/>
      <c r="VAE15" s="114"/>
      <c r="VAF15" s="114"/>
      <c r="VAG15" s="114"/>
      <c r="VAH15" s="114"/>
      <c r="VAI15" s="114"/>
      <c r="VAJ15" s="114"/>
      <c r="VAK15" s="114"/>
      <c r="VAL15" s="114"/>
      <c r="VAM15" s="114"/>
      <c r="VAN15" s="114"/>
      <c r="VAO15" s="114"/>
      <c r="VAP15" s="114"/>
      <c r="VAQ15" s="114"/>
      <c r="VAR15" s="114"/>
      <c r="VAS15" s="114"/>
      <c r="VAT15" s="114"/>
      <c r="VAU15" s="114"/>
      <c r="VAV15" s="114"/>
      <c r="VAW15" s="114"/>
      <c r="VAX15" s="114"/>
      <c r="VAY15" s="114"/>
      <c r="VAZ15" s="114"/>
      <c r="VBA15" s="114"/>
      <c r="VBB15" s="114"/>
      <c r="VBC15" s="114"/>
      <c r="VBD15" s="114"/>
      <c r="VBE15" s="114"/>
      <c r="VBF15" s="114"/>
      <c r="VBG15" s="114"/>
      <c r="VBH15" s="114"/>
      <c r="VBI15" s="114"/>
      <c r="VBJ15" s="114"/>
      <c r="VBK15" s="114"/>
      <c r="VBL15" s="114"/>
      <c r="VBM15" s="114"/>
      <c r="VBN15" s="114"/>
      <c r="VBO15" s="114"/>
      <c r="VBP15" s="114"/>
      <c r="VBQ15" s="114"/>
      <c r="VBR15" s="114"/>
      <c r="VBS15" s="114"/>
      <c r="VBT15" s="114"/>
      <c r="VBU15" s="114"/>
      <c r="VBV15" s="114"/>
      <c r="VBW15" s="114"/>
      <c r="VBX15" s="114"/>
      <c r="VBY15" s="114"/>
      <c r="VBZ15" s="114"/>
      <c r="VCA15" s="114"/>
      <c r="VCB15" s="114"/>
      <c r="VCC15" s="114"/>
      <c r="VCD15" s="114"/>
      <c r="VCE15" s="114"/>
      <c r="VCF15" s="114"/>
      <c r="VCG15" s="114"/>
      <c r="VCH15" s="114"/>
      <c r="VCI15" s="114"/>
      <c r="VCJ15" s="114"/>
      <c r="VCK15" s="114"/>
      <c r="VCL15" s="114"/>
      <c r="VCM15" s="114"/>
      <c r="VCN15" s="114"/>
      <c r="VCO15" s="114"/>
      <c r="VCP15" s="114"/>
      <c r="VCQ15" s="114"/>
      <c r="VCR15" s="114"/>
      <c r="VCS15" s="114"/>
      <c r="VCT15" s="114"/>
      <c r="VCU15" s="114"/>
      <c r="VCV15" s="114"/>
      <c r="VCW15" s="114"/>
      <c r="VCX15" s="114"/>
      <c r="VCY15" s="114"/>
      <c r="VCZ15" s="114"/>
      <c r="VDA15" s="114"/>
      <c r="VDB15" s="114"/>
      <c r="VDC15" s="114"/>
      <c r="VDD15" s="114"/>
      <c r="VDE15" s="114"/>
      <c r="VDF15" s="114"/>
      <c r="VDG15" s="114"/>
      <c r="VDH15" s="114"/>
      <c r="VDI15" s="114"/>
      <c r="VDJ15" s="114"/>
      <c r="VDK15" s="114"/>
      <c r="VDL15" s="114"/>
      <c r="VDM15" s="114"/>
      <c r="VDN15" s="114"/>
      <c r="VDO15" s="114"/>
      <c r="VDP15" s="114"/>
      <c r="VDQ15" s="114"/>
      <c r="VDR15" s="114"/>
      <c r="VDS15" s="114"/>
      <c r="VDT15" s="114"/>
      <c r="VDU15" s="114"/>
      <c r="VDV15" s="114"/>
      <c r="VDW15" s="114"/>
      <c r="VDX15" s="114"/>
      <c r="VDY15" s="114"/>
      <c r="VDZ15" s="114"/>
      <c r="VEA15" s="114"/>
      <c r="VEB15" s="114"/>
      <c r="VEC15" s="114"/>
      <c r="VED15" s="114"/>
      <c r="VEE15" s="114"/>
      <c r="VEF15" s="114"/>
      <c r="VEG15" s="114"/>
      <c r="VEH15" s="114"/>
      <c r="VEI15" s="114"/>
      <c r="VEJ15" s="114"/>
      <c r="VEK15" s="114"/>
      <c r="VEL15" s="114"/>
      <c r="VEM15" s="114"/>
      <c r="VEN15" s="114"/>
      <c r="VEO15" s="114"/>
      <c r="VEP15" s="114"/>
      <c r="VEQ15" s="114"/>
      <c r="VER15" s="114"/>
      <c r="VES15" s="114"/>
      <c r="VET15" s="114"/>
      <c r="VEU15" s="114"/>
      <c r="VEV15" s="114"/>
      <c r="VEW15" s="114"/>
      <c r="VEX15" s="114"/>
      <c r="VEY15" s="114"/>
      <c r="VEZ15" s="114"/>
      <c r="VFA15" s="114"/>
      <c r="VFB15" s="114"/>
      <c r="VFC15" s="114"/>
      <c r="VFD15" s="114"/>
      <c r="VFE15" s="114"/>
      <c r="VFF15" s="114"/>
      <c r="VFG15" s="114"/>
      <c r="VFH15" s="114"/>
      <c r="VFI15" s="114"/>
      <c r="VFJ15" s="114"/>
      <c r="VFK15" s="114"/>
      <c r="VFL15" s="114"/>
      <c r="VFM15" s="114"/>
      <c r="VFN15" s="114"/>
      <c r="VFO15" s="114"/>
      <c r="VFP15" s="114"/>
      <c r="VFQ15" s="114"/>
      <c r="VFR15" s="114"/>
      <c r="VFS15" s="114"/>
      <c r="VFT15" s="114"/>
      <c r="VFU15" s="114"/>
      <c r="VFV15" s="114"/>
      <c r="VFW15" s="114"/>
      <c r="VFX15" s="114"/>
      <c r="VFY15" s="114"/>
      <c r="VFZ15" s="114"/>
      <c r="VGA15" s="114"/>
      <c r="VGB15" s="114"/>
      <c r="VGC15" s="114"/>
      <c r="VGD15" s="114"/>
      <c r="VGE15" s="114"/>
      <c r="VGF15" s="114"/>
      <c r="VGG15" s="114"/>
      <c r="VGH15" s="114"/>
      <c r="VGI15" s="114"/>
      <c r="VGJ15" s="114"/>
      <c r="VGK15" s="114"/>
      <c r="VGL15" s="114"/>
      <c r="VGM15" s="114"/>
      <c r="VGN15" s="114"/>
      <c r="VGO15" s="114"/>
      <c r="VGP15" s="114"/>
      <c r="VGQ15" s="114"/>
      <c r="VGR15" s="114"/>
      <c r="VGS15" s="114"/>
      <c r="VGT15" s="114"/>
      <c r="VGU15" s="114"/>
      <c r="VGV15" s="114"/>
      <c r="VGW15" s="114"/>
      <c r="VGX15" s="114"/>
      <c r="VGY15" s="114"/>
      <c r="VGZ15" s="114"/>
      <c r="VHA15" s="114"/>
      <c r="VHB15" s="114"/>
      <c r="VHC15" s="114"/>
      <c r="VHD15" s="114"/>
      <c r="VHE15" s="114"/>
      <c r="VHF15" s="114"/>
      <c r="VHG15" s="114"/>
      <c r="VHH15" s="114"/>
      <c r="VHI15" s="114"/>
      <c r="VHJ15" s="114"/>
      <c r="VHK15" s="114"/>
      <c r="VHL15" s="114"/>
      <c r="VHM15" s="114"/>
      <c r="VHN15" s="114"/>
      <c r="VHO15" s="114"/>
      <c r="VHP15" s="114"/>
      <c r="VHQ15" s="114"/>
      <c r="VHR15" s="114"/>
      <c r="VHS15" s="114"/>
      <c r="VHT15" s="114"/>
      <c r="VHU15" s="114"/>
      <c r="VHV15" s="114"/>
      <c r="VHW15" s="114"/>
      <c r="VHX15" s="114"/>
      <c r="VHY15" s="114"/>
      <c r="VHZ15" s="114"/>
      <c r="VIA15" s="114"/>
      <c r="VIB15" s="114"/>
      <c r="VIC15" s="114"/>
      <c r="VID15" s="114"/>
      <c r="VIE15" s="114"/>
      <c r="VIF15" s="114"/>
      <c r="VIG15" s="114"/>
      <c r="VIH15" s="114"/>
      <c r="VII15" s="114"/>
      <c r="VIJ15" s="114"/>
      <c r="VIK15" s="114"/>
      <c r="VIL15" s="114"/>
      <c r="VIM15" s="114"/>
      <c r="VIN15" s="114"/>
      <c r="VIO15" s="114"/>
      <c r="VIP15" s="114"/>
      <c r="VIQ15" s="114"/>
      <c r="VIR15" s="114"/>
      <c r="VIS15" s="114"/>
      <c r="VIT15" s="114"/>
      <c r="VIU15" s="114"/>
      <c r="VIV15" s="114"/>
      <c r="VIW15" s="114"/>
      <c r="VIX15" s="114"/>
      <c r="VIY15" s="114"/>
      <c r="VIZ15" s="114"/>
      <c r="VJA15" s="114"/>
      <c r="VJB15" s="114"/>
      <c r="VJC15" s="114"/>
      <c r="VJD15" s="114"/>
      <c r="VJE15" s="114"/>
      <c r="VJF15" s="114"/>
      <c r="VJG15" s="114"/>
      <c r="VJH15" s="114"/>
      <c r="VJI15" s="114"/>
      <c r="VJJ15" s="114"/>
      <c r="VJK15" s="114"/>
      <c r="VJL15" s="114"/>
      <c r="VJM15" s="114"/>
      <c r="VJN15" s="114"/>
      <c r="VJO15" s="114"/>
      <c r="VJP15" s="114"/>
      <c r="VJQ15" s="114"/>
      <c r="VJR15" s="114"/>
      <c r="VJS15" s="114"/>
      <c r="VJT15" s="114"/>
      <c r="VJU15" s="114"/>
      <c r="VJV15" s="114"/>
      <c r="VJW15" s="114"/>
      <c r="VJX15" s="114"/>
      <c r="VJY15" s="114"/>
      <c r="VJZ15" s="114"/>
      <c r="VKA15" s="114"/>
      <c r="VKB15" s="114"/>
      <c r="VKC15" s="114"/>
      <c r="VKD15" s="114"/>
      <c r="VKE15" s="114"/>
      <c r="VKF15" s="114"/>
      <c r="VKG15" s="114"/>
      <c r="VKH15" s="114"/>
      <c r="VKI15" s="114"/>
      <c r="VKJ15" s="114"/>
      <c r="VKK15" s="114"/>
      <c r="VKL15" s="114"/>
      <c r="VKM15" s="114"/>
      <c r="VKN15" s="114"/>
      <c r="VKO15" s="114"/>
      <c r="VKP15" s="114"/>
      <c r="VKQ15" s="114"/>
      <c r="VKR15" s="114"/>
      <c r="VKS15" s="114"/>
      <c r="VKT15" s="114"/>
      <c r="VKU15" s="114"/>
      <c r="VKV15" s="114"/>
      <c r="VKW15" s="114"/>
      <c r="VKX15" s="114"/>
      <c r="VKY15" s="114"/>
      <c r="VKZ15" s="114"/>
      <c r="VLA15" s="114"/>
      <c r="VLB15" s="114"/>
      <c r="VLC15" s="114"/>
      <c r="VLD15" s="114"/>
      <c r="VLE15" s="114"/>
      <c r="VLF15" s="114"/>
      <c r="VLG15" s="114"/>
      <c r="VLH15" s="114"/>
      <c r="VLI15" s="114"/>
      <c r="VLJ15" s="114"/>
      <c r="VLK15" s="114"/>
      <c r="VLL15" s="114"/>
      <c r="VLM15" s="114"/>
      <c r="VLN15" s="114"/>
      <c r="VLO15" s="114"/>
      <c r="VLP15" s="114"/>
      <c r="VLQ15" s="114"/>
      <c r="VLR15" s="114"/>
      <c r="VLS15" s="114"/>
      <c r="VLT15" s="114"/>
      <c r="VLU15" s="114"/>
      <c r="VLV15" s="114"/>
      <c r="VLW15" s="114"/>
      <c r="VLX15" s="114"/>
      <c r="VLY15" s="114"/>
      <c r="VLZ15" s="114"/>
      <c r="VMA15" s="114"/>
      <c r="VMB15" s="114"/>
      <c r="VMC15" s="114"/>
      <c r="VMD15" s="114"/>
      <c r="VME15" s="114"/>
      <c r="VMF15" s="114"/>
      <c r="VMG15" s="114"/>
      <c r="VMH15" s="114"/>
      <c r="VMI15" s="114"/>
      <c r="VMJ15" s="114"/>
      <c r="VMK15" s="114"/>
      <c r="VML15" s="114"/>
      <c r="VMM15" s="114"/>
      <c r="VMN15" s="114"/>
      <c r="VMO15" s="114"/>
      <c r="VMP15" s="114"/>
      <c r="VMQ15" s="114"/>
      <c r="VMR15" s="114"/>
      <c r="VMS15" s="114"/>
      <c r="VMT15" s="114"/>
      <c r="VMU15" s="114"/>
      <c r="VMV15" s="114"/>
      <c r="VMW15" s="114"/>
      <c r="VMX15" s="114"/>
      <c r="VMY15" s="114"/>
      <c r="VMZ15" s="114"/>
      <c r="VNA15" s="114"/>
      <c r="VNB15" s="114"/>
      <c r="VNC15" s="114"/>
      <c r="VND15" s="114"/>
      <c r="VNE15" s="114"/>
      <c r="VNF15" s="114"/>
      <c r="VNG15" s="114"/>
      <c r="VNH15" s="114"/>
      <c r="VNI15" s="114"/>
      <c r="VNJ15" s="114"/>
      <c r="VNK15" s="114"/>
      <c r="VNL15" s="114"/>
      <c r="VNM15" s="114"/>
      <c r="VNN15" s="114"/>
      <c r="VNO15" s="114"/>
      <c r="VNP15" s="114"/>
      <c r="VNQ15" s="114"/>
      <c r="VNR15" s="114"/>
      <c r="VNS15" s="114"/>
      <c r="VNT15" s="114"/>
      <c r="VNU15" s="114"/>
      <c r="VNV15" s="114"/>
      <c r="VNW15" s="114"/>
      <c r="VNX15" s="114"/>
      <c r="VNY15" s="114"/>
      <c r="VNZ15" s="114"/>
      <c r="VOA15" s="114"/>
      <c r="VOB15" s="114"/>
      <c r="VOC15" s="114"/>
      <c r="VOD15" s="114"/>
      <c r="VOE15" s="114"/>
      <c r="VOF15" s="114"/>
      <c r="VOG15" s="114"/>
      <c r="VOH15" s="114"/>
      <c r="VOI15" s="114"/>
      <c r="VOJ15" s="114"/>
      <c r="VOK15" s="114"/>
      <c r="VOL15" s="114"/>
      <c r="VOM15" s="114"/>
      <c r="VON15" s="114"/>
      <c r="VOO15" s="114"/>
      <c r="VOP15" s="114"/>
      <c r="VOQ15" s="114"/>
      <c r="VOR15" s="114"/>
      <c r="VOS15" s="114"/>
      <c r="VOT15" s="114"/>
      <c r="VOU15" s="114"/>
      <c r="VOV15" s="114"/>
      <c r="VOW15" s="114"/>
      <c r="VOX15" s="114"/>
      <c r="VOY15" s="114"/>
      <c r="VOZ15" s="114"/>
      <c r="VPA15" s="114"/>
      <c r="VPB15" s="114"/>
      <c r="VPC15" s="114"/>
      <c r="VPD15" s="114"/>
      <c r="VPE15" s="114"/>
      <c r="VPF15" s="114"/>
      <c r="VPG15" s="114"/>
      <c r="VPH15" s="114"/>
      <c r="VPI15" s="114"/>
      <c r="VPJ15" s="114"/>
      <c r="VPK15" s="114"/>
      <c r="VPL15" s="114"/>
      <c r="VPM15" s="114"/>
      <c r="VPN15" s="114"/>
      <c r="VPO15" s="114"/>
      <c r="VPP15" s="114"/>
      <c r="VPQ15" s="114"/>
      <c r="VPR15" s="114"/>
      <c r="VPS15" s="114"/>
      <c r="VPT15" s="114"/>
      <c r="VPU15" s="114"/>
      <c r="VPV15" s="114"/>
      <c r="VPW15" s="114"/>
      <c r="VPX15" s="114"/>
      <c r="VPY15" s="114"/>
      <c r="VPZ15" s="114"/>
      <c r="VQA15" s="114"/>
      <c r="VQB15" s="114"/>
      <c r="VQC15" s="114"/>
      <c r="VQD15" s="114"/>
      <c r="VQE15" s="114"/>
      <c r="VQF15" s="114"/>
      <c r="VQG15" s="114"/>
      <c r="VQH15" s="114"/>
      <c r="VQI15" s="114"/>
      <c r="VQJ15" s="114"/>
      <c r="VQK15" s="114"/>
      <c r="VQL15" s="114"/>
      <c r="VQM15" s="114"/>
      <c r="VQN15" s="114"/>
      <c r="VQO15" s="114"/>
      <c r="VQP15" s="114"/>
      <c r="VQQ15" s="114"/>
      <c r="VQR15" s="114"/>
      <c r="VQS15" s="114"/>
      <c r="VQT15" s="114"/>
      <c r="VQU15" s="114"/>
      <c r="VQV15" s="114"/>
      <c r="VQW15" s="114"/>
      <c r="VQX15" s="114"/>
      <c r="VQY15" s="114"/>
      <c r="VQZ15" s="114"/>
      <c r="VRA15" s="114"/>
      <c r="VRB15" s="114"/>
      <c r="VRC15" s="114"/>
      <c r="VRD15" s="114"/>
      <c r="VRE15" s="114"/>
      <c r="VRF15" s="114"/>
      <c r="VRG15" s="114"/>
      <c r="VRH15" s="114"/>
      <c r="VRI15" s="114"/>
      <c r="VRJ15" s="114"/>
      <c r="VRK15" s="114"/>
      <c r="VRL15" s="114"/>
      <c r="VRM15" s="114"/>
      <c r="VRN15" s="114"/>
      <c r="VRO15" s="114"/>
      <c r="VRP15" s="114"/>
      <c r="VRQ15" s="114"/>
      <c r="VRR15" s="114"/>
      <c r="VRS15" s="114"/>
      <c r="VRT15" s="114"/>
      <c r="VRU15" s="114"/>
      <c r="VRV15" s="114"/>
      <c r="VRW15" s="114"/>
      <c r="VRX15" s="114"/>
      <c r="VRY15" s="114"/>
      <c r="VRZ15" s="114"/>
      <c r="VSA15" s="114"/>
      <c r="VSB15" s="114"/>
      <c r="VSC15" s="114"/>
      <c r="VSD15" s="114"/>
      <c r="VSE15" s="114"/>
      <c r="VSF15" s="114"/>
      <c r="VSG15" s="114"/>
      <c r="VSH15" s="114"/>
      <c r="VSI15" s="114"/>
      <c r="VSJ15" s="114"/>
      <c r="VSK15" s="114"/>
      <c r="VSL15" s="114"/>
      <c r="VSM15" s="114"/>
      <c r="VSN15" s="114"/>
      <c r="VSO15" s="114"/>
      <c r="VSP15" s="114"/>
      <c r="VSQ15" s="114"/>
      <c r="VSR15" s="114"/>
      <c r="VSS15" s="114"/>
      <c r="VST15" s="114"/>
      <c r="VSU15" s="114"/>
      <c r="VSV15" s="114"/>
      <c r="VSW15" s="114"/>
      <c r="VSX15" s="114"/>
      <c r="VSY15" s="114"/>
      <c r="VSZ15" s="114"/>
      <c r="VTA15" s="114"/>
      <c r="VTB15" s="114"/>
      <c r="VTC15" s="114"/>
      <c r="VTD15" s="114"/>
      <c r="VTE15" s="114"/>
      <c r="VTF15" s="114"/>
      <c r="VTG15" s="114"/>
      <c r="VTH15" s="114"/>
      <c r="VTI15" s="114"/>
      <c r="VTJ15" s="114"/>
      <c r="VTK15" s="114"/>
      <c r="VTL15" s="114"/>
      <c r="VTM15" s="114"/>
      <c r="VTN15" s="114"/>
      <c r="VTO15" s="114"/>
      <c r="VTP15" s="114"/>
      <c r="VTQ15" s="114"/>
      <c r="VTR15" s="114"/>
      <c r="VTS15" s="114"/>
      <c r="VTT15" s="114"/>
      <c r="VTU15" s="114"/>
      <c r="VTV15" s="114"/>
      <c r="VTW15" s="114"/>
      <c r="VTX15" s="114"/>
      <c r="VTY15" s="114"/>
      <c r="VTZ15" s="114"/>
      <c r="VUA15" s="114"/>
      <c r="VUB15" s="114"/>
      <c r="VUC15" s="114"/>
      <c r="VUD15" s="114"/>
      <c r="VUE15" s="114"/>
      <c r="VUF15" s="114"/>
      <c r="VUG15" s="114"/>
      <c r="VUH15" s="114"/>
      <c r="VUI15" s="114"/>
      <c r="VUJ15" s="114"/>
      <c r="VUK15" s="114"/>
      <c r="VUL15" s="114"/>
      <c r="VUM15" s="114"/>
      <c r="VUN15" s="114"/>
      <c r="VUO15" s="114"/>
      <c r="VUP15" s="114"/>
      <c r="VUQ15" s="114"/>
      <c r="VUR15" s="114"/>
      <c r="VUS15" s="114"/>
      <c r="VUT15" s="114"/>
      <c r="VUU15" s="114"/>
      <c r="VUV15" s="114"/>
      <c r="VUW15" s="114"/>
      <c r="VUX15" s="114"/>
      <c r="VUY15" s="114"/>
      <c r="VUZ15" s="114"/>
      <c r="VVA15" s="114"/>
      <c r="VVB15" s="114"/>
      <c r="VVC15" s="114"/>
      <c r="VVD15" s="114"/>
      <c r="VVE15" s="114"/>
      <c r="VVF15" s="114"/>
      <c r="VVG15" s="114"/>
      <c r="VVH15" s="114"/>
      <c r="VVI15" s="114"/>
      <c r="VVJ15" s="114"/>
      <c r="VVK15" s="114"/>
      <c r="VVL15" s="114"/>
      <c r="VVM15" s="114"/>
      <c r="VVN15" s="114"/>
      <c r="VVO15" s="114"/>
      <c r="VVP15" s="114"/>
      <c r="VVQ15" s="114"/>
      <c r="VVR15" s="114"/>
      <c r="VVS15" s="114"/>
      <c r="VVT15" s="114"/>
      <c r="VVU15" s="114"/>
      <c r="VVV15" s="114"/>
      <c r="VVW15" s="114"/>
      <c r="VVX15" s="114"/>
      <c r="VVY15" s="114"/>
      <c r="VVZ15" s="114"/>
      <c r="VWA15" s="114"/>
      <c r="VWB15" s="114"/>
      <c r="VWC15" s="114"/>
      <c r="VWD15" s="114"/>
      <c r="VWE15" s="114"/>
      <c r="VWF15" s="114"/>
      <c r="VWG15" s="114"/>
      <c r="VWH15" s="114"/>
      <c r="VWI15" s="114"/>
      <c r="VWJ15" s="114"/>
      <c r="VWK15" s="114"/>
      <c r="VWL15" s="114"/>
      <c r="VWM15" s="114"/>
      <c r="VWN15" s="114"/>
      <c r="VWO15" s="114"/>
      <c r="VWP15" s="114"/>
      <c r="VWQ15" s="114"/>
      <c r="VWR15" s="114"/>
      <c r="VWS15" s="114"/>
      <c r="VWT15" s="114"/>
      <c r="VWU15" s="114"/>
      <c r="VWV15" s="114"/>
      <c r="VWW15" s="114"/>
      <c r="VWX15" s="114"/>
      <c r="VWY15" s="114"/>
      <c r="VWZ15" s="114"/>
      <c r="VXA15" s="114"/>
      <c r="VXB15" s="114"/>
      <c r="VXC15" s="114"/>
      <c r="VXD15" s="114"/>
      <c r="VXE15" s="114"/>
      <c r="VXF15" s="114"/>
      <c r="VXG15" s="114"/>
      <c r="VXH15" s="114"/>
      <c r="VXI15" s="114"/>
      <c r="VXJ15" s="114"/>
      <c r="VXK15" s="114"/>
      <c r="VXL15" s="114"/>
      <c r="VXM15" s="114"/>
      <c r="VXN15" s="114"/>
      <c r="VXO15" s="114"/>
      <c r="VXP15" s="114"/>
      <c r="VXQ15" s="114"/>
      <c r="VXR15" s="114"/>
      <c r="VXS15" s="114"/>
      <c r="VXT15" s="114"/>
      <c r="VXU15" s="114"/>
      <c r="VXV15" s="114"/>
      <c r="VXW15" s="114"/>
      <c r="VXX15" s="114"/>
      <c r="VXY15" s="114"/>
      <c r="VXZ15" s="114"/>
      <c r="VYA15" s="114"/>
      <c r="VYB15" s="114"/>
      <c r="VYC15" s="114"/>
      <c r="VYD15" s="114"/>
      <c r="VYE15" s="114"/>
      <c r="VYF15" s="114"/>
      <c r="VYG15" s="114"/>
      <c r="VYH15" s="114"/>
      <c r="VYI15" s="114"/>
      <c r="VYJ15" s="114"/>
      <c r="VYK15" s="114"/>
      <c r="VYL15" s="114"/>
      <c r="VYM15" s="114"/>
      <c r="VYN15" s="114"/>
      <c r="VYO15" s="114"/>
      <c r="VYP15" s="114"/>
      <c r="VYQ15" s="114"/>
      <c r="VYR15" s="114"/>
      <c r="VYS15" s="114"/>
      <c r="VYT15" s="114"/>
      <c r="VYU15" s="114"/>
      <c r="VYV15" s="114"/>
      <c r="VYW15" s="114"/>
      <c r="VYX15" s="114"/>
      <c r="VYY15" s="114"/>
      <c r="VYZ15" s="114"/>
      <c r="VZA15" s="114"/>
      <c r="VZB15" s="114"/>
      <c r="VZC15" s="114"/>
      <c r="VZD15" s="114"/>
      <c r="VZE15" s="114"/>
      <c r="VZF15" s="114"/>
      <c r="VZG15" s="114"/>
      <c r="VZH15" s="114"/>
      <c r="VZI15" s="114"/>
      <c r="VZJ15" s="114"/>
      <c r="VZK15" s="114"/>
      <c r="VZL15" s="114"/>
      <c r="VZM15" s="114"/>
      <c r="VZN15" s="114"/>
      <c r="VZO15" s="114"/>
      <c r="VZP15" s="114"/>
      <c r="VZQ15" s="114"/>
      <c r="VZR15" s="114"/>
      <c r="VZS15" s="114"/>
      <c r="VZT15" s="114"/>
      <c r="VZU15" s="114"/>
      <c r="VZV15" s="114"/>
      <c r="VZW15" s="114"/>
      <c r="VZX15" s="114"/>
      <c r="VZY15" s="114"/>
      <c r="VZZ15" s="114"/>
      <c r="WAA15" s="114"/>
      <c r="WAB15" s="114"/>
      <c r="WAC15" s="114"/>
      <c r="WAD15" s="114"/>
      <c r="WAE15" s="114"/>
      <c r="WAF15" s="114"/>
      <c r="WAG15" s="114"/>
      <c r="WAH15" s="114"/>
      <c r="WAI15" s="114"/>
      <c r="WAJ15" s="114"/>
      <c r="WAK15" s="114"/>
      <c r="WAL15" s="114"/>
      <c r="WAM15" s="114"/>
      <c r="WAN15" s="114"/>
      <c r="WAO15" s="114"/>
      <c r="WAP15" s="114"/>
      <c r="WAQ15" s="114"/>
      <c r="WAR15" s="114"/>
      <c r="WAS15" s="114"/>
      <c r="WAT15" s="114"/>
      <c r="WAU15" s="114"/>
      <c r="WAV15" s="114"/>
      <c r="WAW15" s="114"/>
      <c r="WAX15" s="114"/>
      <c r="WAY15" s="114"/>
      <c r="WAZ15" s="114"/>
      <c r="WBA15" s="114"/>
      <c r="WBB15" s="114"/>
      <c r="WBC15" s="114"/>
      <c r="WBD15" s="114"/>
      <c r="WBE15" s="114"/>
      <c r="WBF15" s="114"/>
      <c r="WBG15" s="114"/>
      <c r="WBH15" s="114"/>
      <c r="WBI15" s="114"/>
      <c r="WBJ15" s="114"/>
      <c r="WBK15" s="114"/>
      <c r="WBL15" s="114"/>
      <c r="WBM15" s="114"/>
      <c r="WBN15" s="114"/>
      <c r="WBO15" s="114"/>
      <c r="WBP15" s="114"/>
      <c r="WBQ15" s="114"/>
      <c r="WBR15" s="114"/>
      <c r="WBS15" s="114"/>
      <c r="WBT15" s="114"/>
      <c r="WBU15" s="114"/>
      <c r="WBV15" s="114"/>
      <c r="WBW15" s="114"/>
      <c r="WBX15" s="114"/>
      <c r="WBY15" s="114"/>
      <c r="WBZ15" s="114"/>
      <c r="WCA15" s="114"/>
      <c r="WCB15" s="114"/>
      <c r="WCC15" s="114"/>
      <c r="WCD15" s="114"/>
      <c r="WCE15" s="114"/>
      <c r="WCF15" s="114"/>
      <c r="WCG15" s="114"/>
      <c r="WCH15" s="114"/>
      <c r="WCI15" s="114"/>
      <c r="WCJ15" s="114"/>
      <c r="WCK15" s="114"/>
      <c r="WCL15" s="114"/>
      <c r="WCM15" s="114"/>
      <c r="WCN15" s="114"/>
      <c r="WCO15" s="114"/>
      <c r="WCP15" s="114"/>
      <c r="WCQ15" s="114"/>
      <c r="WCR15" s="114"/>
      <c r="WCS15" s="114"/>
      <c r="WCT15" s="114"/>
      <c r="WCU15" s="114"/>
      <c r="WCV15" s="114"/>
      <c r="WCW15" s="114"/>
      <c r="WCX15" s="114"/>
      <c r="WCY15" s="114"/>
      <c r="WCZ15" s="114"/>
      <c r="WDA15" s="114"/>
      <c r="WDB15" s="114"/>
      <c r="WDC15" s="114"/>
      <c r="WDD15" s="114"/>
      <c r="WDE15" s="114"/>
      <c r="WDF15" s="114"/>
      <c r="WDG15" s="114"/>
      <c r="WDH15" s="114"/>
      <c r="WDI15" s="114"/>
      <c r="WDJ15" s="114"/>
      <c r="WDK15" s="114"/>
      <c r="WDL15" s="114"/>
      <c r="WDM15" s="114"/>
      <c r="WDN15" s="114"/>
      <c r="WDO15" s="114"/>
      <c r="WDP15" s="114"/>
      <c r="WDQ15" s="114"/>
      <c r="WDR15" s="114"/>
      <c r="WDS15" s="114"/>
      <c r="WDT15" s="114"/>
      <c r="WDU15" s="114"/>
      <c r="WDV15" s="114"/>
      <c r="WDW15" s="114"/>
      <c r="WDX15" s="114"/>
      <c r="WDY15" s="114"/>
      <c r="WDZ15" s="114"/>
      <c r="WEA15" s="114"/>
      <c r="WEB15" s="114"/>
      <c r="WEC15" s="114"/>
      <c r="WED15" s="114"/>
      <c r="WEE15" s="114"/>
      <c r="WEF15" s="114"/>
      <c r="WEG15" s="114"/>
      <c r="WEH15" s="114"/>
      <c r="WEI15" s="114"/>
      <c r="WEJ15" s="114"/>
      <c r="WEK15" s="114"/>
      <c r="WEL15" s="114"/>
      <c r="WEM15" s="114"/>
      <c r="WEN15" s="114"/>
      <c r="WEO15" s="114"/>
      <c r="WEP15" s="114"/>
      <c r="WEQ15" s="114"/>
      <c r="WER15" s="114"/>
      <c r="WES15" s="114"/>
      <c r="WET15" s="114"/>
      <c r="WEU15" s="114"/>
      <c r="WEV15" s="114"/>
      <c r="WEW15" s="114"/>
      <c r="WEX15" s="114"/>
      <c r="WEY15" s="114"/>
      <c r="WEZ15" s="114"/>
      <c r="WFA15" s="114"/>
      <c r="WFB15" s="114"/>
      <c r="WFC15" s="114"/>
      <c r="WFD15" s="114"/>
      <c r="WFE15" s="114"/>
      <c r="WFF15" s="114"/>
      <c r="WFG15" s="114"/>
      <c r="WFH15" s="114"/>
      <c r="WFI15" s="114"/>
      <c r="WFJ15" s="114"/>
      <c r="WFK15" s="114"/>
      <c r="WFL15" s="114"/>
      <c r="WFM15" s="114"/>
      <c r="WFN15" s="114"/>
      <c r="WFO15" s="114"/>
      <c r="WFP15" s="114"/>
      <c r="WFQ15" s="114"/>
      <c r="WFR15" s="114"/>
      <c r="WFS15" s="114"/>
      <c r="WFT15" s="114"/>
      <c r="WFU15" s="114"/>
      <c r="WFV15" s="114"/>
      <c r="WFW15" s="114"/>
      <c r="WFX15" s="114"/>
      <c r="WFY15" s="114"/>
      <c r="WFZ15" s="114"/>
      <c r="WGA15" s="114"/>
      <c r="WGB15" s="114"/>
      <c r="WGC15" s="114"/>
      <c r="WGD15" s="114"/>
      <c r="WGE15" s="114"/>
      <c r="WGF15" s="114"/>
      <c r="WGG15" s="114"/>
      <c r="WGH15" s="114"/>
      <c r="WGI15" s="114"/>
      <c r="WGJ15" s="114"/>
      <c r="WGK15" s="114"/>
      <c r="WGL15" s="114"/>
      <c r="WGM15" s="114"/>
      <c r="WGN15" s="114"/>
      <c r="WGO15" s="114"/>
      <c r="WGP15" s="114"/>
      <c r="WGQ15" s="114"/>
      <c r="WGR15" s="114"/>
      <c r="WGS15" s="114"/>
      <c r="WGT15" s="114"/>
      <c r="WGU15" s="114"/>
      <c r="WGV15" s="114"/>
      <c r="WGW15" s="114"/>
      <c r="WGX15" s="114"/>
      <c r="WGY15" s="114"/>
      <c r="WGZ15" s="114"/>
      <c r="WHA15" s="114"/>
      <c r="WHB15" s="114"/>
      <c r="WHC15" s="114"/>
      <c r="WHD15" s="114"/>
      <c r="WHE15" s="114"/>
      <c r="WHF15" s="114"/>
      <c r="WHG15" s="114"/>
      <c r="WHH15" s="114"/>
      <c r="WHI15" s="114"/>
      <c r="WHJ15" s="114"/>
      <c r="WHK15" s="114"/>
      <c r="WHL15" s="114"/>
      <c r="WHM15" s="114"/>
      <c r="WHN15" s="114"/>
      <c r="WHO15" s="114"/>
      <c r="WHP15" s="114"/>
      <c r="WHQ15" s="114"/>
      <c r="WHR15" s="114"/>
      <c r="WHS15" s="114"/>
      <c r="WHT15" s="114"/>
      <c r="WHU15" s="114"/>
      <c r="WHV15" s="114"/>
      <c r="WHW15" s="114"/>
      <c r="WHX15" s="114"/>
      <c r="WHY15" s="114"/>
      <c r="WHZ15" s="114"/>
      <c r="WIA15" s="114"/>
      <c r="WIB15" s="114"/>
      <c r="WIC15" s="114"/>
      <c r="WID15" s="114"/>
      <c r="WIE15" s="114"/>
      <c r="WIF15" s="114"/>
      <c r="WIG15" s="114"/>
      <c r="WIH15" s="114"/>
      <c r="WII15" s="114"/>
      <c r="WIJ15" s="114"/>
      <c r="WIK15" s="114"/>
      <c r="WIL15" s="114"/>
      <c r="WIM15" s="114"/>
      <c r="WIN15" s="114"/>
      <c r="WIO15" s="114"/>
      <c r="WIP15" s="114"/>
      <c r="WIQ15" s="114"/>
      <c r="WIR15" s="114"/>
      <c r="WIS15" s="114"/>
      <c r="WIT15" s="114"/>
      <c r="WIU15" s="114"/>
      <c r="WIV15" s="114"/>
      <c r="WIW15" s="114"/>
      <c r="WIX15" s="114"/>
      <c r="WIY15" s="114"/>
      <c r="WIZ15" s="114"/>
      <c r="WJA15" s="114"/>
      <c r="WJB15" s="114"/>
      <c r="WJC15" s="114"/>
      <c r="WJD15" s="114"/>
      <c r="WJE15" s="114"/>
      <c r="WJF15" s="114"/>
      <c r="WJG15" s="114"/>
      <c r="WJH15" s="114"/>
      <c r="WJI15" s="114"/>
      <c r="WJJ15" s="114"/>
      <c r="WJK15" s="114"/>
      <c r="WJL15" s="114"/>
      <c r="WJM15" s="114"/>
      <c r="WJN15" s="114"/>
      <c r="WJO15" s="114"/>
      <c r="WJP15" s="114"/>
      <c r="WJQ15" s="114"/>
      <c r="WJR15" s="114"/>
      <c r="WJS15" s="114"/>
      <c r="WJT15" s="114"/>
      <c r="WJU15" s="114"/>
      <c r="WJV15" s="114"/>
      <c r="WJW15" s="114"/>
      <c r="WJX15" s="114"/>
      <c r="WJY15" s="114"/>
      <c r="WJZ15" s="114"/>
      <c r="WKA15" s="114"/>
      <c r="WKB15" s="114"/>
      <c r="WKC15" s="114"/>
      <c r="WKD15" s="114"/>
      <c r="WKE15" s="114"/>
      <c r="WKF15" s="114"/>
      <c r="WKG15" s="114"/>
      <c r="WKH15" s="114"/>
      <c r="WKI15" s="114"/>
      <c r="WKJ15" s="114"/>
      <c r="WKK15" s="114"/>
      <c r="WKL15" s="114"/>
      <c r="WKM15" s="114"/>
      <c r="WKN15" s="114"/>
      <c r="WKO15" s="114"/>
      <c r="WKP15" s="114"/>
      <c r="WKQ15" s="114"/>
      <c r="WKR15" s="114"/>
      <c r="WKS15" s="114"/>
      <c r="WKT15" s="114"/>
      <c r="WKU15" s="114"/>
      <c r="WKV15" s="114"/>
      <c r="WKW15" s="114"/>
      <c r="WKX15" s="114"/>
      <c r="WKY15" s="114"/>
      <c r="WKZ15" s="114"/>
      <c r="WLA15" s="114"/>
      <c r="WLB15" s="114"/>
      <c r="WLC15" s="114"/>
      <c r="WLD15" s="114"/>
      <c r="WLE15" s="114"/>
      <c r="WLF15" s="114"/>
      <c r="WLG15" s="114"/>
      <c r="WLH15" s="114"/>
      <c r="WLI15" s="114"/>
      <c r="WLJ15" s="114"/>
      <c r="WLK15" s="114"/>
      <c r="WLL15" s="114"/>
      <c r="WLM15" s="114"/>
      <c r="WLN15" s="114"/>
      <c r="WLO15" s="114"/>
      <c r="WLP15" s="114"/>
      <c r="WLQ15" s="114"/>
      <c r="WLR15" s="114"/>
      <c r="WLS15" s="114"/>
      <c r="WLT15" s="114"/>
      <c r="WLU15" s="114"/>
      <c r="WLV15" s="114"/>
      <c r="WLW15" s="114"/>
      <c r="WLX15" s="114"/>
      <c r="WLY15" s="114"/>
      <c r="WLZ15" s="114"/>
      <c r="WMA15" s="114"/>
      <c r="WMB15" s="114"/>
      <c r="WMC15" s="114"/>
      <c r="WMD15" s="114"/>
      <c r="WME15" s="114"/>
      <c r="WMF15" s="114"/>
      <c r="WMG15" s="114"/>
      <c r="WMH15" s="114"/>
      <c r="WMI15" s="114"/>
      <c r="WMJ15" s="114"/>
      <c r="WMK15" s="114"/>
      <c r="WML15" s="114"/>
      <c r="WMM15" s="114"/>
      <c r="WMN15" s="114"/>
      <c r="WMO15" s="114"/>
      <c r="WMP15" s="114"/>
      <c r="WMQ15" s="114"/>
      <c r="WMR15" s="114"/>
      <c r="WMS15" s="114"/>
      <c r="WMT15" s="114"/>
      <c r="WMU15" s="114"/>
      <c r="WMV15" s="114"/>
      <c r="WMW15" s="114"/>
      <c r="WMX15" s="114"/>
      <c r="WMY15" s="114"/>
      <c r="WMZ15" s="114"/>
      <c r="WNA15" s="114"/>
      <c r="WNB15" s="114"/>
      <c r="WNC15" s="114"/>
      <c r="WND15" s="114"/>
      <c r="WNE15" s="114"/>
      <c r="WNF15" s="114"/>
      <c r="WNG15" s="114"/>
      <c r="WNH15" s="114"/>
      <c r="WNI15" s="114"/>
      <c r="WNJ15" s="114"/>
      <c r="WNK15" s="114"/>
      <c r="WNL15" s="114"/>
      <c r="WNM15" s="114"/>
      <c r="WNN15" s="114"/>
      <c r="WNO15" s="114"/>
      <c r="WNP15" s="114"/>
      <c r="WNQ15" s="114"/>
      <c r="WNR15" s="114"/>
      <c r="WNS15" s="114"/>
      <c r="WNT15" s="114"/>
      <c r="WNU15" s="114"/>
      <c r="WNV15" s="114"/>
      <c r="WNW15" s="114"/>
      <c r="WNX15" s="114"/>
      <c r="WNY15" s="114"/>
      <c r="WNZ15" s="114"/>
      <c r="WOA15" s="114"/>
      <c r="WOB15" s="114"/>
      <c r="WOC15" s="114"/>
      <c r="WOD15" s="114"/>
      <c r="WOE15" s="114"/>
      <c r="WOF15" s="114"/>
      <c r="WOG15" s="114"/>
      <c r="WOH15" s="114"/>
      <c r="WOI15" s="114"/>
      <c r="WOJ15" s="114"/>
      <c r="WOK15" s="114"/>
      <c r="WOL15" s="114"/>
      <c r="WOM15" s="114"/>
      <c r="WON15" s="114"/>
      <c r="WOO15" s="114"/>
      <c r="WOP15" s="114"/>
      <c r="WOQ15" s="114"/>
      <c r="WOR15" s="114"/>
      <c r="WOS15" s="114"/>
      <c r="WOT15" s="114"/>
      <c r="WOU15" s="114"/>
      <c r="WOV15" s="114"/>
      <c r="WOW15" s="114"/>
      <c r="WOX15" s="114"/>
      <c r="WOY15" s="114"/>
      <c r="WOZ15" s="114"/>
      <c r="WPA15" s="114"/>
      <c r="WPB15" s="114"/>
      <c r="WPC15" s="114"/>
      <c r="WPD15" s="114"/>
      <c r="WPE15" s="114"/>
      <c r="WPF15" s="114"/>
      <c r="WPG15" s="114"/>
      <c r="WPH15" s="114"/>
      <c r="WPI15" s="114"/>
      <c r="WPJ15" s="114"/>
      <c r="WPK15" s="114"/>
      <c r="WPL15" s="114"/>
      <c r="WPM15" s="114"/>
      <c r="WPN15" s="114"/>
      <c r="WPO15" s="114"/>
      <c r="WPP15" s="114"/>
      <c r="WPQ15" s="114"/>
      <c r="WPR15" s="114"/>
      <c r="WPS15" s="114"/>
      <c r="WPT15" s="114"/>
      <c r="WPU15" s="114"/>
      <c r="WPV15" s="114"/>
      <c r="WPW15" s="114"/>
      <c r="WPX15" s="114"/>
      <c r="WPY15" s="114"/>
      <c r="WPZ15" s="114"/>
      <c r="WQA15" s="114"/>
      <c r="WQB15" s="114"/>
      <c r="WQC15" s="114"/>
      <c r="WQD15" s="114"/>
      <c r="WQE15" s="114"/>
      <c r="WQF15" s="114"/>
      <c r="WQG15" s="114"/>
      <c r="WQH15" s="114"/>
      <c r="WQI15" s="114"/>
      <c r="WQJ15" s="114"/>
      <c r="WQK15" s="114"/>
      <c r="WQL15" s="114"/>
      <c r="WQM15" s="114"/>
      <c r="WQN15" s="114"/>
      <c r="WQO15" s="114"/>
      <c r="WQP15" s="114"/>
      <c r="WQQ15" s="114"/>
      <c r="WQR15" s="114"/>
      <c r="WQS15" s="114"/>
      <c r="WQT15" s="114"/>
      <c r="WQU15" s="114"/>
      <c r="WQV15" s="114"/>
      <c r="WQW15" s="114"/>
      <c r="WQX15" s="114"/>
      <c r="WQY15" s="114"/>
      <c r="WQZ15" s="114"/>
      <c r="WRA15" s="114"/>
      <c r="WRB15" s="114"/>
      <c r="WRC15" s="114"/>
      <c r="WRD15" s="114"/>
      <c r="WRE15" s="114"/>
      <c r="WRF15" s="114"/>
      <c r="WRG15" s="114"/>
      <c r="WRH15" s="114"/>
      <c r="WRI15" s="114"/>
      <c r="WRJ15" s="114"/>
      <c r="WRK15" s="114"/>
      <c r="WRL15" s="114"/>
      <c r="WRM15" s="114"/>
      <c r="WRN15" s="114"/>
      <c r="WRO15" s="114"/>
      <c r="WRP15" s="114"/>
      <c r="WRQ15" s="114"/>
      <c r="WRR15" s="114"/>
      <c r="WRS15" s="114"/>
      <c r="WRT15" s="114"/>
      <c r="WRU15" s="114"/>
      <c r="WRV15" s="114"/>
      <c r="WRW15" s="114"/>
      <c r="WRX15" s="114"/>
      <c r="WRY15" s="114"/>
      <c r="WRZ15" s="114"/>
      <c r="WSA15" s="114"/>
      <c r="WSB15" s="114"/>
      <c r="WSC15" s="114"/>
      <c r="WSD15" s="114"/>
      <c r="WSE15" s="114"/>
      <c r="WSF15" s="114"/>
      <c r="WSG15" s="114"/>
      <c r="WSH15" s="114"/>
      <c r="WSI15" s="114"/>
      <c r="WSJ15" s="114"/>
      <c r="WSK15" s="114"/>
      <c r="WSL15" s="114"/>
      <c r="WSM15" s="114"/>
      <c r="WSN15" s="114"/>
      <c r="WSO15" s="114"/>
      <c r="WSP15" s="114"/>
      <c r="WSQ15" s="114"/>
      <c r="WSR15" s="114"/>
      <c r="WSS15" s="114"/>
      <c r="WST15" s="114"/>
      <c r="WSU15" s="114"/>
      <c r="WSV15" s="114"/>
      <c r="WSW15" s="114"/>
      <c r="WSX15" s="114"/>
      <c r="WSY15" s="114"/>
      <c r="WSZ15" s="114"/>
      <c r="WTA15" s="114"/>
      <c r="WTB15" s="114"/>
      <c r="WTC15" s="114"/>
      <c r="WTD15" s="114"/>
      <c r="WTE15" s="114"/>
      <c r="WTF15" s="114"/>
      <c r="WTG15" s="114"/>
      <c r="WTH15" s="114"/>
      <c r="WTI15" s="114"/>
      <c r="WTJ15" s="114"/>
      <c r="WTK15" s="114"/>
      <c r="WTL15" s="114"/>
      <c r="WTM15" s="114"/>
      <c r="WTN15" s="114"/>
      <c r="WTO15" s="114"/>
      <c r="WTP15" s="114"/>
      <c r="WTQ15" s="114"/>
      <c r="WTR15" s="114"/>
      <c r="WTS15" s="114"/>
      <c r="WTT15" s="114"/>
      <c r="WTU15" s="114"/>
      <c r="WTV15" s="114"/>
      <c r="WTW15" s="114"/>
      <c r="WTX15" s="114"/>
      <c r="WTY15" s="114"/>
      <c r="WTZ15" s="114"/>
      <c r="WUA15" s="114"/>
      <c r="WUB15" s="114"/>
      <c r="WUC15" s="114"/>
      <c r="WUD15" s="114"/>
      <c r="WUE15" s="114"/>
      <c r="WUF15" s="114"/>
      <c r="WUG15" s="114"/>
      <c r="WUH15" s="114"/>
      <c r="WUI15" s="114"/>
      <c r="WUJ15" s="114"/>
      <c r="WUK15" s="114"/>
      <c r="WUL15" s="114"/>
      <c r="WUM15" s="114"/>
      <c r="WUN15" s="114"/>
      <c r="WUO15" s="114"/>
      <c r="WUP15" s="114"/>
      <c r="WUQ15" s="114"/>
      <c r="WUR15" s="114"/>
      <c r="WUS15" s="114"/>
      <c r="WUT15" s="114"/>
      <c r="WUU15" s="114"/>
      <c r="WUV15" s="114"/>
      <c r="WUW15" s="114"/>
      <c r="WUX15" s="114"/>
      <c r="WUY15" s="114"/>
      <c r="WUZ15" s="114"/>
      <c r="WVA15" s="114"/>
      <c r="WVB15" s="114"/>
      <c r="WVC15" s="114"/>
      <c r="WVD15" s="114"/>
      <c r="WVE15" s="114"/>
      <c r="WVF15" s="114"/>
      <c r="WVG15" s="114"/>
      <c r="WVH15" s="114"/>
      <c r="WVI15" s="114"/>
      <c r="WVJ15" s="114"/>
      <c r="WVK15" s="114"/>
      <c r="WVL15" s="114"/>
      <c r="WVM15" s="114"/>
      <c r="WVN15" s="114"/>
      <c r="WVO15" s="114"/>
      <c r="WVP15" s="114"/>
      <c r="WVQ15" s="114"/>
      <c r="WVR15" s="114"/>
      <c r="WVS15" s="114"/>
      <c r="WVT15" s="114"/>
      <c r="WVU15" s="114"/>
      <c r="WVV15" s="114"/>
      <c r="WVW15" s="114"/>
      <c r="WVX15" s="114"/>
      <c r="WVY15" s="114"/>
      <c r="WVZ15" s="114"/>
      <c r="WWA15" s="114"/>
      <c r="WWB15" s="114"/>
      <c r="WWC15" s="114"/>
      <c r="WWD15" s="114"/>
      <c r="WWE15" s="114"/>
      <c r="WWF15" s="114"/>
      <c r="WWG15" s="114"/>
      <c r="WWH15" s="114"/>
      <c r="WWI15" s="114"/>
      <c r="WWJ15" s="114"/>
      <c r="WWK15" s="114"/>
      <c r="WWL15" s="114"/>
      <c r="WWM15" s="114"/>
      <c r="WWN15" s="114"/>
      <c r="WWO15" s="114"/>
      <c r="WWP15" s="114"/>
      <c r="WWQ15" s="114"/>
      <c r="WWR15" s="114"/>
      <c r="WWS15" s="114"/>
      <c r="WWT15" s="114"/>
      <c r="WWU15" s="114"/>
      <c r="WWV15" s="114"/>
      <c r="WWW15" s="114"/>
      <c r="WWX15" s="114"/>
      <c r="WWY15" s="114"/>
      <c r="WWZ15" s="114"/>
      <c r="WXA15" s="114"/>
      <c r="WXB15" s="114"/>
      <c r="WXC15" s="114"/>
      <c r="WXD15" s="114"/>
      <c r="WXE15" s="114"/>
      <c r="WXF15" s="114"/>
      <c r="WXG15" s="114"/>
      <c r="WXH15" s="114"/>
      <c r="WXI15" s="114"/>
      <c r="WXJ15" s="114"/>
      <c r="WXK15" s="114"/>
      <c r="WXL15" s="114"/>
      <c r="WXM15" s="114"/>
      <c r="WXN15" s="114"/>
      <c r="WXO15" s="114"/>
      <c r="WXP15" s="114"/>
      <c r="WXQ15" s="114"/>
      <c r="WXR15" s="114"/>
      <c r="WXS15" s="114"/>
      <c r="WXT15" s="114"/>
      <c r="WXU15" s="114"/>
      <c r="WXV15" s="114"/>
      <c r="WXW15" s="114"/>
      <c r="WXX15" s="114"/>
      <c r="WXY15" s="114"/>
      <c r="WXZ15" s="114"/>
      <c r="WYA15" s="114"/>
      <c r="WYB15" s="114"/>
      <c r="WYC15" s="114"/>
      <c r="WYD15" s="114"/>
      <c r="WYE15" s="114"/>
      <c r="WYF15" s="114"/>
      <c r="WYG15" s="114"/>
      <c r="WYH15" s="114"/>
      <c r="WYI15" s="114"/>
      <c r="WYJ15" s="114"/>
      <c r="WYK15" s="114"/>
      <c r="WYL15" s="114"/>
      <c r="WYM15" s="114"/>
      <c r="WYN15" s="114"/>
      <c r="WYO15" s="114"/>
      <c r="WYP15" s="114"/>
      <c r="WYQ15" s="114"/>
      <c r="WYR15" s="114"/>
      <c r="WYS15" s="114"/>
      <c r="WYT15" s="114"/>
      <c r="WYU15" s="114"/>
      <c r="WYV15" s="114"/>
      <c r="WYW15" s="114"/>
      <c r="WYX15" s="114"/>
      <c r="WYY15" s="114"/>
      <c r="WYZ15" s="114"/>
      <c r="WZA15" s="114"/>
      <c r="WZB15" s="114"/>
      <c r="WZC15" s="114"/>
      <c r="WZD15" s="114"/>
      <c r="WZE15" s="114"/>
      <c r="WZF15" s="114"/>
      <c r="WZG15" s="114"/>
      <c r="WZH15" s="114"/>
      <c r="WZI15" s="114"/>
      <c r="WZJ15" s="114"/>
      <c r="WZK15" s="114"/>
      <c r="WZL15" s="114"/>
      <c r="WZM15" s="114"/>
      <c r="WZN15" s="114"/>
      <c r="WZO15" s="114"/>
      <c r="WZP15" s="114"/>
      <c r="WZQ15" s="114"/>
      <c r="WZR15" s="114"/>
      <c r="WZS15" s="114"/>
      <c r="WZT15" s="114"/>
      <c r="WZU15" s="114"/>
      <c r="WZV15" s="114"/>
      <c r="WZW15" s="114"/>
      <c r="WZX15" s="114"/>
      <c r="WZY15" s="114"/>
      <c r="WZZ15" s="114"/>
      <c r="XAA15" s="114"/>
      <c r="XAB15" s="114"/>
      <c r="XAC15" s="114"/>
      <c r="XAD15" s="114"/>
      <c r="XAE15" s="114"/>
      <c r="XAF15" s="114"/>
      <c r="XAG15" s="114"/>
      <c r="XAH15" s="114"/>
      <c r="XAI15" s="114"/>
      <c r="XAJ15" s="114"/>
      <c r="XAK15" s="114"/>
      <c r="XAL15" s="114"/>
      <c r="XAM15" s="114"/>
      <c r="XAN15" s="114"/>
      <c r="XAO15" s="114"/>
      <c r="XAP15" s="114"/>
      <c r="XAQ15" s="114"/>
      <c r="XAR15" s="114"/>
      <c r="XAS15" s="114"/>
      <c r="XAT15" s="114"/>
      <c r="XAU15" s="114"/>
      <c r="XAV15" s="114"/>
      <c r="XAW15" s="114"/>
      <c r="XAX15" s="114"/>
      <c r="XAY15" s="114"/>
      <c r="XAZ15" s="114"/>
      <c r="XBA15" s="114"/>
      <c r="XBB15" s="114"/>
      <c r="XBC15" s="114"/>
      <c r="XBD15" s="114"/>
      <c r="XBE15" s="114"/>
      <c r="XBF15" s="114"/>
      <c r="XBG15" s="114"/>
      <c r="XBH15" s="114"/>
      <c r="XBI15" s="114"/>
      <c r="XBJ15" s="114"/>
      <c r="XBK15" s="114"/>
      <c r="XBL15" s="114"/>
      <c r="XBM15" s="114"/>
      <c r="XBN15" s="114"/>
      <c r="XBO15" s="114"/>
      <c r="XBP15" s="114"/>
      <c r="XBQ15" s="114"/>
      <c r="XBR15" s="114"/>
      <c r="XBS15" s="114"/>
      <c r="XBT15" s="114"/>
      <c r="XBU15" s="114"/>
      <c r="XBV15" s="114"/>
      <c r="XBW15" s="114"/>
      <c r="XBX15" s="114"/>
      <c r="XBY15" s="114"/>
      <c r="XBZ15" s="114"/>
      <c r="XCA15" s="114"/>
      <c r="XCB15" s="114"/>
      <c r="XCC15" s="114"/>
      <c r="XCD15" s="114"/>
      <c r="XCE15" s="114"/>
      <c r="XCF15" s="114"/>
      <c r="XCG15" s="114"/>
      <c r="XCH15" s="114"/>
      <c r="XCI15" s="114"/>
      <c r="XCJ15" s="114"/>
      <c r="XCK15" s="114"/>
      <c r="XCL15" s="114"/>
      <c r="XCM15" s="114"/>
      <c r="XCN15" s="114"/>
      <c r="XCO15" s="114"/>
      <c r="XCP15" s="114"/>
      <c r="XCQ15" s="114"/>
      <c r="XCR15" s="114"/>
      <c r="XCS15" s="114"/>
      <c r="XCT15" s="114"/>
      <c r="XCU15" s="114"/>
      <c r="XCV15" s="114"/>
      <c r="XCW15" s="114"/>
      <c r="XCX15" s="114"/>
      <c r="XCY15" s="114"/>
      <c r="XCZ15" s="114"/>
      <c r="XDA15" s="114"/>
      <c r="XDB15" s="114"/>
      <c r="XDC15" s="114"/>
      <c r="XDD15" s="114"/>
      <c r="XDE15" s="114"/>
      <c r="XDF15" s="114"/>
      <c r="XDG15" s="114"/>
      <c r="XDH15" s="114"/>
      <c r="XDI15" s="114"/>
      <c r="XDJ15" s="114"/>
      <c r="XDK15" s="114"/>
      <c r="XDL15" s="114"/>
      <c r="XDM15" s="114"/>
      <c r="XDN15" s="114"/>
      <c r="XDO15" s="114"/>
      <c r="XDP15" s="114"/>
      <c r="XDQ15" s="114"/>
      <c r="XDR15" s="114"/>
      <c r="XDS15" s="114"/>
      <c r="XDT15" s="114"/>
      <c r="XDU15" s="114"/>
      <c r="XDV15" s="114"/>
      <c r="XDW15" s="114"/>
      <c r="XDX15" s="114"/>
      <c r="XDY15" s="114"/>
      <c r="XDZ15" s="114"/>
      <c r="XEA15" s="114"/>
      <c r="XEB15" s="114"/>
      <c r="XEC15" s="114"/>
      <c r="XED15" s="114"/>
      <c r="XEE15" s="114"/>
      <c r="XEF15" s="114"/>
      <c r="XEG15" s="114"/>
      <c r="XEH15" s="114"/>
      <c r="XEI15" s="114"/>
      <c r="XEJ15" s="114"/>
      <c r="XEK15" s="114"/>
      <c r="XEL15" s="114"/>
      <c r="XEM15" s="114"/>
      <c r="XEN15" s="114"/>
      <c r="XEO15" s="114"/>
      <c r="XEP15" s="114"/>
      <c r="XEQ15" s="114"/>
      <c r="XER15" s="114"/>
      <c r="XES15" s="114"/>
      <c r="XET15" s="114"/>
      <c r="XEU15" s="114"/>
      <c r="XEV15" s="114"/>
    </row>
    <row r="16" spans="1:16376" ht="13" x14ac:dyDescent="0.3">
      <c r="A16" s="82"/>
      <c r="B16" s="96">
        <v>24036</v>
      </c>
      <c r="C16" s="67" t="s">
        <v>2252</v>
      </c>
      <c r="D16" s="68" t="s">
        <v>2191</v>
      </c>
      <c r="E16" s="256" t="s">
        <v>1416</v>
      </c>
      <c r="F16" s="99" t="s">
        <v>5</v>
      </c>
      <c r="G16" s="68" t="s">
        <v>2192</v>
      </c>
      <c r="H16" s="74" t="s">
        <v>916</v>
      </c>
      <c r="I16" s="68" t="s">
        <v>145</v>
      </c>
      <c r="J16" s="68"/>
      <c r="K16" s="74"/>
      <c r="L16" s="74"/>
      <c r="M16" s="79" t="s">
        <v>6</v>
      </c>
      <c r="N16" s="67" t="s">
        <v>1745</v>
      </c>
      <c r="O16" s="81">
        <v>45594</v>
      </c>
      <c r="P16" s="110">
        <v>45675</v>
      </c>
      <c r="Q16" s="74"/>
      <c r="R16" s="106" t="s">
        <v>10</v>
      </c>
      <c r="S16" s="81">
        <v>45551</v>
      </c>
      <c r="T16" s="81">
        <v>45553</v>
      </c>
      <c r="U16" s="109">
        <v>45688</v>
      </c>
      <c r="V16" s="74"/>
      <c r="W16" s="62" t="s">
        <v>10</v>
      </c>
      <c r="X16" s="104">
        <v>6389</v>
      </c>
      <c r="Y16" s="104">
        <v>156111</v>
      </c>
      <c r="Z16" s="107">
        <v>162500</v>
      </c>
      <c r="AA16" s="105"/>
      <c r="AB16" s="74"/>
      <c r="AC16" s="74"/>
      <c r="AD16" s="108" t="s">
        <v>2233</v>
      </c>
      <c r="AE16" s="108" t="s">
        <v>2234</v>
      </c>
    </row>
    <row r="17" spans="1:31" ht="13" x14ac:dyDescent="0.3">
      <c r="A17" s="82"/>
      <c r="B17" s="96">
        <v>24038</v>
      </c>
      <c r="C17" s="67" t="s">
        <v>2252</v>
      </c>
      <c r="D17" s="68" t="s">
        <v>2197</v>
      </c>
      <c r="E17" s="256" t="s">
        <v>1416</v>
      </c>
      <c r="F17" s="99" t="s">
        <v>5</v>
      </c>
      <c r="G17" s="68" t="s">
        <v>2198</v>
      </c>
      <c r="H17" s="74" t="s">
        <v>2208</v>
      </c>
      <c r="I17" s="68" t="s">
        <v>145</v>
      </c>
      <c r="J17" s="68"/>
      <c r="K17" s="74"/>
      <c r="L17" s="74"/>
      <c r="M17" s="79" t="s">
        <v>6</v>
      </c>
      <c r="N17" s="67" t="s">
        <v>1745</v>
      </c>
      <c r="O17" s="81">
        <v>45625</v>
      </c>
      <c r="P17" s="110">
        <v>45706</v>
      </c>
      <c r="Q17" s="74"/>
      <c r="R17" s="106" t="s">
        <v>10</v>
      </c>
      <c r="S17" s="81">
        <v>45545</v>
      </c>
      <c r="T17" s="109">
        <v>45603</v>
      </c>
      <c r="U17" s="259"/>
      <c r="V17" s="74"/>
      <c r="W17" s="62" t="s">
        <v>2235</v>
      </c>
      <c r="X17" s="104"/>
      <c r="Y17" s="104">
        <v>83333.33</v>
      </c>
      <c r="Z17" s="107">
        <v>83333.33</v>
      </c>
      <c r="AA17" s="105"/>
      <c r="AB17" s="74"/>
      <c r="AC17" s="74"/>
      <c r="AD17" s="108" t="s">
        <v>2236</v>
      </c>
      <c r="AE17" s="108" t="s">
        <v>2237</v>
      </c>
    </row>
    <row r="18" spans="1:31" ht="13" x14ac:dyDescent="0.3">
      <c r="A18" s="82"/>
      <c r="B18" s="96">
        <v>24039</v>
      </c>
      <c r="C18" s="67" t="s">
        <v>164</v>
      </c>
      <c r="D18" s="68" t="s">
        <v>2154</v>
      </c>
      <c r="E18" s="68" t="s">
        <v>433</v>
      </c>
      <c r="F18" s="99" t="s">
        <v>2056</v>
      </c>
      <c r="G18" s="68" t="s">
        <v>2199</v>
      </c>
      <c r="H18" s="68" t="s">
        <v>1665</v>
      </c>
      <c r="I18" s="68" t="s">
        <v>87</v>
      </c>
      <c r="J18" s="68"/>
      <c r="K18" s="74"/>
      <c r="L18" s="74"/>
      <c r="M18" s="79" t="s">
        <v>6</v>
      </c>
      <c r="N18" s="67" t="s">
        <v>2146</v>
      </c>
      <c r="O18" s="81">
        <v>45624</v>
      </c>
      <c r="P18" s="110">
        <v>45707</v>
      </c>
      <c r="Q18" s="74"/>
      <c r="R18" s="106" t="s">
        <v>10</v>
      </c>
      <c r="S18" s="81"/>
      <c r="T18" s="74"/>
      <c r="U18" s="74"/>
      <c r="V18" s="74"/>
      <c r="W18" s="62" t="s">
        <v>1894</v>
      </c>
      <c r="X18" s="104">
        <v>625</v>
      </c>
      <c r="Y18" s="104">
        <v>486</v>
      </c>
      <c r="Z18" s="107">
        <v>1111</v>
      </c>
      <c r="AA18" s="105"/>
      <c r="AB18" s="74"/>
      <c r="AC18" s="74"/>
      <c r="AD18" s="108" t="s">
        <v>2238</v>
      </c>
      <c r="AE18" s="108" t="s">
        <v>2239</v>
      </c>
    </row>
    <row r="19" spans="1:31" ht="13" x14ac:dyDescent="0.3">
      <c r="A19" s="82"/>
      <c r="B19" s="96">
        <v>24040</v>
      </c>
      <c r="C19" s="67" t="s">
        <v>164</v>
      </c>
      <c r="D19" s="68" t="s">
        <v>2154</v>
      </c>
      <c r="E19" s="68" t="s">
        <v>1920</v>
      </c>
      <c r="F19" s="99" t="s">
        <v>2056</v>
      </c>
      <c r="G19" s="68" t="s">
        <v>2200</v>
      </c>
      <c r="H19" s="68" t="s">
        <v>1665</v>
      </c>
      <c r="I19" s="68" t="s">
        <v>87</v>
      </c>
      <c r="J19" s="68"/>
      <c r="K19" s="74"/>
      <c r="L19" s="74"/>
      <c r="M19" s="79" t="s">
        <v>6</v>
      </c>
      <c r="N19" s="67" t="s">
        <v>2146</v>
      </c>
      <c r="O19" s="81">
        <v>45624</v>
      </c>
      <c r="P19" s="110">
        <v>45707</v>
      </c>
      <c r="Q19" s="74"/>
      <c r="R19" s="106" t="s">
        <v>10</v>
      </c>
      <c r="S19" s="81"/>
      <c r="T19" s="74"/>
      <c r="U19" s="74"/>
      <c r="V19" s="74"/>
      <c r="W19" s="62" t="s">
        <v>1894</v>
      </c>
      <c r="X19" s="104">
        <v>625</v>
      </c>
      <c r="Y19" s="104"/>
      <c r="Z19" s="107">
        <v>625</v>
      </c>
      <c r="AA19" s="105"/>
      <c r="AB19" s="74"/>
      <c r="AC19" s="74"/>
      <c r="AD19" s="108" t="s">
        <v>2240</v>
      </c>
      <c r="AE19" s="108" t="s">
        <v>2241</v>
      </c>
    </row>
    <row r="20" spans="1:31" ht="13" x14ac:dyDescent="0.3">
      <c r="A20" s="82"/>
      <c r="B20" s="96">
        <v>24041</v>
      </c>
      <c r="C20" s="67" t="s">
        <v>164</v>
      </c>
      <c r="D20" s="68" t="s">
        <v>2005</v>
      </c>
      <c r="E20" s="68" t="s">
        <v>937</v>
      </c>
      <c r="F20" s="99" t="s">
        <v>5</v>
      </c>
      <c r="G20" s="68" t="s">
        <v>2201</v>
      </c>
      <c r="H20" s="74" t="s">
        <v>522</v>
      </c>
      <c r="I20" s="68" t="s">
        <v>9</v>
      </c>
      <c r="J20" s="68"/>
      <c r="K20" s="74"/>
      <c r="L20" s="74"/>
      <c r="M20" s="79" t="s">
        <v>6</v>
      </c>
      <c r="N20" s="67" t="s">
        <v>2206</v>
      </c>
      <c r="O20" s="81">
        <v>45623</v>
      </c>
      <c r="P20" s="110">
        <v>45708</v>
      </c>
      <c r="Q20" s="74"/>
      <c r="R20" s="106" t="s">
        <v>10</v>
      </c>
      <c r="S20" s="81">
        <v>45554</v>
      </c>
      <c r="T20" s="81">
        <v>45554</v>
      </c>
      <c r="U20" s="259"/>
      <c r="V20" s="74"/>
      <c r="W20" s="62" t="s">
        <v>2235</v>
      </c>
      <c r="X20" s="104">
        <v>2188</v>
      </c>
      <c r="Y20" s="104">
        <v>1388</v>
      </c>
      <c r="Z20" s="107">
        <v>3576</v>
      </c>
      <c r="AA20" s="105"/>
      <c r="AB20" s="74"/>
      <c r="AC20" s="74"/>
      <c r="AD20" s="108" t="s">
        <v>2242</v>
      </c>
      <c r="AE20" s="108" t="s">
        <v>2243</v>
      </c>
    </row>
    <row r="21" spans="1:31" ht="13" x14ac:dyDescent="0.3">
      <c r="A21" s="82"/>
      <c r="B21" s="96">
        <v>24042</v>
      </c>
      <c r="C21" s="67" t="s">
        <v>164</v>
      </c>
      <c r="D21" s="68" t="s">
        <v>2005</v>
      </c>
      <c r="E21" s="68" t="s">
        <v>2202</v>
      </c>
      <c r="F21" s="99" t="s">
        <v>2057</v>
      </c>
      <c r="G21" s="68" t="s">
        <v>2203</v>
      </c>
      <c r="H21" s="74" t="s">
        <v>522</v>
      </c>
      <c r="I21" s="68" t="s">
        <v>9</v>
      </c>
      <c r="J21" s="68"/>
      <c r="K21" s="74"/>
      <c r="L21" s="74"/>
      <c r="M21" s="79" t="s">
        <v>6</v>
      </c>
      <c r="N21" s="67" t="s">
        <v>2206</v>
      </c>
      <c r="O21" s="81">
        <v>45623</v>
      </c>
      <c r="P21" s="110">
        <v>45708</v>
      </c>
      <c r="Q21" s="74"/>
      <c r="R21" s="106" t="s">
        <v>10</v>
      </c>
      <c r="S21" s="81"/>
      <c r="T21" s="74"/>
      <c r="U21" s="74"/>
      <c r="V21" s="74"/>
      <c r="W21" s="62" t="s">
        <v>1894</v>
      </c>
      <c r="X21" s="104">
        <v>1876</v>
      </c>
      <c r="Y21" s="104">
        <v>1416</v>
      </c>
      <c r="Z21" s="107">
        <v>3292</v>
      </c>
      <c r="AA21" s="105"/>
      <c r="AB21" s="74"/>
      <c r="AC21" s="74"/>
      <c r="AD21" s="108" t="s">
        <v>2244</v>
      </c>
      <c r="AE21" s="108" t="s">
        <v>2245</v>
      </c>
    </row>
    <row r="22" spans="1:31" ht="13" x14ac:dyDescent="0.3">
      <c r="A22" s="82"/>
      <c r="B22" s="96">
        <v>24043</v>
      </c>
      <c r="C22" s="67" t="s">
        <v>2252</v>
      </c>
      <c r="D22" s="68" t="s">
        <v>2204</v>
      </c>
      <c r="E22" s="248" t="s">
        <v>570</v>
      </c>
      <c r="F22" s="99" t="s">
        <v>2057</v>
      </c>
      <c r="G22" s="68" t="s">
        <v>2205</v>
      </c>
      <c r="H22" s="74" t="s">
        <v>2207</v>
      </c>
      <c r="I22" s="68" t="s">
        <v>1890</v>
      </c>
      <c r="J22" s="248"/>
      <c r="K22" s="74"/>
      <c r="L22" s="105"/>
      <c r="M22" s="79" t="s">
        <v>6</v>
      </c>
      <c r="N22" s="261" t="s">
        <v>1745</v>
      </c>
      <c r="O22" s="81">
        <v>45625</v>
      </c>
      <c r="P22" s="110">
        <v>45713</v>
      </c>
      <c r="Q22" s="74"/>
      <c r="R22" s="106" t="s">
        <v>10</v>
      </c>
      <c r="S22" s="81"/>
      <c r="T22" s="74"/>
      <c r="U22" s="105"/>
      <c r="V22" s="105"/>
      <c r="W22" s="62" t="s">
        <v>1894</v>
      </c>
      <c r="X22" s="104"/>
      <c r="Y22" s="104">
        <v>105944.44</v>
      </c>
      <c r="Z22" s="107">
        <v>105944.44</v>
      </c>
      <c r="AA22" s="105"/>
      <c r="AB22" s="74"/>
      <c r="AC22" s="105"/>
      <c r="AD22" s="108" t="s">
        <v>2246</v>
      </c>
      <c r="AE22" s="258" t="s">
        <v>2247</v>
      </c>
    </row>
    <row r="23" spans="1:31" ht="13" x14ac:dyDescent="0.3">
      <c r="A23" s="82"/>
      <c r="B23" s="96">
        <v>24044</v>
      </c>
      <c r="C23" s="67" t="s">
        <v>164</v>
      </c>
      <c r="D23" s="68" t="s">
        <v>2209</v>
      </c>
      <c r="E23" s="68" t="s">
        <v>2210</v>
      </c>
      <c r="F23" s="99" t="s">
        <v>5</v>
      </c>
      <c r="G23" s="68" t="s">
        <v>2214</v>
      </c>
      <c r="H23" s="74" t="s">
        <v>2212</v>
      </c>
      <c r="I23" s="68" t="s">
        <v>2031</v>
      </c>
      <c r="J23" s="68"/>
      <c r="K23" s="74"/>
      <c r="L23" s="74"/>
      <c r="M23" s="79" t="s">
        <v>6</v>
      </c>
      <c r="N23" s="67"/>
      <c r="O23" s="81"/>
      <c r="P23" s="110">
        <v>45718</v>
      </c>
      <c r="Q23" s="74"/>
      <c r="R23" s="106" t="s">
        <v>10</v>
      </c>
      <c r="S23" s="262"/>
      <c r="T23" s="259"/>
      <c r="U23" s="259"/>
      <c r="V23" s="74"/>
      <c r="W23" s="62" t="s">
        <v>2235</v>
      </c>
      <c r="X23" s="104"/>
      <c r="Y23" s="104"/>
      <c r="Z23" s="107">
        <v>0</v>
      </c>
      <c r="AA23" s="105"/>
      <c r="AB23" s="74"/>
      <c r="AC23" s="74"/>
      <c r="AD23" s="108" t="s">
        <v>2248</v>
      </c>
      <c r="AE23" s="108" t="s">
        <v>2249</v>
      </c>
    </row>
    <row r="24" spans="1:31" ht="13" x14ac:dyDescent="0.3">
      <c r="A24" s="82"/>
      <c r="B24" s="96">
        <v>24045</v>
      </c>
      <c r="C24" s="67" t="s">
        <v>164</v>
      </c>
      <c r="D24" s="68" t="s">
        <v>2211</v>
      </c>
      <c r="E24" s="68"/>
      <c r="F24" s="99" t="s">
        <v>2057</v>
      </c>
      <c r="G24" s="68" t="s">
        <v>2213</v>
      </c>
      <c r="H24" s="74" t="s">
        <v>2212</v>
      </c>
      <c r="I24" s="68" t="s">
        <v>2031</v>
      </c>
      <c r="J24" s="68"/>
      <c r="K24" s="74"/>
      <c r="L24" s="74"/>
      <c r="M24" s="79" t="s">
        <v>6</v>
      </c>
      <c r="N24" s="67"/>
      <c r="O24" s="81"/>
      <c r="P24" s="110">
        <v>45718</v>
      </c>
      <c r="Q24" s="74"/>
      <c r="R24" s="106" t="s">
        <v>10</v>
      </c>
      <c r="S24" s="81"/>
      <c r="T24" s="74"/>
      <c r="U24" s="74"/>
      <c r="V24" s="74"/>
      <c r="W24" s="62" t="s">
        <v>1894</v>
      </c>
      <c r="X24" s="104"/>
      <c r="Y24" s="104"/>
      <c r="Z24" s="107">
        <v>0</v>
      </c>
      <c r="AA24" s="105"/>
      <c r="AB24" s="74"/>
      <c r="AC24" s="74"/>
      <c r="AD24" s="108" t="s">
        <v>2250</v>
      </c>
      <c r="AE24" s="108" t="s">
        <v>2251</v>
      </c>
    </row>
  </sheetData>
  <mergeCells count="3">
    <mergeCell ref="AG4:AI4"/>
    <mergeCell ref="AB5:AF5"/>
    <mergeCell ref="AG5:AI5"/>
  </mergeCells>
  <dataValidations count="3">
    <dataValidation type="list" allowBlank="1" showInputMessage="1" showErrorMessage="1" sqref="F8:F24" xr:uid="{57908C05-5191-405A-9BFD-34EF18E82715}">
      <formula1>CAPTYPE</formula1>
    </dataValidation>
    <dataValidation type="list" allowBlank="1" showInputMessage="1" showErrorMessage="1" sqref="M8:M24" xr:uid="{3C27A804-EABF-49F6-AA90-327B283FA4D7}">
      <formula1>"YES,NO"</formula1>
    </dataValidation>
    <dataValidation type="list" allowBlank="1" showInputMessage="1" showErrorMessage="1" sqref="I8:I24" xr:uid="{2EEF9664-870A-42A5-A2A8-C8455B7398B3}">
      <formula1>MMMMM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7"/>
  <dimension ref="A1:M11"/>
  <sheetViews>
    <sheetView workbookViewId="0">
      <selection activeCell="G16" sqref="G16"/>
    </sheetView>
  </sheetViews>
  <sheetFormatPr defaultColWidth="11.453125" defaultRowHeight="12.5" x14ac:dyDescent="0.25"/>
  <cols>
    <col min="1" max="1" width="11.453125" customWidth="1"/>
    <col min="2" max="2" width="2.453125" customWidth="1"/>
    <col min="3" max="3" width="18.54296875" bestFit="1" customWidth="1"/>
    <col min="4" max="4" width="2.453125" customWidth="1"/>
    <col min="5" max="5" width="11.453125" customWidth="1"/>
    <col min="6" max="6" width="2.453125" customWidth="1"/>
    <col min="7" max="7" width="22.453125" bestFit="1" customWidth="1"/>
    <col min="8" max="8" width="2.453125" customWidth="1"/>
    <col min="10" max="10" width="2.453125" customWidth="1"/>
    <col min="12" max="12" width="2.453125" customWidth="1"/>
  </cols>
  <sheetData>
    <row r="1" spans="1:13" x14ac:dyDescent="0.25">
      <c r="A1" s="1" t="s">
        <v>2020</v>
      </c>
      <c r="B1" s="1"/>
      <c r="C1" s="1" t="s">
        <v>2021</v>
      </c>
      <c r="D1" s="1"/>
      <c r="E1" s="1" t="s">
        <v>2022</v>
      </c>
      <c r="F1" s="1"/>
      <c r="G1" s="1" t="s">
        <v>2</v>
      </c>
      <c r="H1" s="1"/>
      <c r="I1" s="1" t="s">
        <v>2023</v>
      </c>
      <c r="J1" s="1"/>
      <c r="K1" s="1" t="s">
        <v>3</v>
      </c>
      <c r="M1" t="s">
        <v>2024</v>
      </c>
    </row>
    <row r="2" spans="1:13" x14ac:dyDescent="0.25">
      <c r="A2" t="s">
        <v>2025</v>
      </c>
      <c r="C2" t="s">
        <v>5</v>
      </c>
      <c r="E2" t="s">
        <v>7</v>
      </c>
      <c r="G2" t="s">
        <v>15</v>
      </c>
      <c r="I2" t="s">
        <v>29</v>
      </c>
      <c r="K2" t="s">
        <v>6</v>
      </c>
      <c r="M2" t="s">
        <v>2026</v>
      </c>
    </row>
    <row r="3" spans="1:13" x14ac:dyDescent="0.25">
      <c r="A3" t="s">
        <v>4</v>
      </c>
      <c r="C3" t="s">
        <v>2057</v>
      </c>
      <c r="E3" t="s">
        <v>11</v>
      </c>
      <c r="G3" t="s">
        <v>145</v>
      </c>
      <c r="I3" t="s">
        <v>28</v>
      </c>
      <c r="K3" t="s">
        <v>10</v>
      </c>
      <c r="M3" t="s">
        <v>2027</v>
      </c>
    </row>
    <row r="4" spans="1:13" x14ac:dyDescent="0.25">
      <c r="A4" t="s">
        <v>8</v>
      </c>
      <c r="C4" t="s">
        <v>2056</v>
      </c>
      <c r="E4" t="s">
        <v>13</v>
      </c>
      <c r="G4" t="s">
        <v>9</v>
      </c>
      <c r="I4" t="s">
        <v>420</v>
      </c>
      <c r="K4" t="s">
        <v>2028</v>
      </c>
      <c r="M4" s="2" t="s">
        <v>2029</v>
      </c>
    </row>
    <row r="5" spans="1:13" x14ac:dyDescent="0.25">
      <c r="A5" t="s">
        <v>2167</v>
      </c>
      <c r="C5" t="s">
        <v>17</v>
      </c>
      <c r="E5" t="s">
        <v>16</v>
      </c>
      <c r="G5" t="s">
        <v>12</v>
      </c>
      <c r="M5" t="s">
        <v>2030</v>
      </c>
    </row>
    <row r="6" spans="1:13" x14ac:dyDescent="0.25">
      <c r="C6" t="s">
        <v>2058</v>
      </c>
      <c r="E6" t="s">
        <v>672</v>
      </c>
      <c r="G6" t="s">
        <v>2031</v>
      </c>
      <c r="M6" t="s">
        <v>2032</v>
      </c>
    </row>
    <row r="7" spans="1:13" x14ac:dyDescent="0.25">
      <c r="C7" t="s">
        <v>14</v>
      </c>
      <c r="E7" t="s">
        <v>18</v>
      </c>
      <c r="G7" t="s">
        <v>87</v>
      </c>
      <c r="M7" t="s">
        <v>2033</v>
      </c>
    </row>
    <row r="8" spans="1:13" x14ac:dyDescent="0.25">
      <c r="E8" t="s">
        <v>19</v>
      </c>
      <c r="G8" t="s">
        <v>1890</v>
      </c>
      <c r="M8" t="s">
        <v>2034</v>
      </c>
    </row>
    <row r="9" spans="1:13" x14ac:dyDescent="0.25">
      <c r="E9" t="s">
        <v>20</v>
      </c>
      <c r="G9" t="s">
        <v>2035</v>
      </c>
      <c r="M9" t="s">
        <v>2036</v>
      </c>
    </row>
    <row r="10" spans="1:13" x14ac:dyDescent="0.25">
      <c r="E10" t="s">
        <v>21</v>
      </c>
    </row>
    <row r="11" spans="1:13" x14ac:dyDescent="0.25">
      <c r="E11" t="s">
        <v>700</v>
      </c>
    </row>
  </sheetData>
  <phoneticPr fontId="10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199B-9F5C-4366-93D9-00A1D845F88F}">
  <dimension ref="B2:R36"/>
  <sheetViews>
    <sheetView topLeftCell="A11" workbookViewId="0">
      <selection activeCell="G40" sqref="G40"/>
    </sheetView>
  </sheetViews>
  <sheetFormatPr defaultRowHeight="12.5" x14ac:dyDescent="0.25"/>
  <cols>
    <col min="8" max="8" width="12" customWidth="1"/>
    <col min="9" max="9" width="0" hidden="1" customWidth="1"/>
    <col min="11" max="11" width="0" hidden="1" customWidth="1"/>
    <col min="12" max="12" width="40.7265625" customWidth="1"/>
    <col min="13" max="13" width="0" hidden="1" customWidth="1"/>
    <col min="14" max="14" width="16.54296875" customWidth="1"/>
    <col min="15" max="15" width="14.36328125" customWidth="1"/>
  </cols>
  <sheetData>
    <row r="2" spans="2:18" ht="37.5" x14ac:dyDescent="0.25">
      <c r="B2" s="88" t="s">
        <v>31</v>
      </c>
      <c r="C2" s="90" t="s">
        <v>27</v>
      </c>
      <c r="D2" s="89" t="s">
        <v>32</v>
      </c>
      <c r="E2" s="89" t="s">
        <v>33</v>
      </c>
      <c r="F2" s="91" t="s">
        <v>34</v>
      </c>
      <c r="G2" s="91" t="s">
        <v>35</v>
      </c>
      <c r="H2" s="92" t="s">
        <v>26</v>
      </c>
      <c r="I2" s="93" t="s">
        <v>37</v>
      </c>
      <c r="J2" s="93" t="s">
        <v>22</v>
      </c>
      <c r="K2" s="93" t="s">
        <v>38</v>
      </c>
      <c r="L2" s="93" t="s">
        <v>39</v>
      </c>
      <c r="M2" s="84" t="s">
        <v>1</v>
      </c>
      <c r="N2" s="84" t="s">
        <v>41</v>
      </c>
      <c r="O2" s="84" t="s">
        <v>42</v>
      </c>
      <c r="P2" s="94" t="s">
        <v>56</v>
      </c>
      <c r="Q2" s="94" t="s">
        <v>57</v>
      </c>
      <c r="R2" s="94" t="s">
        <v>58</v>
      </c>
    </row>
    <row r="3" spans="2:18" ht="14.5" x14ac:dyDescent="0.35">
      <c r="B3" s="154">
        <v>22003</v>
      </c>
      <c r="C3" s="144">
        <v>44585</v>
      </c>
      <c r="D3" s="145" t="s">
        <v>1664</v>
      </c>
      <c r="E3" s="145" t="s">
        <v>164</v>
      </c>
      <c r="F3" s="146" t="s">
        <v>2109</v>
      </c>
      <c r="G3" s="146" t="s">
        <v>433</v>
      </c>
      <c r="H3" s="119" t="s">
        <v>2056</v>
      </c>
      <c r="I3" s="145">
        <v>2097</v>
      </c>
      <c r="J3" s="145">
        <v>16108</v>
      </c>
      <c r="K3" s="147" t="s">
        <v>11</v>
      </c>
      <c r="L3" s="146" t="s">
        <v>1812</v>
      </c>
      <c r="M3" s="146" t="s">
        <v>29</v>
      </c>
      <c r="N3" s="70" t="s">
        <v>916</v>
      </c>
      <c r="O3" s="146" t="s">
        <v>145</v>
      </c>
      <c r="P3" s="197">
        <v>1250</v>
      </c>
      <c r="Q3" s="197">
        <v>243</v>
      </c>
      <c r="R3" s="196">
        <v>1493</v>
      </c>
    </row>
    <row r="4" spans="2:18" ht="14.5" x14ac:dyDescent="0.35">
      <c r="B4" s="154">
        <v>22004</v>
      </c>
      <c r="C4" s="144">
        <v>44585</v>
      </c>
      <c r="D4" s="145" t="s">
        <v>1664</v>
      </c>
      <c r="E4" s="145" t="s">
        <v>164</v>
      </c>
      <c r="F4" s="146" t="s">
        <v>2111</v>
      </c>
      <c r="G4" s="111" t="s">
        <v>1796</v>
      </c>
      <c r="H4" s="119" t="s">
        <v>2056</v>
      </c>
      <c r="I4" s="145">
        <v>2092</v>
      </c>
      <c r="J4" s="145" t="s">
        <v>1814</v>
      </c>
      <c r="K4" s="147" t="s">
        <v>859</v>
      </c>
      <c r="L4" s="146" t="s">
        <v>1815</v>
      </c>
      <c r="M4" s="146" t="s">
        <v>29</v>
      </c>
      <c r="N4" s="232" t="s">
        <v>1629</v>
      </c>
      <c r="O4" s="146" t="s">
        <v>145</v>
      </c>
      <c r="P4" s="197">
        <v>1250</v>
      </c>
      <c r="Q4" s="197">
        <v>243</v>
      </c>
      <c r="R4" s="196">
        <v>1493</v>
      </c>
    </row>
    <row r="5" spans="2:18" ht="14.5" x14ac:dyDescent="0.35">
      <c r="B5" s="154">
        <v>22013</v>
      </c>
      <c r="C5" s="117">
        <v>44627</v>
      </c>
      <c r="D5" s="118" t="s">
        <v>1854</v>
      </c>
      <c r="E5" s="118" t="s">
        <v>164</v>
      </c>
      <c r="F5" s="111" t="s">
        <v>1855</v>
      </c>
      <c r="G5" s="111" t="s">
        <v>433</v>
      </c>
      <c r="H5" s="119" t="s">
        <v>5</v>
      </c>
      <c r="I5" s="118"/>
      <c r="J5" s="118">
        <v>14619</v>
      </c>
      <c r="K5" s="147" t="s">
        <v>13</v>
      </c>
      <c r="L5" s="111" t="s">
        <v>1856</v>
      </c>
      <c r="M5" s="111" t="s">
        <v>29</v>
      </c>
      <c r="N5" s="70" t="s">
        <v>916</v>
      </c>
      <c r="O5" s="111" t="s">
        <v>145</v>
      </c>
      <c r="P5" s="194">
        <v>5125</v>
      </c>
      <c r="Q5" s="194">
        <v>32166</v>
      </c>
      <c r="R5" s="196">
        <v>37291</v>
      </c>
    </row>
    <row r="6" spans="2:18" ht="14.5" x14ac:dyDescent="0.35">
      <c r="B6" s="154">
        <v>22015</v>
      </c>
      <c r="C6" s="117">
        <v>44651</v>
      </c>
      <c r="D6" s="118" t="s">
        <v>1664</v>
      </c>
      <c r="E6" s="118" t="s">
        <v>164</v>
      </c>
      <c r="F6" s="111" t="s">
        <v>1822</v>
      </c>
      <c r="G6" s="111" t="s">
        <v>1861</v>
      </c>
      <c r="H6" s="119" t="s">
        <v>2056</v>
      </c>
      <c r="I6" s="118">
        <v>2113</v>
      </c>
      <c r="J6" s="118">
        <v>16809</v>
      </c>
      <c r="K6" s="147"/>
      <c r="L6" s="111" t="s">
        <v>1862</v>
      </c>
      <c r="M6" s="111" t="s">
        <v>29</v>
      </c>
      <c r="N6" s="70" t="s">
        <v>1629</v>
      </c>
      <c r="O6" s="111" t="s">
        <v>145</v>
      </c>
      <c r="P6" s="194">
        <v>500</v>
      </c>
      <c r="Q6" s="194">
        <v>0</v>
      </c>
      <c r="R6" s="196">
        <v>500</v>
      </c>
    </row>
    <row r="7" spans="2:18" ht="31" customHeight="1" x14ac:dyDescent="0.35">
      <c r="B7" s="207">
        <v>22024</v>
      </c>
      <c r="C7" s="209">
        <v>44711</v>
      </c>
      <c r="D7" s="210" t="s">
        <v>1664</v>
      </c>
      <c r="E7" s="210" t="s">
        <v>164</v>
      </c>
      <c r="F7" s="211" t="s">
        <v>1811</v>
      </c>
      <c r="G7" s="211" t="s">
        <v>1796</v>
      </c>
      <c r="H7" s="212" t="s">
        <v>17</v>
      </c>
      <c r="I7" s="210">
        <v>2092</v>
      </c>
      <c r="J7" s="210">
        <v>15490</v>
      </c>
      <c r="K7" s="213" t="s">
        <v>11</v>
      </c>
      <c r="L7" s="214" t="s">
        <v>1893</v>
      </c>
      <c r="M7" s="211" t="s">
        <v>29</v>
      </c>
      <c r="N7" s="73" t="s">
        <v>1036</v>
      </c>
      <c r="O7" s="211" t="s">
        <v>9</v>
      </c>
      <c r="P7" s="218">
        <v>1000</v>
      </c>
      <c r="Q7" s="218">
        <v>1667</v>
      </c>
      <c r="R7" s="196">
        <v>2667</v>
      </c>
    </row>
    <row r="8" spans="2:18" ht="14.5" x14ac:dyDescent="0.35">
      <c r="B8" s="154">
        <v>22025</v>
      </c>
      <c r="C8" s="117">
        <v>44711</v>
      </c>
      <c r="D8" s="118" t="s">
        <v>1896</v>
      </c>
      <c r="E8" s="118" t="s">
        <v>164</v>
      </c>
      <c r="F8" s="111" t="s">
        <v>1807</v>
      </c>
      <c r="G8" s="111" t="s">
        <v>1897</v>
      </c>
      <c r="H8" s="119" t="s">
        <v>14</v>
      </c>
      <c r="I8" s="145">
        <v>2082</v>
      </c>
      <c r="J8" s="118">
        <v>14552</v>
      </c>
      <c r="K8" s="147" t="s">
        <v>1898</v>
      </c>
      <c r="L8" s="111" t="s">
        <v>1899</v>
      </c>
      <c r="M8" s="111" t="s">
        <v>29</v>
      </c>
      <c r="N8" s="70" t="s">
        <v>916</v>
      </c>
      <c r="O8" s="111" t="s">
        <v>145</v>
      </c>
      <c r="P8" s="218">
        <v>1500</v>
      </c>
      <c r="Q8" s="218">
        <v>1103</v>
      </c>
      <c r="R8" s="196">
        <v>2603</v>
      </c>
    </row>
    <row r="9" spans="2:18" ht="14.5" x14ac:dyDescent="0.35">
      <c r="B9" s="207">
        <v>22032</v>
      </c>
      <c r="C9" s="209">
        <v>44796</v>
      </c>
      <c r="D9" s="210" t="s">
        <v>1664</v>
      </c>
      <c r="E9" s="210" t="s">
        <v>164</v>
      </c>
      <c r="F9" s="211" t="s">
        <v>1919</v>
      </c>
      <c r="G9" s="211" t="s">
        <v>1920</v>
      </c>
      <c r="H9" s="212" t="s">
        <v>2057</v>
      </c>
      <c r="I9" s="210">
        <v>2131</v>
      </c>
      <c r="J9" s="210">
        <v>18072</v>
      </c>
      <c r="K9" s="213" t="s">
        <v>11</v>
      </c>
      <c r="L9" s="211" t="s">
        <v>1921</v>
      </c>
      <c r="M9" s="211" t="s">
        <v>29</v>
      </c>
      <c r="N9" s="73" t="s">
        <v>1629</v>
      </c>
      <c r="O9" s="211" t="s">
        <v>9</v>
      </c>
      <c r="P9" s="218">
        <v>1000</v>
      </c>
      <c r="Q9" s="218"/>
      <c r="R9" s="222">
        <v>1000</v>
      </c>
    </row>
    <row r="10" spans="2:18" ht="14.5" x14ac:dyDescent="0.35">
      <c r="B10" s="154">
        <v>22044</v>
      </c>
      <c r="C10" s="117">
        <v>44858</v>
      </c>
      <c r="D10" s="118" t="s">
        <v>1854</v>
      </c>
      <c r="E10" s="118" t="s">
        <v>164</v>
      </c>
      <c r="F10" s="111" t="s">
        <v>1919</v>
      </c>
      <c r="G10" s="111" t="s">
        <v>1920</v>
      </c>
      <c r="H10" s="119" t="s">
        <v>14</v>
      </c>
      <c r="I10" s="210">
        <v>2131</v>
      </c>
      <c r="J10" s="118">
        <v>18072</v>
      </c>
      <c r="K10" s="147" t="s">
        <v>13</v>
      </c>
      <c r="L10" s="111" t="s">
        <v>1958</v>
      </c>
      <c r="M10" s="111" t="s">
        <v>29</v>
      </c>
      <c r="N10" s="70" t="s">
        <v>1629</v>
      </c>
      <c r="O10" s="111" t="s">
        <v>9</v>
      </c>
      <c r="P10" s="194">
        <v>500</v>
      </c>
      <c r="Q10" s="194"/>
      <c r="R10" s="196">
        <v>500</v>
      </c>
    </row>
    <row r="11" spans="2:18" ht="14.5" x14ac:dyDescent="0.35">
      <c r="B11" s="154">
        <v>22046</v>
      </c>
      <c r="C11" s="117">
        <v>44862</v>
      </c>
      <c r="D11" s="118" t="s">
        <v>1664</v>
      </c>
      <c r="E11" s="118" t="s">
        <v>164</v>
      </c>
      <c r="F11" s="111" t="s">
        <v>1919</v>
      </c>
      <c r="G11" s="111" t="s">
        <v>1920</v>
      </c>
      <c r="H11" s="119" t="s">
        <v>5</v>
      </c>
      <c r="I11" s="210">
        <v>2131</v>
      </c>
      <c r="J11" s="118">
        <v>18072</v>
      </c>
      <c r="K11" s="147" t="s">
        <v>13</v>
      </c>
      <c r="L11" s="111" t="s">
        <v>1963</v>
      </c>
      <c r="M11" s="111" t="s">
        <v>29</v>
      </c>
      <c r="N11" s="70" t="s">
        <v>1629</v>
      </c>
      <c r="O11" s="111" t="s">
        <v>145</v>
      </c>
      <c r="P11" s="194">
        <v>2500</v>
      </c>
      <c r="Q11" s="194">
        <v>0</v>
      </c>
      <c r="R11" s="196">
        <v>2500</v>
      </c>
    </row>
    <row r="12" spans="2:18" ht="14.5" x14ac:dyDescent="0.35">
      <c r="B12" s="154">
        <v>22047</v>
      </c>
      <c r="C12" s="117">
        <v>44862</v>
      </c>
      <c r="D12" s="118" t="s">
        <v>1896</v>
      </c>
      <c r="E12" s="118" t="s">
        <v>164</v>
      </c>
      <c r="F12" s="111" t="s">
        <v>1807</v>
      </c>
      <c r="G12" s="111" t="s">
        <v>1668</v>
      </c>
      <c r="H12" s="119" t="s">
        <v>5</v>
      </c>
      <c r="I12" s="145">
        <v>2082</v>
      </c>
      <c r="J12" s="118">
        <v>14552</v>
      </c>
      <c r="K12" s="147" t="s">
        <v>13</v>
      </c>
      <c r="L12" s="111" t="s">
        <v>1964</v>
      </c>
      <c r="M12" s="111" t="s">
        <v>29</v>
      </c>
      <c r="N12" s="70" t="s">
        <v>1629</v>
      </c>
      <c r="O12" s="111" t="s">
        <v>145</v>
      </c>
      <c r="P12" s="194">
        <v>500</v>
      </c>
      <c r="Q12" s="194"/>
      <c r="R12" s="196">
        <v>500</v>
      </c>
    </row>
    <row r="13" spans="2:18" ht="14.5" x14ac:dyDescent="0.35">
      <c r="B13" s="154">
        <v>22048</v>
      </c>
      <c r="C13" s="117">
        <v>44886</v>
      </c>
      <c r="D13" s="118" t="s">
        <v>1965</v>
      </c>
      <c r="E13" s="118" t="s">
        <v>164</v>
      </c>
      <c r="F13" s="111" t="s">
        <v>1966</v>
      </c>
      <c r="G13" s="111" t="s">
        <v>147</v>
      </c>
      <c r="H13" s="119" t="s">
        <v>14</v>
      </c>
      <c r="I13" s="118"/>
      <c r="J13" s="118">
        <v>11608</v>
      </c>
      <c r="K13" s="147" t="s">
        <v>13</v>
      </c>
      <c r="L13" s="111" t="s">
        <v>1967</v>
      </c>
      <c r="M13" s="111" t="s">
        <v>29</v>
      </c>
      <c r="N13" s="70" t="s">
        <v>1629</v>
      </c>
      <c r="O13" s="111" t="s">
        <v>9</v>
      </c>
      <c r="P13" s="194">
        <v>0</v>
      </c>
      <c r="Q13" s="194">
        <v>0</v>
      </c>
      <c r="R13" s="196">
        <v>0</v>
      </c>
    </row>
    <row r="14" spans="2:18" ht="14.5" x14ac:dyDescent="0.35">
      <c r="B14" s="154">
        <v>22049</v>
      </c>
      <c r="C14" s="117">
        <v>44886</v>
      </c>
      <c r="D14" s="118" t="s">
        <v>1965</v>
      </c>
      <c r="E14" s="118" t="s">
        <v>164</v>
      </c>
      <c r="F14" s="111" t="s">
        <v>1966</v>
      </c>
      <c r="G14" s="111" t="s">
        <v>1920</v>
      </c>
      <c r="H14" s="119" t="s">
        <v>14</v>
      </c>
      <c r="I14" s="118"/>
      <c r="J14" s="118">
        <v>11608</v>
      </c>
      <c r="K14" s="147" t="s">
        <v>13</v>
      </c>
      <c r="L14" s="111" t="s">
        <v>1968</v>
      </c>
      <c r="M14" s="111" t="s">
        <v>29</v>
      </c>
      <c r="N14" s="70" t="s">
        <v>1629</v>
      </c>
      <c r="O14" s="111" t="s">
        <v>9</v>
      </c>
      <c r="P14" s="194">
        <v>0</v>
      </c>
      <c r="Q14" s="194">
        <v>0</v>
      </c>
      <c r="R14" s="196">
        <v>0</v>
      </c>
    </row>
    <row r="15" spans="2:18" ht="14.5" x14ac:dyDescent="0.35">
      <c r="B15" s="154">
        <v>22050</v>
      </c>
      <c r="C15" s="117">
        <v>44893</v>
      </c>
      <c r="D15" s="118" t="s">
        <v>1965</v>
      </c>
      <c r="E15" s="118" t="s">
        <v>164</v>
      </c>
      <c r="F15" s="111" t="s">
        <v>1969</v>
      </c>
      <c r="G15" s="111" t="s">
        <v>433</v>
      </c>
      <c r="H15" s="119" t="s">
        <v>14</v>
      </c>
      <c r="I15" s="118"/>
      <c r="J15" s="118">
        <v>16753</v>
      </c>
      <c r="K15" s="147" t="s">
        <v>13</v>
      </c>
      <c r="L15" s="111" t="s">
        <v>1970</v>
      </c>
      <c r="M15" s="111" t="s">
        <v>29</v>
      </c>
      <c r="N15" s="70" t="s">
        <v>1629</v>
      </c>
      <c r="O15" s="111" t="s">
        <v>87</v>
      </c>
      <c r="P15" s="194">
        <v>2500</v>
      </c>
      <c r="Q15" s="194"/>
      <c r="R15" s="196">
        <v>2500</v>
      </c>
    </row>
    <row r="16" spans="2:18" ht="15" x14ac:dyDescent="0.4">
      <c r="B16" s="154">
        <v>22051</v>
      </c>
      <c r="C16" s="117">
        <v>44900</v>
      </c>
      <c r="D16" s="118" t="s">
        <v>1965</v>
      </c>
      <c r="E16" s="118" t="s">
        <v>164</v>
      </c>
      <c r="F16" s="111" t="s">
        <v>1969</v>
      </c>
      <c r="G16" s="226" t="s">
        <v>1971</v>
      </c>
      <c r="H16" s="119" t="s">
        <v>14</v>
      </c>
      <c r="I16" s="118"/>
      <c r="J16" s="118">
        <v>16753</v>
      </c>
      <c r="K16" s="147" t="s">
        <v>13</v>
      </c>
      <c r="L16" s="111" t="s">
        <v>1972</v>
      </c>
      <c r="M16" s="111" t="s">
        <v>29</v>
      </c>
      <c r="N16" s="70" t="s">
        <v>1629</v>
      </c>
      <c r="O16" s="111" t="s">
        <v>87</v>
      </c>
      <c r="P16" s="194"/>
      <c r="Q16" s="194"/>
      <c r="R16" s="196">
        <v>0</v>
      </c>
    </row>
    <row r="17" spans="2:18" ht="14.5" x14ac:dyDescent="0.35">
      <c r="B17" s="154">
        <v>23006</v>
      </c>
      <c r="C17" s="117">
        <v>44967</v>
      </c>
      <c r="D17" s="118" t="s">
        <v>1965</v>
      </c>
      <c r="E17" s="118" t="s">
        <v>164</v>
      </c>
      <c r="F17" s="111" t="s">
        <v>1969</v>
      </c>
      <c r="G17" s="111" t="s">
        <v>2061</v>
      </c>
      <c r="H17" s="119" t="s">
        <v>14</v>
      </c>
      <c r="I17" s="118"/>
      <c r="J17" s="118">
        <v>16753</v>
      </c>
      <c r="K17" s="147"/>
      <c r="L17" s="111"/>
      <c r="M17" s="111" t="s">
        <v>29</v>
      </c>
      <c r="N17" s="70" t="s">
        <v>1665</v>
      </c>
      <c r="O17" s="111" t="s">
        <v>9</v>
      </c>
      <c r="P17" s="194">
        <v>1500</v>
      </c>
      <c r="Q17" s="194">
        <v>0</v>
      </c>
      <c r="R17" s="196">
        <v>1500</v>
      </c>
    </row>
    <row r="18" spans="2:18" ht="14.5" x14ac:dyDescent="0.35">
      <c r="B18" s="154">
        <v>23010</v>
      </c>
      <c r="C18" s="117">
        <v>44988</v>
      </c>
      <c r="D18" s="118" t="s">
        <v>1965</v>
      </c>
      <c r="E18" s="118" t="s">
        <v>164</v>
      </c>
      <c r="F18" s="111" t="s">
        <v>1904</v>
      </c>
      <c r="G18" s="111" t="s">
        <v>1920</v>
      </c>
      <c r="H18" s="119" t="s">
        <v>2056</v>
      </c>
      <c r="I18" s="118">
        <v>2137</v>
      </c>
      <c r="J18" s="118">
        <v>18080</v>
      </c>
      <c r="K18" s="147" t="s">
        <v>11</v>
      </c>
      <c r="L18" s="111" t="s">
        <v>2003</v>
      </c>
      <c r="M18" s="111" t="s">
        <v>29</v>
      </c>
      <c r="N18" s="70" t="s">
        <v>1026</v>
      </c>
      <c r="O18" s="111" t="s">
        <v>145</v>
      </c>
      <c r="P18" s="194"/>
      <c r="Q18" s="194"/>
      <c r="R18" s="196">
        <v>0</v>
      </c>
    </row>
    <row r="19" spans="2:18" ht="14.5" x14ac:dyDescent="0.35">
      <c r="B19" s="154">
        <v>23013</v>
      </c>
      <c r="C19" s="117">
        <v>45027</v>
      </c>
      <c r="D19" s="118" t="s">
        <v>1965</v>
      </c>
      <c r="E19" s="118" t="s">
        <v>164</v>
      </c>
      <c r="F19" s="111" t="s">
        <v>2012</v>
      </c>
      <c r="G19" s="111"/>
      <c r="H19" s="119" t="s">
        <v>2057</v>
      </c>
      <c r="I19" s="118"/>
      <c r="J19" s="118" t="s">
        <v>2013</v>
      </c>
      <c r="K19" s="147"/>
      <c r="L19" s="111" t="s">
        <v>2014</v>
      </c>
      <c r="M19" s="111" t="s">
        <v>29</v>
      </c>
      <c r="N19" s="70" t="s">
        <v>522</v>
      </c>
      <c r="O19" s="111" t="s">
        <v>9</v>
      </c>
      <c r="P19" s="194"/>
      <c r="Q19" s="194">
        <v>278</v>
      </c>
      <c r="R19" s="196">
        <v>278</v>
      </c>
    </row>
    <row r="20" spans="2:18" ht="14.5" x14ac:dyDescent="0.35">
      <c r="B20" s="154">
        <v>23014</v>
      </c>
      <c r="C20" s="117">
        <v>45027</v>
      </c>
      <c r="D20" s="118" t="s">
        <v>1965</v>
      </c>
      <c r="E20" s="118" t="s">
        <v>164</v>
      </c>
      <c r="F20" s="111" t="s">
        <v>2015</v>
      </c>
      <c r="G20" s="111" t="s">
        <v>1920</v>
      </c>
      <c r="H20" s="119" t="s">
        <v>5</v>
      </c>
      <c r="I20" s="118"/>
      <c r="J20" s="118">
        <v>10.17789</v>
      </c>
      <c r="K20" s="147"/>
      <c r="L20" s="111" t="s">
        <v>2043</v>
      </c>
      <c r="M20" s="111" t="s">
        <v>29</v>
      </c>
      <c r="N20" s="70" t="s">
        <v>1629</v>
      </c>
      <c r="O20" s="111" t="s">
        <v>145</v>
      </c>
      <c r="P20" s="194">
        <v>1000</v>
      </c>
      <c r="Q20" s="194"/>
      <c r="R20" s="196">
        <v>1000</v>
      </c>
    </row>
    <row r="21" spans="2:18" ht="14.5" x14ac:dyDescent="0.35">
      <c r="B21" s="207">
        <v>23015</v>
      </c>
      <c r="C21" s="209">
        <v>45027</v>
      </c>
      <c r="D21" s="210" t="s">
        <v>1965</v>
      </c>
      <c r="E21" s="118" t="s">
        <v>164</v>
      </c>
      <c r="F21" s="211" t="s">
        <v>2016</v>
      </c>
      <c r="G21" s="211" t="s">
        <v>433</v>
      </c>
      <c r="H21" s="212" t="s">
        <v>5</v>
      </c>
      <c r="I21" s="210"/>
      <c r="J21" s="244">
        <v>18251</v>
      </c>
      <c r="K21" s="213" t="s">
        <v>13</v>
      </c>
      <c r="L21" s="211" t="s">
        <v>2044</v>
      </c>
      <c r="M21" s="211" t="s">
        <v>29</v>
      </c>
      <c r="N21" s="73" t="s">
        <v>1026</v>
      </c>
      <c r="O21" s="211" t="s">
        <v>145</v>
      </c>
      <c r="P21" s="218">
        <v>2500</v>
      </c>
      <c r="Q21" s="218">
        <v>2583</v>
      </c>
      <c r="R21" s="222">
        <v>5083</v>
      </c>
    </row>
    <row r="22" spans="2:18" ht="14.5" x14ac:dyDescent="0.35">
      <c r="B22" s="207">
        <v>23030</v>
      </c>
      <c r="C22" s="209">
        <v>45227</v>
      </c>
      <c r="D22" s="210" t="s">
        <v>1896</v>
      </c>
      <c r="E22" s="210" t="s">
        <v>164</v>
      </c>
      <c r="F22" s="211" t="s">
        <v>2084</v>
      </c>
      <c r="G22" s="211" t="s">
        <v>2091</v>
      </c>
      <c r="H22" s="212" t="s">
        <v>2056</v>
      </c>
      <c r="I22" s="210">
        <v>2128</v>
      </c>
      <c r="J22" s="210">
        <v>17951</v>
      </c>
      <c r="K22" s="213" t="s">
        <v>13</v>
      </c>
      <c r="L22" s="211" t="s">
        <v>2085</v>
      </c>
      <c r="M22" s="211" t="s">
        <v>29</v>
      </c>
      <c r="N22" s="73" t="s">
        <v>1026</v>
      </c>
      <c r="O22" s="211" t="s">
        <v>9</v>
      </c>
      <c r="P22" s="218">
        <v>3000</v>
      </c>
      <c r="Q22" s="218">
        <v>1892</v>
      </c>
      <c r="R22" s="222">
        <v>4892</v>
      </c>
    </row>
    <row r="23" spans="2:18" ht="14.5" x14ac:dyDescent="0.35">
      <c r="B23" s="154">
        <v>23031</v>
      </c>
      <c r="C23" s="117">
        <v>45236</v>
      </c>
      <c r="D23" s="118" t="s">
        <v>2086</v>
      </c>
      <c r="E23" s="118" t="s">
        <v>164</v>
      </c>
      <c r="F23" s="111" t="s">
        <v>2095</v>
      </c>
      <c r="G23" s="111" t="s">
        <v>2087</v>
      </c>
      <c r="H23" s="119" t="s">
        <v>2057</v>
      </c>
      <c r="I23" s="118">
        <v>2151</v>
      </c>
      <c r="J23" s="118">
        <v>18281</v>
      </c>
      <c r="K23" s="147" t="s">
        <v>16</v>
      </c>
      <c r="L23" s="111" t="s">
        <v>2088</v>
      </c>
      <c r="M23" s="111" t="s">
        <v>29</v>
      </c>
      <c r="N23" s="70" t="s">
        <v>2096</v>
      </c>
      <c r="O23" s="111" t="s">
        <v>9</v>
      </c>
      <c r="P23" s="194">
        <v>250</v>
      </c>
      <c r="Q23" s="194">
        <v>139</v>
      </c>
      <c r="R23" s="196">
        <v>389</v>
      </c>
    </row>
    <row r="24" spans="2:18" ht="14.5" x14ac:dyDescent="0.35">
      <c r="B24" s="154">
        <v>23032</v>
      </c>
      <c r="C24" s="117">
        <v>45236</v>
      </c>
      <c r="D24" s="118" t="s">
        <v>2086</v>
      </c>
      <c r="E24" s="118" t="s">
        <v>164</v>
      </c>
      <c r="F24" s="111" t="s">
        <v>1499</v>
      </c>
      <c r="G24" s="111" t="s">
        <v>2089</v>
      </c>
      <c r="H24" s="119" t="s">
        <v>5</v>
      </c>
      <c r="I24" s="118">
        <v>2150</v>
      </c>
      <c r="J24" s="118">
        <v>18178</v>
      </c>
      <c r="K24" s="147" t="s">
        <v>13</v>
      </c>
      <c r="L24" s="111" t="s">
        <v>2090</v>
      </c>
      <c r="M24" s="111" t="s">
        <v>29</v>
      </c>
      <c r="N24" s="70" t="s">
        <v>1661</v>
      </c>
      <c r="O24" s="111" t="s">
        <v>9</v>
      </c>
      <c r="P24" s="194">
        <v>938</v>
      </c>
      <c r="Q24" s="194">
        <v>0</v>
      </c>
      <c r="R24" s="196">
        <v>938</v>
      </c>
    </row>
    <row r="25" spans="2:18" ht="14.5" x14ac:dyDescent="0.35">
      <c r="B25" s="207">
        <v>24002</v>
      </c>
      <c r="C25" s="209">
        <v>45307</v>
      </c>
      <c r="D25" s="210" t="s">
        <v>1965</v>
      </c>
      <c r="E25" s="210" t="s">
        <v>164</v>
      </c>
      <c r="F25" s="211" t="s">
        <v>2107</v>
      </c>
      <c r="G25" s="211" t="s">
        <v>1920</v>
      </c>
      <c r="H25" s="212" t="s">
        <v>2056</v>
      </c>
      <c r="I25" s="210"/>
      <c r="J25" s="210">
        <v>18418</v>
      </c>
      <c r="K25" s="213" t="s">
        <v>11</v>
      </c>
      <c r="L25" s="211" t="s">
        <v>2108</v>
      </c>
      <c r="M25" s="211" t="s">
        <v>29</v>
      </c>
      <c r="N25" s="73" t="s">
        <v>2133</v>
      </c>
      <c r="O25" s="211" t="s">
        <v>9</v>
      </c>
      <c r="P25" s="218">
        <v>750</v>
      </c>
      <c r="Q25" s="218">
        <v>0</v>
      </c>
      <c r="R25" s="222">
        <v>750</v>
      </c>
    </row>
    <row r="26" spans="2:18" ht="14.5" x14ac:dyDescent="0.35">
      <c r="B26" s="207">
        <v>24003</v>
      </c>
      <c r="C26" s="209">
        <v>45313</v>
      </c>
      <c r="D26" s="210" t="s">
        <v>1854</v>
      </c>
      <c r="E26" s="210" t="s">
        <v>164</v>
      </c>
      <c r="F26" s="211" t="s">
        <v>2109</v>
      </c>
      <c r="G26" s="211" t="s">
        <v>1668</v>
      </c>
      <c r="H26" s="212" t="s">
        <v>5</v>
      </c>
      <c r="I26" s="210">
        <v>2097</v>
      </c>
      <c r="J26" s="210">
        <v>16108</v>
      </c>
      <c r="K26" s="213" t="s">
        <v>13</v>
      </c>
      <c r="L26" s="211" t="s">
        <v>2110</v>
      </c>
      <c r="M26" s="211" t="s">
        <v>29</v>
      </c>
      <c r="N26" s="73" t="s">
        <v>916</v>
      </c>
      <c r="O26" s="211" t="s">
        <v>9</v>
      </c>
      <c r="P26" s="218">
        <v>7000</v>
      </c>
      <c r="Q26" s="218">
        <v>3832</v>
      </c>
      <c r="R26" s="222">
        <v>10832</v>
      </c>
    </row>
    <row r="27" spans="2:18" ht="14.5" x14ac:dyDescent="0.35">
      <c r="B27" s="154">
        <v>24005</v>
      </c>
      <c r="C27" s="209">
        <v>45342</v>
      </c>
      <c r="D27" s="118" t="s">
        <v>1965</v>
      </c>
      <c r="E27" s="118" t="s">
        <v>164</v>
      </c>
      <c r="F27" s="111" t="s">
        <v>2116</v>
      </c>
      <c r="G27" s="111"/>
      <c r="H27" s="119" t="s">
        <v>2057</v>
      </c>
      <c r="I27" s="118">
        <v>2136</v>
      </c>
      <c r="J27" s="118">
        <v>17789</v>
      </c>
      <c r="K27" s="147" t="s">
        <v>11</v>
      </c>
      <c r="L27" s="111" t="s">
        <v>2117</v>
      </c>
      <c r="M27" s="111" t="s">
        <v>29</v>
      </c>
      <c r="N27" s="70" t="s">
        <v>916</v>
      </c>
      <c r="O27" s="111" t="s">
        <v>9</v>
      </c>
      <c r="P27" s="194">
        <v>1278</v>
      </c>
      <c r="Q27" s="194"/>
      <c r="R27" s="196">
        <v>1278</v>
      </c>
    </row>
    <row r="28" spans="2:18" ht="14.5" x14ac:dyDescent="0.35">
      <c r="B28" s="154">
        <v>24014</v>
      </c>
      <c r="C28" s="117">
        <v>45384</v>
      </c>
      <c r="D28" s="118" t="s">
        <v>2086</v>
      </c>
      <c r="E28" s="118" t="s">
        <v>164</v>
      </c>
      <c r="F28" s="111" t="s">
        <v>2134</v>
      </c>
      <c r="G28" s="111" t="s">
        <v>2135</v>
      </c>
      <c r="H28" s="119" t="s">
        <v>2057</v>
      </c>
      <c r="I28" s="118">
        <v>3022</v>
      </c>
      <c r="J28" s="118">
        <v>18448</v>
      </c>
      <c r="K28" s="147" t="s">
        <v>11</v>
      </c>
      <c r="L28" s="111" t="s">
        <v>2136</v>
      </c>
      <c r="M28" s="111" t="s">
        <v>29</v>
      </c>
      <c r="N28" s="70" t="s">
        <v>1665</v>
      </c>
      <c r="O28" s="111" t="s">
        <v>87</v>
      </c>
      <c r="P28" s="194">
        <v>5139</v>
      </c>
      <c r="Q28" s="194"/>
      <c r="R28" s="196">
        <v>5139</v>
      </c>
    </row>
    <row r="29" spans="2:18" ht="14.5" x14ac:dyDescent="0.35">
      <c r="B29" s="154">
        <v>24019</v>
      </c>
      <c r="C29" s="117">
        <v>45454</v>
      </c>
      <c r="D29" s="118" t="s">
        <v>2146</v>
      </c>
      <c r="E29" s="118" t="s">
        <v>164</v>
      </c>
      <c r="F29" s="111" t="s">
        <v>2084</v>
      </c>
      <c r="G29" s="111" t="s">
        <v>433</v>
      </c>
      <c r="H29" s="119" t="s">
        <v>5</v>
      </c>
      <c r="I29" s="118">
        <v>2128</v>
      </c>
      <c r="J29" s="118">
        <v>17951</v>
      </c>
      <c r="K29" s="147" t="s">
        <v>13</v>
      </c>
      <c r="L29" s="111" t="s">
        <v>2147</v>
      </c>
      <c r="M29" s="111" t="s">
        <v>29</v>
      </c>
      <c r="N29" s="70" t="s">
        <v>1026</v>
      </c>
      <c r="O29" s="111" t="s">
        <v>87</v>
      </c>
      <c r="P29" s="194">
        <v>500</v>
      </c>
      <c r="Q29" s="194"/>
      <c r="R29" s="196">
        <v>500</v>
      </c>
    </row>
    <row r="30" spans="2:18" ht="14.5" x14ac:dyDescent="0.35">
      <c r="B30" s="154">
        <v>24022</v>
      </c>
      <c r="C30" s="117">
        <v>45463</v>
      </c>
      <c r="D30" s="118" t="s">
        <v>1854</v>
      </c>
      <c r="E30" s="118" t="s">
        <v>164</v>
      </c>
      <c r="F30" s="111" t="s">
        <v>2154</v>
      </c>
      <c r="G30" s="111"/>
      <c r="H30" s="119" t="s">
        <v>2057</v>
      </c>
      <c r="I30" s="118">
        <v>3123</v>
      </c>
      <c r="J30" s="118">
        <v>18323</v>
      </c>
      <c r="K30" s="147" t="s">
        <v>11</v>
      </c>
      <c r="L30" s="111" t="s">
        <v>2155</v>
      </c>
      <c r="M30" s="111" t="s">
        <v>29</v>
      </c>
      <c r="N30" s="70" t="s">
        <v>2177</v>
      </c>
      <c r="O30" s="111" t="s">
        <v>2031</v>
      </c>
      <c r="P30" s="194">
        <v>250</v>
      </c>
      <c r="Q30" s="194">
        <v>0</v>
      </c>
      <c r="R30" s="196">
        <v>250</v>
      </c>
    </row>
    <row r="31" spans="2:18" ht="14.5" x14ac:dyDescent="0.35">
      <c r="B31" s="96">
        <v>24039</v>
      </c>
      <c r="C31" s="97">
        <v>45615</v>
      </c>
      <c r="D31" s="67" t="s">
        <v>2146</v>
      </c>
      <c r="E31" s="67" t="s">
        <v>164</v>
      </c>
      <c r="F31" s="68" t="s">
        <v>2154</v>
      </c>
      <c r="G31" s="68" t="s">
        <v>433</v>
      </c>
      <c r="H31" s="99" t="s">
        <v>2056</v>
      </c>
      <c r="I31" s="67">
        <v>3123</v>
      </c>
      <c r="J31" s="67">
        <v>18323</v>
      </c>
      <c r="K31" s="80" t="s">
        <v>11</v>
      </c>
      <c r="L31" s="68" t="s">
        <v>2199</v>
      </c>
      <c r="M31" s="68" t="s">
        <v>29</v>
      </c>
      <c r="N31" s="68" t="s">
        <v>1665</v>
      </c>
      <c r="O31" s="68" t="s">
        <v>87</v>
      </c>
      <c r="P31" s="104">
        <v>625</v>
      </c>
      <c r="Q31" s="104">
        <v>486</v>
      </c>
      <c r="R31" s="107">
        <f t="shared" ref="R31:R34" si="0">Q31+P31</f>
        <v>1111</v>
      </c>
    </row>
    <row r="32" spans="2:18" ht="14.5" x14ac:dyDescent="0.35">
      <c r="B32" s="96">
        <v>24040</v>
      </c>
      <c r="C32" s="97">
        <v>45615</v>
      </c>
      <c r="D32" s="67" t="s">
        <v>2146</v>
      </c>
      <c r="E32" s="67" t="s">
        <v>164</v>
      </c>
      <c r="F32" s="68" t="s">
        <v>2154</v>
      </c>
      <c r="G32" s="68" t="s">
        <v>1920</v>
      </c>
      <c r="H32" s="99" t="s">
        <v>2056</v>
      </c>
      <c r="I32" s="67">
        <v>3123</v>
      </c>
      <c r="J32" s="67">
        <v>18323</v>
      </c>
      <c r="K32" s="80" t="s">
        <v>11</v>
      </c>
      <c r="L32" s="68" t="s">
        <v>2200</v>
      </c>
      <c r="M32" s="68" t="s">
        <v>29</v>
      </c>
      <c r="N32" s="74" t="s">
        <v>522</v>
      </c>
      <c r="O32" s="68" t="s">
        <v>87</v>
      </c>
      <c r="P32" s="104">
        <v>625</v>
      </c>
      <c r="Q32" s="104"/>
      <c r="R32" s="107">
        <f t="shared" si="0"/>
        <v>625</v>
      </c>
    </row>
    <row r="33" spans="2:18" ht="14.5" x14ac:dyDescent="0.35">
      <c r="B33" s="96">
        <v>24041</v>
      </c>
      <c r="C33" s="97">
        <v>45616</v>
      </c>
      <c r="D33" s="67" t="s">
        <v>2086</v>
      </c>
      <c r="E33" s="67" t="s">
        <v>164</v>
      </c>
      <c r="F33" s="68" t="s">
        <v>2005</v>
      </c>
      <c r="G33" s="68" t="s">
        <v>937</v>
      </c>
      <c r="H33" s="99" t="s">
        <v>5</v>
      </c>
      <c r="I33" s="67">
        <v>3165</v>
      </c>
      <c r="J33" s="67">
        <v>18466</v>
      </c>
      <c r="K33" s="80" t="s">
        <v>21</v>
      </c>
      <c r="L33" s="68" t="s">
        <v>2201</v>
      </c>
      <c r="M33" s="68" t="s">
        <v>29</v>
      </c>
      <c r="N33" s="74" t="s">
        <v>522</v>
      </c>
      <c r="O33" s="68" t="s">
        <v>9</v>
      </c>
      <c r="P33" s="104">
        <v>2188</v>
      </c>
      <c r="Q33" s="104">
        <v>1388</v>
      </c>
      <c r="R33" s="107">
        <f t="shared" si="0"/>
        <v>3576</v>
      </c>
    </row>
    <row r="34" spans="2:18" ht="14.5" x14ac:dyDescent="0.35">
      <c r="B34" s="96">
        <v>24042</v>
      </c>
      <c r="C34" s="97">
        <v>45616</v>
      </c>
      <c r="D34" s="67" t="s">
        <v>2086</v>
      </c>
      <c r="E34" s="67" t="s">
        <v>164</v>
      </c>
      <c r="F34" s="68" t="s">
        <v>2005</v>
      </c>
      <c r="G34" s="68" t="s">
        <v>2202</v>
      </c>
      <c r="H34" s="99" t="s">
        <v>2057</v>
      </c>
      <c r="I34" s="67">
        <v>3165</v>
      </c>
      <c r="J34" s="67">
        <v>18466</v>
      </c>
      <c r="K34" s="80" t="s">
        <v>21</v>
      </c>
      <c r="L34" s="68" t="s">
        <v>2203</v>
      </c>
      <c r="M34" s="68" t="s">
        <v>29</v>
      </c>
      <c r="N34" s="74" t="s">
        <v>522</v>
      </c>
      <c r="O34" s="68" t="s">
        <v>9</v>
      </c>
      <c r="P34" s="104">
        <v>1876</v>
      </c>
      <c r="Q34" s="104">
        <v>1416</v>
      </c>
      <c r="R34" s="107">
        <f t="shared" si="0"/>
        <v>3292</v>
      </c>
    </row>
    <row r="35" spans="2:18" ht="14.5" x14ac:dyDescent="0.35">
      <c r="B35" s="96">
        <v>24044</v>
      </c>
      <c r="C35" s="97">
        <v>45628</v>
      </c>
      <c r="D35" s="67" t="s">
        <v>1854</v>
      </c>
      <c r="E35" s="67" t="s">
        <v>164</v>
      </c>
      <c r="F35" s="68" t="s">
        <v>2209</v>
      </c>
      <c r="G35" s="68" t="s">
        <v>2210</v>
      </c>
      <c r="H35" s="99" t="s">
        <v>5</v>
      </c>
      <c r="I35" s="67">
        <v>2135</v>
      </c>
      <c r="J35" s="67">
        <v>18103</v>
      </c>
      <c r="K35" s="80" t="s">
        <v>21</v>
      </c>
      <c r="L35" s="68" t="s">
        <v>2214</v>
      </c>
      <c r="M35" s="68" t="s">
        <v>29</v>
      </c>
      <c r="N35" s="263" t="s">
        <v>1026</v>
      </c>
      <c r="O35" s="68" t="s">
        <v>9</v>
      </c>
      <c r="P35" s="104"/>
      <c r="Q35" s="104"/>
      <c r="R35" s="107">
        <v>0</v>
      </c>
    </row>
    <row r="36" spans="2:18" ht="14.5" x14ac:dyDescent="0.35">
      <c r="B36" s="96">
        <v>24045</v>
      </c>
      <c r="C36" s="97">
        <v>45628</v>
      </c>
      <c r="D36" s="67" t="s">
        <v>2086</v>
      </c>
      <c r="E36" s="67" t="s">
        <v>164</v>
      </c>
      <c r="F36" s="68" t="s">
        <v>2211</v>
      </c>
      <c r="G36" s="68"/>
      <c r="H36" s="99" t="s">
        <v>2057</v>
      </c>
      <c r="I36" s="67">
        <v>3075</v>
      </c>
      <c r="J36" s="67">
        <v>45.003700000000002</v>
      </c>
      <c r="K36" s="80" t="s">
        <v>11</v>
      </c>
      <c r="L36" s="68" t="s">
        <v>2213</v>
      </c>
      <c r="M36" s="68" t="s">
        <v>29</v>
      </c>
      <c r="N36" s="263" t="s">
        <v>1026</v>
      </c>
      <c r="O36" s="68" t="s">
        <v>9</v>
      </c>
      <c r="P36" s="104"/>
      <c r="Q36" s="104"/>
      <c r="R36" s="107">
        <v>0</v>
      </c>
    </row>
  </sheetData>
  <dataValidations count="4">
    <dataValidation type="list" allowBlank="1" showInputMessage="1" showErrorMessage="1" sqref="H3:H36" xr:uid="{297C166C-891B-485E-888F-37D0B1FC8E45}">
      <formula1>CAPTYPE</formula1>
    </dataValidation>
    <dataValidation type="list" allowBlank="1" showInputMessage="1" showErrorMessage="1" sqref="M3:M36" xr:uid="{00800546-8E36-426F-ACF3-D486105F58B9}">
      <formula1>SCOPE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K3:K36" xr:uid="{4C91D61A-12CC-4F40-8DEB-0603CF1E3A85}"/>
    <dataValidation type="list" allowBlank="1" showInputMessage="1" showErrorMessage="1" sqref="O3:O36" xr:uid="{735ACF91-D92E-41F1-AC89-B9FCB0FCDDCC}">
      <formula1>MMMMM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1CD6-3D47-451A-A6A6-41F3A1E87281}">
  <dimension ref="B2:R11"/>
  <sheetViews>
    <sheetView workbookViewId="0">
      <selection activeCell="I27" sqref="I27"/>
    </sheetView>
  </sheetViews>
  <sheetFormatPr defaultRowHeight="12.5" x14ac:dyDescent="0.25"/>
  <cols>
    <col min="8" max="8" width="9.26953125" customWidth="1"/>
    <col min="9" max="9" width="14.453125" customWidth="1"/>
    <col min="15" max="15" width="14.7265625" customWidth="1"/>
    <col min="16" max="16" width="15.54296875" customWidth="1"/>
    <col min="17" max="17" width="12" customWidth="1"/>
    <col min="18" max="18" width="13.90625" customWidth="1"/>
  </cols>
  <sheetData>
    <row r="2" spans="2:18" ht="37.5" x14ac:dyDescent="0.25">
      <c r="B2" s="88" t="s">
        <v>31</v>
      </c>
      <c r="C2" s="90" t="s">
        <v>27</v>
      </c>
      <c r="D2" s="89" t="s">
        <v>32</v>
      </c>
      <c r="E2" s="89" t="s">
        <v>33</v>
      </c>
      <c r="F2" s="91" t="s">
        <v>34</v>
      </c>
      <c r="G2" s="91" t="s">
        <v>35</v>
      </c>
      <c r="H2" s="92" t="s">
        <v>26</v>
      </c>
      <c r="I2" s="93" t="s">
        <v>37</v>
      </c>
      <c r="J2" s="93" t="s">
        <v>22</v>
      </c>
      <c r="K2" s="93" t="s">
        <v>38</v>
      </c>
      <c r="L2" s="93" t="s">
        <v>39</v>
      </c>
      <c r="M2" s="84" t="s">
        <v>1</v>
      </c>
      <c r="N2" s="84" t="s">
        <v>41</v>
      </c>
      <c r="O2" s="84" t="s">
        <v>42</v>
      </c>
      <c r="P2" s="94" t="s">
        <v>56</v>
      </c>
      <c r="Q2" s="94" t="s">
        <v>57</v>
      </c>
      <c r="R2" s="94" t="s">
        <v>58</v>
      </c>
    </row>
    <row r="3" spans="2:18" ht="14.5" x14ac:dyDescent="0.35">
      <c r="B3" s="154">
        <v>22009</v>
      </c>
      <c r="C3" s="144">
        <v>44603</v>
      </c>
      <c r="D3" s="145" t="s">
        <v>1745</v>
      </c>
      <c r="E3" s="145" t="s">
        <v>658</v>
      </c>
      <c r="F3" s="146" t="s">
        <v>1836</v>
      </c>
      <c r="G3" s="146" t="s">
        <v>1771</v>
      </c>
      <c r="H3" s="119" t="s">
        <v>2056</v>
      </c>
      <c r="I3" s="145"/>
      <c r="J3" s="145">
        <v>75.226900000000001</v>
      </c>
      <c r="K3" s="147" t="s">
        <v>338</v>
      </c>
      <c r="L3" s="146" t="s">
        <v>1837</v>
      </c>
      <c r="M3" s="146" t="s">
        <v>28</v>
      </c>
      <c r="N3" s="232" t="s">
        <v>176</v>
      </c>
      <c r="O3" s="146" t="s">
        <v>145</v>
      </c>
      <c r="P3" s="197">
        <v>1500</v>
      </c>
      <c r="Q3" s="196">
        <v>694</v>
      </c>
      <c r="R3" s="237">
        <v>2194</v>
      </c>
    </row>
    <row r="4" spans="2:18" ht="14.5" x14ac:dyDescent="0.35">
      <c r="B4" s="207">
        <v>22023</v>
      </c>
      <c r="C4" s="209">
        <v>44705</v>
      </c>
      <c r="D4" s="210" t="s">
        <v>1745</v>
      </c>
      <c r="E4" s="210" t="s">
        <v>658</v>
      </c>
      <c r="F4" s="211" t="s">
        <v>782</v>
      </c>
      <c r="G4" s="211" t="s">
        <v>357</v>
      </c>
      <c r="H4" s="212" t="s">
        <v>5</v>
      </c>
      <c r="I4" s="210"/>
      <c r="J4" s="210">
        <v>75.233099999999993</v>
      </c>
      <c r="K4" s="213" t="s">
        <v>338</v>
      </c>
      <c r="L4" s="211" t="s">
        <v>1892</v>
      </c>
      <c r="M4" s="211" t="s">
        <v>28</v>
      </c>
      <c r="N4" s="73" t="s">
        <v>176</v>
      </c>
      <c r="O4" s="211" t="s">
        <v>9</v>
      </c>
      <c r="P4" s="218">
        <v>0</v>
      </c>
      <c r="Q4" s="218">
        <v>6595</v>
      </c>
      <c r="R4" s="222">
        <v>6595</v>
      </c>
    </row>
    <row r="5" spans="2:18" ht="14.5" x14ac:dyDescent="0.35">
      <c r="B5" s="154">
        <v>23018</v>
      </c>
      <c r="C5" s="117">
        <v>45061</v>
      </c>
      <c r="D5" s="118" t="s">
        <v>1745</v>
      </c>
      <c r="E5" s="118" t="s">
        <v>658</v>
      </c>
      <c r="F5" s="111" t="s">
        <v>2040</v>
      </c>
      <c r="G5" s="111" t="s">
        <v>2042</v>
      </c>
      <c r="H5" s="119" t="s">
        <v>5</v>
      </c>
      <c r="I5" s="118"/>
      <c r="J5" s="152">
        <v>15333</v>
      </c>
      <c r="K5" s="147" t="s">
        <v>11</v>
      </c>
      <c r="L5" s="111" t="s">
        <v>2041</v>
      </c>
      <c r="M5" s="111" t="s">
        <v>28</v>
      </c>
      <c r="N5" s="70" t="s">
        <v>1522</v>
      </c>
      <c r="O5" s="111" t="s">
        <v>145</v>
      </c>
      <c r="P5" s="194">
        <v>0</v>
      </c>
      <c r="Q5" s="194">
        <v>3000</v>
      </c>
      <c r="R5" s="196">
        <v>3000</v>
      </c>
    </row>
    <row r="6" spans="2:18" ht="14.5" x14ac:dyDescent="0.35">
      <c r="B6" s="154">
        <v>23019</v>
      </c>
      <c r="C6" s="117">
        <v>45079</v>
      </c>
      <c r="D6" s="118" t="s">
        <v>1745</v>
      </c>
      <c r="E6" s="118" t="s">
        <v>658</v>
      </c>
      <c r="F6" s="111" t="s">
        <v>1836</v>
      </c>
      <c r="G6" s="111" t="s">
        <v>1771</v>
      </c>
      <c r="H6" s="119" t="s">
        <v>5</v>
      </c>
      <c r="I6" s="118"/>
      <c r="J6" s="152">
        <v>75.226900000000001</v>
      </c>
      <c r="K6" s="147" t="s">
        <v>338</v>
      </c>
      <c r="L6" s="111" t="s">
        <v>2046</v>
      </c>
      <c r="M6" s="111" t="s">
        <v>28</v>
      </c>
      <c r="N6" s="70" t="s">
        <v>1522</v>
      </c>
      <c r="O6" s="111" t="s">
        <v>145</v>
      </c>
      <c r="P6" s="194">
        <v>0</v>
      </c>
      <c r="Q6" s="194">
        <v>130000</v>
      </c>
      <c r="R6" s="196">
        <v>130000</v>
      </c>
    </row>
    <row r="7" spans="2:18" ht="14.5" x14ac:dyDescent="0.35">
      <c r="B7" s="154">
        <v>24016</v>
      </c>
      <c r="C7" s="117">
        <v>45400</v>
      </c>
      <c r="D7" s="118" t="s">
        <v>1745</v>
      </c>
      <c r="E7" s="118" t="s">
        <v>658</v>
      </c>
      <c r="F7" s="111" t="s">
        <v>2140</v>
      </c>
      <c r="G7" s="140" t="s">
        <v>1416</v>
      </c>
      <c r="H7" s="119" t="s">
        <v>5</v>
      </c>
      <c r="I7" s="118">
        <v>3087</v>
      </c>
      <c r="J7" s="118">
        <v>75.240600000000001</v>
      </c>
      <c r="K7" s="147" t="s">
        <v>13</v>
      </c>
      <c r="L7" s="111" t="s">
        <v>2141</v>
      </c>
      <c r="M7" s="111" t="s">
        <v>28</v>
      </c>
      <c r="N7" s="70" t="s">
        <v>510</v>
      </c>
      <c r="O7" s="111" t="s">
        <v>12</v>
      </c>
      <c r="P7" s="194">
        <v>1333</v>
      </c>
      <c r="Q7" s="194">
        <v>0</v>
      </c>
      <c r="R7" s="196">
        <v>1333</v>
      </c>
    </row>
    <row r="8" spans="2:18" ht="14.5" x14ac:dyDescent="0.35">
      <c r="B8" s="96">
        <v>24030</v>
      </c>
      <c r="C8" s="97">
        <v>45506</v>
      </c>
      <c r="D8" s="67" t="s">
        <v>2172</v>
      </c>
      <c r="E8" s="67" t="s">
        <v>658</v>
      </c>
      <c r="F8" s="68" t="s">
        <v>1948</v>
      </c>
      <c r="G8" s="68" t="s">
        <v>1768</v>
      </c>
      <c r="H8" s="99" t="s">
        <v>5</v>
      </c>
      <c r="I8" s="67">
        <v>2142</v>
      </c>
      <c r="J8" s="67">
        <v>18146</v>
      </c>
      <c r="K8" s="80" t="s">
        <v>16</v>
      </c>
      <c r="L8" s="68" t="s">
        <v>2173</v>
      </c>
      <c r="M8" s="68" t="s">
        <v>28</v>
      </c>
      <c r="N8" s="74" t="s">
        <v>452</v>
      </c>
      <c r="O8" s="68" t="s">
        <v>145</v>
      </c>
      <c r="P8" s="104"/>
      <c r="Q8" s="104"/>
      <c r="R8" s="107">
        <v>0</v>
      </c>
    </row>
    <row r="9" spans="2:18" ht="14.5" x14ac:dyDescent="0.35">
      <c r="B9" s="96">
        <v>24036</v>
      </c>
      <c r="C9" s="97">
        <v>45583</v>
      </c>
      <c r="D9" s="67" t="s">
        <v>2172</v>
      </c>
      <c r="E9" s="67" t="s">
        <v>658</v>
      </c>
      <c r="F9" s="68" t="s">
        <v>2191</v>
      </c>
      <c r="G9" s="256" t="s">
        <v>1416</v>
      </c>
      <c r="H9" s="99" t="s">
        <v>5</v>
      </c>
      <c r="I9" s="67"/>
      <c r="J9" s="67">
        <v>10.702</v>
      </c>
      <c r="K9" s="80" t="s">
        <v>13</v>
      </c>
      <c r="L9" s="68" t="s">
        <v>2192</v>
      </c>
      <c r="M9" s="68" t="s">
        <v>28</v>
      </c>
      <c r="N9" s="74" t="s">
        <v>916</v>
      </c>
      <c r="O9" s="68" t="s">
        <v>145</v>
      </c>
      <c r="P9" s="104">
        <v>6389</v>
      </c>
      <c r="Q9" s="104">
        <v>156111</v>
      </c>
      <c r="R9" s="107">
        <v>162500</v>
      </c>
    </row>
    <row r="10" spans="2:18" ht="14.5" x14ac:dyDescent="0.35">
      <c r="B10" s="96">
        <v>24038</v>
      </c>
      <c r="C10" s="97">
        <v>45614</v>
      </c>
      <c r="D10" s="67" t="s">
        <v>2172</v>
      </c>
      <c r="E10" s="67" t="s">
        <v>658</v>
      </c>
      <c r="F10" s="68" t="s">
        <v>2197</v>
      </c>
      <c r="G10" s="256" t="s">
        <v>1416</v>
      </c>
      <c r="H10" s="99" t="s">
        <v>5</v>
      </c>
      <c r="I10" s="67"/>
      <c r="J10" s="67">
        <v>9801</v>
      </c>
      <c r="K10" s="80" t="s">
        <v>13</v>
      </c>
      <c r="L10" s="68" t="s">
        <v>2198</v>
      </c>
      <c r="M10" s="68" t="s">
        <v>28</v>
      </c>
      <c r="N10" s="74" t="s">
        <v>2208</v>
      </c>
      <c r="O10" s="68" t="s">
        <v>145</v>
      </c>
      <c r="P10" s="104"/>
      <c r="Q10" s="104">
        <v>83333.33</v>
      </c>
      <c r="R10" s="107">
        <v>83333.33</v>
      </c>
    </row>
    <row r="11" spans="2:18" ht="14.5" x14ac:dyDescent="0.35">
      <c r="B11" s="96">
        <v>24043</v>
      </c>
      <c r="C11" s="97">
        <v>45621</v>
      </c>
      <c r="D11" s="67" t="s">
        <v>1745</v>
      </c>
      <c r="E11" s="67" t="s">
        <v>658</v>
      </c>
      <c r="F11" s="68" t="s">
        <v>2204</v>
      </c>
      <c r="G11" s="248" t="s">
        <v>570</v>
      </c>
      <c r="H11" s="99" t="s">
        <v>2057</v>
      </c>
      <c r="I11" s="67"/>
      <c r="J11" s="67">
        <v>17093</v>
      </c>
      <c r="K11" s="260" t="s">
        <v>13</v>
      </c>
      <c r="L11" s="68" t="s">
        <v>2205</v>
      </c>
      <c r="M11" s="248" t="s">
        <v>28</v>
      </c>
      <c r="N11" s="74" t="s">
        <v>2207</v>
      </c>
      <c r="O11" s="68" t="s">
        <v>1890</v>
      </c>
      <c r="P11" s="104"/>
      <c r="Q11" s="104">
        <v>105944.44</v>
      </c>
      <c r="R11" s="107">
        <v>105944.44</v>
      </c>
    </row>
  </sheetData>
  <dataValidations count="4">
    <dataValidation type="list" allowBlank="1" showInputMessage="1" showErrorMessage="1" sqref="H3:H11" xr:uid="{9445FE30-132B-4529-B937-9F625B9F73EF}">
      <formula1>CAPTYPE</formula1>
    </dataValidation>
    <dataValidation type="list" allowBlank="1" showInputMessage="1" showErrorMessage="1" sqref="M3:M11" xr:uid="{BAAC387F-B5AC-47DD-9C31-092DED5911E7}">
      <formula1>SCOPE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K3:K11" xr:uid="{A15F1871-223D-4D7F-B959-169DC3B91F9A}"/>
    <dataValidation type="list" allowBlank="1" showInputMessage="1" showErrorMessage="1" sqref="O3:O11" xr:uid="{4A0A1CA5-A439-41FE-986E-3357E70DE62B}">
      <formula1>MMMMM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EF55945911C41B57C74669F2D17A6" ma:contentTypeVersion="16" ma:contentTypeDescription="Create a new document." ma:contentTypeScope="" ma:versionID="d719f9ee41485faabdf48476a257cbd0">
  <xsd:schema xmlns:xsd="http://www.w3.org/2001/XMLSchema" xmlns:xs="http://www.w3.org/2001/XMLSchema" xmlns:p="http://schemas.microsoft.com/office/2006/metadata/properties" xmlns:ns2="f4cbad66-c414-4949-b8cc-0f35a964fb17" xmlns:ns3="a9f2bc00-18cd-4ba2-8dd9-d4a07ec7bc29" targetNamespace="http://schemas.microsoft.com/office/2006/metadata/properties" ma:root="true" ma:fieldsID="fbc09c179b1354e1dab9a6d2d10f7777" ns2:_="" ns3:_="">
    <xsd:import namespace="f4cbad66-c414-4949-b8cc-0f35a964fb17"/>
    <xsd:import namespace="a9f2bc00-18cd-4ba2-8dd9-d4a07ec7bc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bad66-c414-4949-b8cc-0f35a964f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08caa3-1d29-49ca-9df7-f5a9f47e09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2bc00-18cd-4ba2-8dd9-d4a07ec7bc2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6436be-547b-4c4a-a264-babda9e1cbc8}" ma:internalName="TaxCatchAll" ma:showField="CatchAllData" ma:web="a9f2bc00-18cd-4ba2-8dd9-d4a07ec7bc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f2bc00-18cd-4ba2-8dd9-d4a07ec7bc29" xsi:nil="true"/>
    <lcf76f155ced4ddcb4097134ff3c332f xmlns="f4cbad66-c414-4949-b8cc-0f35a964fb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45BF3-843D-4AA2-8F36-907B7B4E32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8F9A40-8979-434A-BE9E-2342DC0D3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cbad66-c414-4949-b8cc-0f35a964fb17"/>
    <ds:schemaRef ds:uri="a9f2bc00-18cd-4ba2-8dd9-d4a07ec7b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A2C5D-49FE-496C-B39A-460238FBC31F}">
  <ds:schemaRefs>
    <ds:schemaRef ds:uri="http://schemas.microsoft.com/office/2006/documentManagement/types"/>
    <ds:schemaRef ds:uri="4bb85b61-c25e-4236-878f-cee000813d5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3b8e0b9e-8502-484a-bfbe-94401bada4bb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a9f2bc00-18cd-4ba2-8dd9-d4a07ec7bc29"/>
    <ds:schemaRef ds:uri="f4cbad66-c414-4949-b8cc-0f35a964fb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Chrono CAP</vt:lpstr>
      <vt:lpstr>2024</vt:lpstr>
      <vt:lpstr>AutoList</vt:lpstr>
      <vt:lpstr>SHA IER</vt:lpstr>
      <vt:lpstr>SHA CS</vt:lpstr>
      <vt:lpstr>'Chrono CAP'!_GoBack</vt:lpstr>
      <vt:lpstr>CAPTYPE</vt:lpstr>
      <vt:lpstr>MMMMM</vt:lpstr>
      <vt:lpstr>'Chrono CAP'!OLE_LINK2</vt:lpstr>
      <vt:lpstr>'Chrono CAP'!Print_Area</vt:lpstr>
      <vt:lpstr>SCOPE</vt:lpstr>
      <vt:lpstr>SITE</vt:lpstr>
      <vt:lpstr>TECHNO</vt:lpstr>
      <vt:lpstr>YNC</vt:lpstr>
      <vt:lpstr>'Chrono CAP'!中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Marie-Pierre Cantarel</dc:creator>
  <cp:keywords/>
  <dc:description/>
  <cp:lastModifiedBy>Alicia Li</cp:lastModifiedBy>
  <cp:revision>1</cp:revision>
  <cp:lastPrinted>2024-09-16T08:40:48Z</cp:lastPrinted>
  <dcterms:created xsi:type="dcterms:W3CDTF">2001-06-06T10:02:17Z</dcterms:created>
  <dcterms:modified xsi:type="dcterms:W3CDTF">2026-01-29T09:03:27Z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2052-10.1.0.6445</vt:lpwstr>
  </property>
  <property fmtid="{D5CDD505-2E9C-101B-9397-08002B2CF9AE}" pid="3" name="ContentTypeId">
    <vt:lpwstr>0x010100708EF55945911C41B57C74669F2D17A6</vt:lpwstr>
  </property>
  <property fmtid="{D5CDD505-2E9C-101B-9397-08002B2CF9AE}" pid="4" name="Order">
    <vt:r8>2400</vt:r8>
  </property>
  <property fmtid="{D5CDD505-2E9C-101B-9397-08002B2CF9AE}" pid="5" name="MediaServiceImageTags">
    <vt:lpwstr/>
  </property>
</Properties>
</file>